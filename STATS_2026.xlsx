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-120" yWindow="-120" windowWidth="29040" windowHeight="15720"/>
  </bookViews>
  <sheets>
    <sheet name="EXP" sheetId="1" r:id="rId1"/>
    <sheet name="TOTAL_BASIC" sheetId="2" r:id="rId2"/>
    <sheet name="PER_GAME_BASIC" sheetId="3" r:id="rId3"/>
    <sheet name="ADVANCED" sheetId="4" r:id="rId4"/>
    <sheet name="SHOOTING" sheetId="6" r:id="rId5"/>
  </sheets>
  <definedNames>
    <definedName name="_xlnm._FilterDatabase" localSheetId="3" hidden="1">ADVANCED!$A$2:$BI$2</definedName>
    <definedName name="_xlnm._FilterDatabase" localSheetId="2" hidden="1">PER_GAME_BASIC!$A$2:$AC$184</definedName>
    <definedName name="_xlnm._FilterDatabase" localSheetId="4" hidden="1">SHOOTING!$A$3:$AD$3</definedName>
    <definedName name="_xlnm._FilterDatabase" localSheetId="1" hidden="1">TOTAL_BASIC!$A$2:$AC$2</definedName>
  </definedName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BE185" i="6"/>
  <c r="BD185"/>
  <c r="BC185"/>
  <c r="BA185"/>
  <c r="AZ185"/>
  <c r="AX185"/>
  <c r="AW185"/>
  <c r="AV185"/>
  <c r="AU185"/>
  <c r="AT185"/>
  <c r="AS185"/>
  <c r="AQ185"/>
  <c r="AP185"/>
  <c r="AO185"/>
  <c r="AN185"/>
  <c r="AM185"/>
  <c r="AL185"/>
  <c r="AJ185"/>
  <c r="AI185"/>
  <c r="AH185"/>
  <c r="AG185"/>
  <c r="BE184"/>
  <c r="BD184"/>
  <c r="BC184"/>
  <c r="BA184"/>
  <c r="AZ184"/>
  <c r="AX184"/>
  <c r="AW184"/>
  <c r="AV184"/>
  <c r="AU184"/>
  <c r="AT184"/>
  <c r="AS184"/>
  <c r="AQ184"/>
  <c r="AP184"/>
  <c r="AO184"/>
  <c r="AN184"/>
  <c r="AM184"/>
  <c r="AL184"/>
  <c r="AJ184"/>
  <c r="AI184"/>
  <c r="AH184"/>
  <c r="AG184"/>
  <c r="AD184"/>
  <c r="AD185"/>
  <c r="BI184" i="4"/>
  <c r="BG184"/>
  <c r="BF184"/>
  <c r="BE184"/>
  <c r="BC184"/>
  <c r="BB184"/>
  <c r="BA184"/>
  <c r="AZ184"/>
  <c r="AX184"/>
  <c r="AW184"/>
  <c r="AV184"/>
  <c r="AU184"/>
  <c r="AT184"/>
  <c r="AS184"/>
  <c r="AR184"/>
  <c r="AQ184"/>
  <c r="AP184"/>
  <c r="AO184"/>
  <c r="AN184"/>
  <c r="AM184"/>
  <c r="AL184"/>
  <c r="AK184"/>
  <c r="AJ184"/>
  <c r="AI184"/>
  <c r="AF184"/>
  <c r="AE184"/>
  <c r="AD184"/>
  <c r="AC184"/>
  <c r="AB184"/>
  <c r="AA184"/>
  <c r="BD184" s="1"/>
  <c r="BI183"/>
  <c r="BG183"/>
  <c r="BF183"/>
  <c r="BC183"/>
  <c r="BB183"/>
  <c r="BA183"/>
  <c r="AZ183"/>
  <c r="AX183"/>
  <c r="AW183"/>
  <c r="AV183"/>
  <c r="AU183"/>
  <c r="AT183"/>
  <c r="AS183"/>
  <c r="AR183"/>
  <c r="AQ183"/>
  <c r="AP183"/>
  <c r="AO183"/>
  <c r="AN183"/>
  <c r="AM183"/>
  <c r="AL183"/>
  <c r="AK183"/>
  <c r="AJ183"/>
  <c r="AI183"/>
  <c r="AF183"/>
  <c r="AE183"/>
  <c r="AD183"/>
  <c r="AC183"/>
  <c r="AB183"/>
  <c r="BE183" s="1"/>
  <c r="AA183"/>
  <c r="BD183" s="1"/>
  <c r="AL184" i="3"/>
  <c r="AK184"/>
  <c r="AJ184"/>
  <c r="AE184"/>
  <c r="AD184"/>
  <c r="AC184"/>
  <c r="AL183"/>
  <c r="AK183"/>
  <c r="AJ183"/>
  <c r="AD183"/>
  <c r="AC183"/>
  <c r="AE183" s="1"/>
  <c r="AC183" i="2"/>
  <c r="AC184"/>
  <c r="BD183" i="6" l="1"/>
  <c r="BC183"/>
  <c r="BA183"/>
  <c r="AZ183"/>
  <c r="AX183"/>
  <c r="AW183"/>
  <c r="AV183"/>
  <c r="AU183"/>
  <c r="AT183"/>
  <c r="AS183"/>
  <c r="AQ183"/>
  <c r="AP183"/>
  <c r="AO183"/>
  <c r="AN183"/>
  <c r="AM183"/>
  <c r="AL183"/>
  <c r="AJ183"/>
  <c r="AI183"/>
  <c r="AH183"/>
  <c r="AG183"/>
  <c r="AD183"/>
  <c r="BD182"/>
  <c r="BC182"/>
  <c r="BA182"/>
  <c r="AZ182"/>
  <c r="AX182"/>
  <c r="AW182"/>
  <c r="AV182"/>
  <c r="AU182"/>
  <c r="AT182"/>
  <c r="AS182"/>
  <c r="AQ182"/>
  <c r="AP182"/>
  <c r="AO182"/>
  <c r="AN182"/>
  <c r="AM182"/>
  <c r="AL182"/>
  <c r="AJ182"/>
  <c r="AI182"/>
  <c r="AH182"/>
  <c r="AG182"/>
  <c r="AD182"/>
  <c r="BC182" i="4"/>
  <c r="BB182"/>
  <c r="BA182"/>
  <c r="AZ182"/>
  <c r="AX182"/>
  <c r="AW182"/>
  <c r="AV182"/>
  <c r="AU182"/>
  <c r="AT182"/>
  <c r="AS182"/>
  <c r="AR182"/>
  <c r="AQ182"/>
  <c r="AP182"/>
  <c r="AO182"/>
  <c r="AN182"/>
  <c r="AM182"/>
  <c r="AL182"/>
  <c r="AK182"/>
  <c r="AJ182"/>
  <c r="AI182"/>
  <c r="AF182"/>
  <c r="AE182"/>
  <c r="AD182"/>
  <c r="AC182"/>
  <c r="AB182"/>
  <c r="BC181"/>
  <c r="BB181"/>
  <c r="BA181"/>
  <c r="AZ181"/>
  <c r="AX181"/>
  <c r="AW181"/>
  <c r="AV181"/>
  <c r="AU181"/>
  <c r="AT181"/>
  <c r="AS181"/>
  <c r="AR181"/>
  <c r="AQ181"/>
  <c r="AP181"/>
  <c r="AO181"/>
  <c r="AN181"/>
  <c r="AM181"/>
  <c r="AL181"/>
  <c r="AK181"/>
  <c r="AJ181"/>
  <c r="AI181"/>
  <c r="AF181"/>
  <c r="AE181"/>
  <c r="AD181"/>
  <c r="AC181"/>
  <c r="AB181"/>
  <c r="AL182" i="3"/>
  <c r="AK182"/>
  <c r="AJ182"/>
  <c r="AL181"/>
  <c r="AK181"/>
  <c r="AJ181"/>
  <c r="AD182"/>
  <c r="AC182"/>
  <c r="AD181"/>
  <c r="AC181"/>
  <c r="AC181" i="2"/>
  <c r="AC182"/>
  <c r="AC3" l="1"/>
  <c r="BD181" i="6"/>
  <c r="BC181"/>
  <c r="BD180"/>
  <c r="BC180"/>
  <c r="BD179"/>
  <c r="BC179"/>
  <c r="BD178"/>
  <c r="BC178"/>
  <c r="BA181"/>
  <c r="AZ181"/>
  <c r="AX181"/>
  <c r="AW181"/>
  <c r="AV181"/>
  <c r="AU181"/>
  <c r="AT181"/>
  <c r="AS181"/>
  <c r="AQ181"/>
  <c r="AP181"/>
  <c r="AO181"/>
  <c r="AN181"/>
  <c r="AM181"/>
  <c r="AL181"/>
  <c r="AJ181"/>
  <c r="AI181"/>
  <c r="AH181"/>
  <c r="AG181"/>
  <c r="BA180"/>
  <c r="AZ180"/>
  <c r="AX180"/>
  <c r="AW180"/>
  <c r="AV180"/>
  <c r="AU180"/>
  <c r="AT180"/>
  <c r="AS180"/>
  <c r="AQ180"/>
  <c r="AP180"/>
  <c r="AO180"/>
  <c r="AN180"/>
  <c r="AM180"/>
  <c r="AL180"/>
  <c r="AJ180"/>
  <c r="AI180"/>
  <c r="AH180"/>
  <c r="AG180"/>
  <c r="BA179"/>
  <c r="AZ179"/>
  <c r="AX179"/>
  <c r="AW179"/>
  <c r="AV179"/>
  <c r="AU179"/>
  <c r="AT179"/>
  <c r="AS179"/>
  <c r="AQ179"/>
  <c r="AP179"/>
  <c r="AO179"/>
  <c r="AN179"/>
  <c r="AM179"/>
  <c r="AL179"/>
  <c r="AJ179"/>
  <c r="AI179"/>
  <c r="AH179"/>
  <c r="AG179"/>
  <c r="BA178"/>
  <c r="AZ178"/>
  <c r="AX178"/>
  <c r="AW178"/>
  <c r="AV178"/>
  <c r="AU178"/>
  <c r="AT178"/>
  <c r="AS178"/>
  <c r="AQ178"/>
  <c r="AP178"/>
  <c r="AO178"/>
  <c r="AN178"/>
  <c r="AM178"/>
  <c r="AL178"/>
  <c r="AJ178"/>
  <c r="AI178"/>
  <c r="AH178"/>
  <c r="AG178"/>
  <c r="AD178"/>
  <c r="AD179"/>
  <c r="AD180"/>
  <c r="AD181"/>
  <c r="BC180" i="4"/>
  <c r="BB180"/>
  <c r="BA180"/>
  <c r="AZ180"/>
  <c r="AX180"/>
  <c r="AW180"/>
  <c r="AV180"/>
  <c r="AU180"/>
  <c r="AT180"/>
  <c r="AS180"/>
  <c r="AR180"/>
  <c r="AQ180"/>
  <c r="AP180"/>
  <c r="AO180"/>
  <c r="AN180"/>
  <c r="AM180"/>
  <c r="AL180"/>
  <c r="AK180"/>
  <c r="AJ180"/>
  <c r="AI180"/>
  <c r="BC179"/>
  <c r="BB179"/>
  <c r="BA179"/>
  <c r="AZ179"/>
  <c r="AX179"/>
  <c r="AW179"/>
  <c r="AV179"/>
  <c r="AU179"/>
  <c r="AT179"/>
  <c r="AS179"/>
  <c r="AR179"/>
  <c r="AQ179"/>
  <c r="AP179"/>
  <c r="AO179"/>
  <c r="AN179"/>
  <c r="AM179"/>
  <c r="AL179"/>
  <c r="AK179"/>
  <c r="AJ179"/>
  <c r="AI179"/>
  <c r="BC178"/>
  <c r="BB178"/>
  <c r="BA178"/>
  <c r="AZ178"/>
  <c r="AX178"/>
  <c r="AW178"/>
  <c r="AV178"/>
  <c r="AU178"/>
  <c r="AT178"/>
  <c r="AS178"/>
  <c r="AR178"/>
  <c r="AQ178"/>
  <c r="AP178"/>
  <c r="AO178"/>
  <c r="AN178"/>
  <c r="AM178"/>
  <c r="AL178"/>
  <c r="AK178"/>
  <c r="AJ178"/>
  <c r="AI178"/>
  <c r="BC177"/>
  <c r="BB177"/>
  <c r="BA177"/>
  <c r="AZ177"/>
  <c r="AX177"/>
  <c r="AW177"/>
  <c r="AV177"/>
  <c r="AU177"/>
  <c r="AT177"/>
  <c r="AS177"/>
  <c r="AR177"/>
  <c r="AQ177"/>
  <c r="AP177"/>
  <c r="AO177"/>
  <c r="AN177"/>
  <c r="AM177"/>
  <c r="AL177"/>
  <c r="AK177"/>
  <c r="AJ177"/>
  <c r="AI177"/>
  <c r="AF177"/>
  <c r="AF178"/>
  <c r="AF179"/>
  <c r="AF180"/>
  <c r="AE177"/>
  <c r="AE178"/>
  <c r="AE179"/>
  <c r="AE180"/>
  <c r="AD177"/>
  <c r="AD178"/>
  <c r="AD179"/>
  <c r="AD180"/>
  <c r="AC177"/>
  <c r="AC178"/>
  <c r="AC179"/>
  <c r="AC180"/>
  <c r="AB177"/>
  <c r="AB178"/>
  <c r="AB179"/>
  <c r="AB180"/>
  <c r="AL177" i="3"/>
  <c r="AL178"/>
  <c r="AL179"/>
  <c r="AL180"/>
  <c r="AK177"/>
  <c r="AK178"/>
  <c r="AK179"/>
  <c r="AK180"/>
  <c r="AJ177"/>
  <c r="AJ178"/>
  <c r="AJ179"/>
  <c r="AJ180"/>
  <c r="AD177"/>
  <c r="AD178"/>
  <c r="AD179"/>
  <c r="AD180"/>
  <c r="AC177"/>
  <c r="AC178"/>
  <c r="AC179"/>
  <c r="AC180"/>
  <c r="AC177" i="2"/>
  <c r="AC178"/>
  <c r="AC179"/>
  <c r="AC180"/>
  <c r="BD177" i="6"/>
  <c r="BC177"/>
  <c r="BA177"/>
  <c r="AZ177"/>
  <c r="AX177"/>
  <c r="AW177"/>
  <c r="AV177"/>
  <c r="AU177"/>
  <c r="AT177"/>
  <c r="AS177"/>
  <c r="AQ177"/>
  <c r="AP177"/>
  <c r="AO177"/>
  <c r="AN177"/>
  <c r="AM177"/>
  <c r="AL177"/>
  <c r="AJ177"/>
  <c r="AI177"/>
  <c r="AH177"/>
  <c r="AG177"/>
  <c r="AD177"/>
  <c r="BC176" i="4"/>
  <c r="BB176"/>
  <c r="BA176"/>
  <c r="AZ176"/>
  <c r="AX176"/>
  <c r="AW176"/>
  <c r="AV176"/>
  <c r="AU176"/>
  <c r="AT176"/>
  <c r="AS176"/>
  <c r="AR176"/>
  <c r="AQ176"/>
  <c r="AP176"/>
  <c r="AO176"/>
  <c r="AN176"/>
  <c r="AM176"/>
  <c r="AL176"/>
  <c r="AK176"/>
  <c r="AJ176"/>
  <c r="AI176"/>
  <c r="AF176"/>
  <c r="AE176"/>
  <c r="AD176"/>
  <c r="AC176"/>
  <c r="AB176"/>
  <c r="AL176" i="3"/>
  <c r="AK176"/>
  <c r="AJ176"/>
  <c r="AD176"/>
  <c r="AC176"/>
  <c r="AC176" i="2"/>
  <c r="BD174" i="6"/>
  <c r="BD175"/>
  <c r="BD176"/>
  <c r="BC174"/>
  <c r="BC175"/>
  <c r="BC176"/>
  <c r="BA174"/>
  <c r="BA175"/>
  <c r="BA176"/>
  <c r="AZ174"/>
  <c r="AZ175"/>
  <c r="AZ176"/>
  <c r="AX174"/>
  <c r="AX175"/>
  <c r="AX176"/>
  <c r="AW174"/>
  <c r="AW175"/>
  <c r="AW176"/>
  <c r="AV174"/>
  <c r="AV175"/>
  <c r="AV176"/>
  <c r="AU174"/>
  <c r="AU175"/>
  <c r="AU176"/>
  <c r="AT174"/>
  <c r="AT175"/>
  <c r="AT176"/>
  <c r="AS174"/>
  <c r="AS175"/>
  <c r="AS176"/>
  <c r="AQ174"/>
  <c r="AQ175"/>
  <c r="AQ176"/>
  <c r="AP174"/>
  <c r="AP175"/>
  <c r="AP176"/>
  <c r="AO174"/>
  <c r="AO175"/>
  <c r="AO176"/>
  <c r="AN174"/>
  <c r="AN175"/>
  <c r="AN176"/>
  <c r="AM174"/>
  <c r="AM175"/>
  <c r="AM176"/>
  <c r="AL174"/>
  <c r="AL175"/>
  <c r="AL176"/>
  <c r="AJ174"/>
  <c r="AJ175"/>
  <c r="AJ176"/>
  <c r="AI174"/>
  <c r="AI175"/>
  <c r="AI176"/>
  <c r="AH174"/>
  <c r="AH175"/>
  <c r="AH176"/>
  <c r="AG174"/>
  <c r="AG175"/>
  <c r="AG176"/>
  <c r="AD174"/>
  <c r="AD175"/>
  <c r="AD176"/>
  <c r="BC173" i="4"/>
  <c r="BC174"/>
  <c r="BC175"/>
  <c r="BB173"/>
  <c r="BB174"/>
  <c r="BB175"/>
  <c r="BA173"/>
  <c r="BA174"/>
  <c r="BA175"/>
  <c r="AZ173"/>
  <c r="AZ174"/>
  <c r="AZ175"/>
  <c r="AX173"/>
  <c r="AX174"/>
  <c r="AX175"/>
  <c r="AW173"/>
  <c r="AW174"/>
  <c r="AW175"/>
  <c r="AV173"/>
  <c r="AV174"/>
  <c r="AV175"/>
  <c r="AU173"/>
  <c r="AU174"/>
  <c r="AU175"/>
  <c r="AT173"/>
  <c r="AT174"/>
  <c r="AT175"/>
  <c r="AS173"/>
  <c r="AS174"/>
  <c r="AS175"/>
  <c r="AR173"/>
  <c r="AR174"/>
  <c r="AR175"/>
  <c r="AQ173"/>
  <c r="AQ174"/>
  <c r="AQ175"/>
  <c r="AP173"/>
  <c r="AP174"/>
  <c r="AP175"/>
  <c r="AO173"/>
  <c r="AO174"/>
  <c r="AO175"/>
  <c r="AN173"/>
  <c r="AN174"/>
  <c r="AN175"/>
  <c r="AM173"/>
  <c r="AM174"/>
  <c r="AM175"/>
  <c r="AL173"/>
  <c r="AL174"/>
  <c r="AL175"/>
  <c r="AK173"/>
  <c r="AK174"/>
  <c r="AK175"/>
  <c r="AJ173"/>
  <c r="AJ174"/>
  <c r="AJ175"/>
  <c r="AI173"/>
  <c r="AI174"/>
  <c r="AI175"/>
  <c r="AF173"/>
  <c r="AF174"/>
  <c r="AF175"/>
  <c r="AE173"/>
  <c r="AE174"/>
  <c r="AE175"/>
  <c r="AD173"/>
  <c r="AD174"/>
  <c r="AD175"/>
  <c r="AC173"/>
  <c r="AC174"/>
  <c r="AC175"/>
  <c r="AB173"/>
  <c r="AB174"/>
  <c r="AB175"/>
  <c r="AL173" i="3"/>
  <c r="AL174"/>
  <c r="AL175"/>
  <c r="AK173"/>
  <c r="AK174"/>
  <c r="AK175"/>
  <c r="AJ173"/>
  <c r="AJ174"/>
  <c r="AJ175"/>
  <c r="AD173"/>
  <c r="AD174"/>
  <c r="AD175"/>
  <c r="AC173"/>
  <c r="AC174"/>
  <c r="AC175"/>
  <c r="AC173" i="2"/>
  <c r="AC174"/>
  <c r="AC175"/>
  <c r="BD172" i="6"/>
  <c r="BD173"/>
  <c r="BC172"/>
  <c r="BC173"/>
  <c r="BA172"/>
  <c r="BA173"/>
  <c r="AZ172"/>
  <c r="AZ173"/>
  <c r="AX172"/>
  <c r="AX173"/>
  <c r="AW172"/>
  <c r="AW173"/>
  <c r="AV172"/>
  <c r="AV173"/>
  <c r="AU172"/>
  <c r="AU173"/>
  <c r="AT172"/>
  <c r="AT173"/>
  <c r="AS172"/>
  <c r="AS173"/>
  <c r="AQ172"/>
  <c r="AQ173"/>
  <c r="AP172"/>
  <c r="AP173"/>
  <c r="AO172"/>
  <c r="AO173"/>
  <c r="AN172"/>
  <c r="AN173"/>
  <c r="AM172"/>
  <c r="AM173"/>
  <c r="AL172"/>
  <c r="AL173"/>
  <c r="AJ172"/>
  <c r="AJ173"/>
  <c r="AI172"/>
  <c r="AI173"/>
  <c r="AH172"/>
  <c r="AH173"/>
  <c r="AG172"/>
  <c r="AG173"/>
  <c r="AD172"/>
  <c r="AD173"/>
  <c r="BC171" i="4"/>
  <c r="BC172"/>
  <c r="BB171"/>
  <c r="BB172"/>
  <c r="BA171"/>
  <c r="BA172"/>
  <c r="AZ171"/>
  <c r="AZ172"/>
  <c r="AX171"/>
  <c r="AX172"/>
  <c r="AW171"/>
  <c r="AW172"/>
  <c r="AV171"/>
  <c r="AV172"/>
  <c r="AU171"/>
  <c r="AU172"/>
  <c r="AT171"/>
  <c r="AT172"/>
  <c r="AS171"/>
  <c r="AS172"/>
  <c r="AR171"/>
  <c r="AR172"/>
  <c r="AQ171"/>
  <c r="AQ172"/>
  <c r="AP171"/>
  <c r="AP172"/>
  <c r="AO171"/>
  <c r="AO172"/>
  <c r="AN171"/>
  <c r="AN172"/>
  <c r="AM171"/>
  <c r="AM172"/>
  <c r="AL171"/>
  <c r="AL172"/>
  <c r="AK171"/>
  <c r="AK172"/>
  <c r="AJ171"/>
  <c r="AJ172"/>
  <c r="AI171"/>
  <c r="AI172"/>
  <c r="AF171"/>
  <c r="AF172"/>
  <c r="AE171"/>
  <c r="AE172"/>
  <c r="AD171"/>
  <c r="AD172"/>
  <c r="AC171"/>
  <c r="AC172"/>
  <c r="AB171"/>
  <c r="AB172"/>
  <c r="AL171" i="3"/>
  <c r="AL172"/>
  <c r="AK171"/>
  <c r="AK172"/>
  <c r="AJ171"/>
  <c r="AJ172"/>
  <c r="AD171"/>
  <c r="AD172"/>
  <c r="AC171"/>
  <c r="AC172"/>
  <c r="AC171" i="2"/>
  <c r="AC172"/>
  <c r="BD168" i="6"/>
  <c r="BD169"/>
  <c r="BD170"/>
  <c r="BD171"/>
  <c r="BC168"/>
  <c r="BC169"/>
  <c r="BC170"/>
  <c r="BC171"/>
  <c r="BA168"/>
  <c r="BA169"/>
  <c r="BA170"/>
  <c r="BA171"/>
  <c r="AZ168"/>
  <c r="AZ169"/>
  <c r="AZ170"/>
  <c r="AZ171"/>
  <c r="AX168"/>
  <c r="AX169"/>
  <c r="AX170"/>
  <c r="AX171"/>
  <c r="AW168"/>
  <c r="AW169"/>
  <c r="AW170"/>
  <c r="AW171"/>
  <c r="AV168"/>
  <c r="AV169"/>
  <c r="AV170"/>
  <c r="AV171"/>
  <c r="AU168"/>
  <c r="AU169"/>
  <c r="AU170"/>
  <c r="AU171"/>
  <c r="AT168"/>
  <c r="AT169"/>
  <c r="AT170"/>
  <c r="AT171"/>
  <c r="AS168"/>
  <c r="AS169"/>
  <c r="AS170"/>
  <c r="AS171"/>
  <c r="AQ168"/>
  <c r="AQ169"/>
  <c r="AQ170"/>
  <c r="AQ171"/>
  <c r="AP168"/>
  <c r="AP169"/>
  <c r="AP170"/>
  <c r="AP171"/>
  <c r="AO168"/>
  <c r="AO169"/>
  <c r="AO170"/>
  <c r="AO171"/>
  <c r="AN168"/>
  <c r="AN169"/>
  <c r="AN170"/>
  <c r="AN171"/>
  <c r="AM168"/>
  <c r="AM169"/>
  <c r="AM170"/>
  <c r="AM171"/>
  <c r="AL168"/>
  <c r="AL169"/>
  <c r="AL170"/>
  <c r="AL171"/>
  <c r="AJ168"/>
  <c r="AJ169"/>
  <c r="AJ170"/>
  <c r="AJ171"/>
  <c r="AI168"/>
  <c r="AI169"/>
  <c r="AI170"/>
  <c r="AI171"/>
  <c r="AH168"/>
  <c r="AH169"/>
  <c r="AH170"/>
  <c r="AH171"/>
  <c r="AG168"/>
  <c r="AG169"/>
  <c r="AG170"/>
  <c r="AG171"/>
  <c r="AD168"/>
  <c r="AD169"/>
  <c r="AD170"/>
  <c r="AD171"/>
  <c r="BC167" i="4"/>
  <c r="BC168"/>
  <c r="BC169"/>
  <c r="BC170"/>
  <c r="BB167"/>
  <c r="BB168"/>
  <c r="BB169"/>
  <c r="BB170"/>
  <c r="BA167"/>
  <c r="BA168"/>
  <c r="BA169"/>
  <c r="BA170"/>
  <c r="AZ167"/>
  <c r="AZ168"/>
  <c r="AZ169"/>
  <c r="AZ170"/>
  <c r="AX167"/>
  <c r="AX168"/>
  <c r="AX169"/>
  <c r="AX170"/>
  <c r="AW167"/>
  <c r="AW168"/>
  <c r="AW169"/>
  <c r="AW170"/>
  <c r="AV167"/>
  <c r="AV168"/>
  <c r="AV169"/>
  <c r="AV170"/>
  <c r="AU167"/>
  <c r="AU168"/>
  <c r="AU169"/>
  <c r="AU170"/>
  <c r="AT167"/>
  <c r="AT168"/>
  <c r="AT169"/>
  <c r="AT170"/>
  <c r="AS167"/>
  <c r="AS168"/>
  <c r="AS169"/>
  <c r="AS170"/>
  <c r="AR167"/>
  <c r="AR168"/>
  <c r="AR169"/>
  <c r="AR170"/>
  <c r="AQ167"/>
  <c r="AQ168"/>
  <c r="AQ169"/>
  <c r="AQ170"/>
  <c r="AP167"/>
  <c r="AP168"/>
  <c r="AP169"/>
  <c r="AP170"/>
  <c r="AO167"/>
  <c r="AO168"/>
  <c r="AO169"/>
  <c r="AO170"/>
  <c r="AN167"/>
  <c r="AN168"/>
  <c r="AN169"/>
  <c r="AN170"/>
  <c r="AM167"/>
  <c r="AM168"/>
  <c r="AM169"/>
  <c r="AM170"/>
  <c r="AL167"/>
  <c r="AL168"/>
  <c r="AL169"/>
  <c r="AL170"/>
  <c r="AK167"/>
  <c r="AK168"/>
  <c r="AK169"/>
  <c r="AK170"/>
  <c r="AJ167"/>
  <c r="AJ168"/>
  <c r="AJ169"/>
  <c r="AJ170"/>
  <c r="AI167"/>
  <c r="AI168"/>
  <c r="AI169"/>
  <c r="AI170"/>
  <c r="AF167"/>
  <c r="AF168"/>
  <c r="AF169"/>
  <c r="AF170"/>
  <c r="AE167"/>
  <c r="AE168"/>
  <c r="AE169"/>
  <c r="AE170"/>
  <c r="AD167"/>
  <c r="AD168"/>
  <c r="AD169"/>
  <c r="AD170"/>
  <c r="AC167"/>
  <c r="AC168"/>
  <c r="AC169"/>
  <c r="AC170"/>
  <c r="AB167"/>
  <c r="AB168"/>
  <c r="AB169"/>
  <c r="AB170"/>
  <c r="AL167" i="3"/>
  <c r="AL168"/>
  <c r="AL169"/>
  <c r="AL170"/>
  <c r="AK167"/>
  <c r="AK168"/>
  <c r="AK169"/>
  <c r="AK170"/>
  <c r="AJ167"/>
  <c r="AJ168"/>
  <c r="AJ169"/>
  <c r="AJ170"/>
  <c r="AD167"/>
  <c r="AD168"/>
  <c r="AD169"/>
  <c r="AD170"/>
  <c r="AC167"/>
  <c r="AC168"/>
  <c r="AC169"/>
  <c r="AC170"/>
  <c r="AC167" i="2"/>
  <c r="AC168"/>
  <c r="AC169"/>
  <c r="AC170"/>
  <c r="BD167" i="6" l="1"/>
  <c r="BC167"/>
  <c r="BA167"/>
  <c r="AZ167"/>
  <c r="AX167"/>
  <c r="AW167"/>
  <c r="AV167"/>
  <c r="AU167"/>
  <c r="AT167"/>
  <c r="AS167"/>
  <c r="AQ167"/>
  <c r="AP167"/>
  <c r="AO167"/>
  <c r="AN167"/>
  <c r="AM167"/>
  <c r="AL167"/>
  <c r="AJ167"/>
  <c r="AI167"/>
  <c r="AH167"/>
  <c r="AG167"/>
  <c r="AD167"/>
  <c r="BC166" i="4"/>
  <c r="BB166"/>
  <c r="BA166"/>
  <c r="AZ166"/>
  <c r="AX166"/>
  <c r="AW166"/>
  <c r="AV166"/>
  <c r="AU166"/>
  <c r="AT166"/>
  <c r="AS166"/>
  <c r="AR166"/>
  <c r="AQ166"/>
  <c r="AP166"/>
  <c r="AO166"/>
  <c r="AN166"/>
  <c r="AM166"/>
  <c r="AL166"/>
  <c r="AK166"/>
  <c r="AJ166"/>
  <c r="AI166"/>
  <c r="AF166"/>
  <c r="AE166"/>
  <c r="AD166"/>
  <c r="AC166"/>
  <c r="AB166"/>
  <c r="AL166" i="3"/>
  <c r="AK166"/>
  <c r="AJ166"/>
  <c r="AD166"/>
  <c r="AC166"/>
  <c r="AC166" i="2"/>
  <c r="BD164" i="6"/>
  <c r="BD165"/>
  <c r="BD166"/>
  <c r="BC164"/>
  <c r="BC165"/>
  <c r="BC166"/>
  <c r="BA164"/>
  <c r="BA165"/>
  <c r="BA166"/>
  <c r="AZ164"/>
  <c r="AZ165"/>
  <c r="AZ166"/>
  <c r="AX164"/>
  <c r="AX165"/>
  <c r="AX166"/>
  <c r="AW164"/>
  <c r="AW165"/>
  <c r="AW166"/>
  <c r="AV164"/>
  <c r="AV165"/>
  <c r="AV166"/>
  <c r="AU164"/>
  <c r="AU165"/>
  <c r="AU166"/>
  <c r="AT164"/>
  <c r="AT165"/>
  <c r="AT166"/>
  <c r="AS164"/>
  <c r="AS165"/>
  <c r="AS166"/>
  <c r="AQ164"/>
  <c r="AQ165"/>
  <c r="AQ166"/>
  <c r="AP164"/>
  <c r="AP165"/>
  <c r="AP166"/>
  <c r="AO164"/>
  <c r="AO165"/>
  <c r="AO166"/>
  <c r="AN164"/>
  <c r="AN165"/>
  <c r="AN166"/>
  <c r="AM164"/>
  <c r="AM165"/>
  <c r="AM166"/>
  <c r="AL164"/>
  <c r="AL165"/>
  <c r="AL166"/>
  <c r="AJ164"/>
  <c r="AJ165"/>
  <c r="AJ166"/>
  <c r="AI164"/>
  <c r="AI165"/>
  <c r="AI166"/>
  <c r="AH164"/>
  <c r="AH165"/>
  <c r="AH166"/>
  <c r="AG164"/>
  <c r="AG165"/>
  <c r="AG166"/>
  <c r="AD164"/>
  <c r="AD165"/>
  <c r="AD166"/>
  <c r="BC163" i="4"/>
  <c r="BC164"/>
  <c r="BC165"/>
  <c r="BB163"/>
  <c r="BB164"/>
  <c r="BB165"/>
  <c r="BA163"/>
  <c r="BA164"/>
  <c r="BA165"/>
  <c r="AZ163"/>
  <c r="AZ164"/>
  <c r="AZ165"/>
  <c r="AX163"/>
  <c r="AX164"/>
  <c r="AX165"/>
  <c r="AW163"/>
  <c r="AW164"/>
  <c r="AW165"/>
  <c r="AV163"/>
  <c r="AV164"/>
  <c r="AV165"/>
  <c r="AU163"/>
  <c r="AU164"/>
  <c r="AU165"/>
  <c r="AT163"/>
  <c r="AT164"/>
  <c r="AT165"/>
  <c r="AS163"/>
  <c r="AS164"/>
  <c r="AS165"/>
  <c r="AR163"/>
  <c r="AR164"/>
  <c r="AR165"/>
  <c r="AQ163"/>
  <c r="AQ164"/>
  <c r="AQ165"/>
  <c r="AP163"/>
  <c r="AP164"/>
  <c r="AP165"/>
  <c r="AO163"/>
  <c r="AO164"/>
  <c r="AO165"/>
  <c r="AN163"/>
  <c r="AN164"/>
  <c r="AN165"/>
  <c r="AM163"/>
  <c r="AM164"/>
  <c r="AM165"/>
  <c r="AL163"/>
  <c r="AL164"/>
  <c r="AL165"/>
  <c r="AK163"/>
  <c r="AK164"/>
  <c r="AK165"/>
  <c r="AJ163"/>
  <c r="AJ164"/>
  <c r="AJ165"/>
  <c r="AI163"/>
  <c r="AI164"/>
  <c r="AI165"/>
  <c r="AF163"/>
  <c r="AF164"/>
  <c r="AF165"/>
  <c r="AE163"/>
  <c r="AE164"/>
  <c r="AE165"/>
  <c r="AD163"/>
  <c r="AD164"/>
  <c r="AD165"/>
  <c r="AC163"/>
  <c r="AC164"/>
  <c r="AC165"/>
  <c r="AB163"/>
  <c r="AB164"/>
  <c r="AB165"/>
  <c r="AL163" i="3"/>
  <c r="AL164"/>
  <c r="AL165"/>
  <c r="AK163"/>
  <c r="AK164"/>
  <c r="AK165"/>
  <c r="AJ163"/>
  <c r="AJ164"/>
  <c r="AJ165"/>
  <c r="AD163"/>
  <c r="AD164"/>
  <c r="AD165"/>
  <c r="AC163"/>
  <c r="AC164"/>
  <c r="AC165"/>
  <c r="AC163" i="2"/>
  <c r="AC164"/>
  <c r="AC165"/>
  <c r="BD162" i="6"/>
  <c r="BD163"/>
  <c r="BC162"/>
  <c r="BC163"/>
  <c r="BA162"/>
  <c r="BA163"/>
  <c r="AZ162"/>
  <c r="AZ163"/>
  <c r="AX162"/>
  <c r="AX163"/>
  <c r="AW162"/>
  <c r="AW163"/>
  <c r="AV162"/>
  <c r="AV163"/>
  <c r="AU162"/>
  <c r="AU163"/>
  <c r="AT162"/>
  <c r="AT163"/>
  <c r="AS162"/>
  <c r="AS163"/>
  <c r="AQ162"/>
  <c r="AQ163"/>
  <c r="AP162"/>
  <c r="AP163"/>
  <c r="AO162"/>
  <c r="AO163"/>
  <c r="AN162"/>
  <c r="AN163"/>
  <c r="AM162"/>
  <c r="AM163"/>
  <c r="AL162"/>
  <c r="AL163"/>
  <c r="AJ162"/>
  <c r="AJ163"/>
  <c r="AI162"/>
  <c r="AI163"/>
  <c r="AH162"/>
  <c r="AH163"/>
  <c r="AG162"/>
  <c r="AG163"/>
  <c r="AD162"/>
  <c r="AD163"/>
  <c r="BC161" i="4"/>
  <c r="BC162"/>
  <c r="BB161"/>
  <c r="BB162"/>
  <c r="BA161"/>
  <c r="BA162"/>
  <c r="AZ161"/>
  <c r="AZ162"/>
  <c r="AX161"/>
  <c r="AX162"/>
  <c r="AW161"/>
  <c r="AW162"/>
  <c r="AV161"/>
  <c r="AV162"/>
  <c r="AU161"/>
  <c r="AU162"/>
  <c r="AT161"/>
  <c r="AT162"/>
  <c r="AS161"/>
  <c r="AS162"/>
  <c r="AR161"/>
  <c r="AR162"/>
  <c r="AQ161"/>
  <c r="AQ162"/>
  <c r="AP161"/>
  <c r="AP162"/>
  <c r="AO161"/>
  <c r="AO162"/>
  <c r="AN161"/>
  <c r="AN162"/>
  <c r="AM161"/>
  <c r="AM162"/>
  <c r="AL161"/>
  <c r="AL162"/>
  <c r="AK161"/>
  <c r="AK162"/>
  <c r="AJ161"/>
  <c r="AJ162"/>
  <c r="AI161"/>
  <c r="AI162"/>
  <c r="AF161"/>
  <c r="AF162"/>
  <c r="AE161"/>
  <c r="AE162"/>
  <c r="AD161"/>
  <c r="AD162"/>
  <c r="AC161"/>
  <c r="AC162"/>
  <c r="AB161"/>
  <c r="AB162"/>
  <c r="AL161" i="3"/>
  <c r="AL162"/>
  <c r="AK161"/>
  <c r="AK162"/>
  <c r="AJ161"/>
  <c r="AJ162"/>
  <c r="AD161"/>
  <c r="AD162"/>
  <c r="AC161"/>
  <c r="AC162"/>
  <c r="AC161" i="2"/>
  <c r="AC162"/>
  <c r="BD160" i="6"/>
  <c r="BD161"/>
  <c r="BC160"/>
  <c r="BC161"/>
  <c r="BA160"/>
  <c r="BA161"/>
  <c r="AZ160"/>
  <c r="AZ161"/>
  <c r="AX160"/>
  <c r="AX161"/>
  <c r="AW160"/>
  <c r="AW161"/>
  <c r="AV160"/>
  <c r="AV161"/>
  <c r="AU160"/>
  <c r="AU161"/>
  <c r="AT160"/>
  <c r="AT161"/>
  <c r="AS160"/>
  <c r="AS161"/>
  <c r="AQ160"/>
  <c r="AQ161"/>
  <c r="AP160"/>
  <c r="AP161"/>
  <c r="AO160"/>
  <c r="AO161"/>
  <c r="AN160"/>
  <c r="AN161"/>
  <c r="AM160"/>
  <c r="AM161"/>
  <c r="AL160"/>
  <c r="AL161"/>
  <c r="AJ160"/>
  <c r="AJ161"/>
  <c r="AI160"/>
  <c r="AI161"/>
  <c r="AH160"/>
  <c r="AH161"/>
  <c r="AG160"/>
  <c r="AG161"/>
  <c r="AD160"/>
  <c r="AD161"/>
  <c r="BC159" i="4"/>
  <c r="BC160"/>
  <c r="BB159"/>
  <c r="BB160"/>
  <c r="BA159"/>
  <c r="BA160"/>
  <c r="AZ159"/>
  <c r="AZ160"/>
  <c r="AX159"/>
  <c r="AX160"/>
  <c r="AW159"/>
  <c r="AW160"/>
  <c r="AV159"/>
  <c r="AV160"/>
  <c r="AU159"/>
  <c r="AU160"/>
  <c r="AU158"/>
  <c r="AT159"/>
  <c r="AT160"/>
  <c r="AS159"/>
  <c r="AS160"/>
  <c r="AR159"/>
  <c r="AR160"/>
  <c r="AQ159"/>
  <c r="AQ160"/>
  <c r="AP159"/>
  <c r="AP160"/>
  <c r="AO159"/>
  <c r="AO160"/>
  <c r="AN159"/>
  <c r="AN160"/>
  <c r="AM159"/>
  <c r="AM160"/>
  <c r="AL159"/>
  <c r="AL160"/>
  <c r="AK159"/>
  <c r="AK160"/>
  <c r="AJ159"/>
  <c r="AJ160"/>
  <c r="AI159"/>
  <c r="AI160"/>
  <c r="AF159"/>
  <c r="AF160"/>
  <c r="AE159"/>
  <c r="AE160"/>
  <c r="AD159"/>
  <c r="AD160"/>
  <c r="AC159"/>
  <c r="AC160"/>
  <c r="AB159"/>
  <c r="AB160"/>
  <c r="AL159" i="3"/>
  <c r="AL160"/>
  <c r="AK159"/>
  <c r="AK160"/>
  <c r="AJ159"/>
  <c r="AJ160"/>
  <c r="AD159"/>
  <c r="AD160"/>
  <c r="AC159"/>
  <c r="AC160"/>
  <c r="BD142" i="6" l="1"/>
  <c r="BD143"/>
  <c r="BD144"/>
  <c r="BD145"/>
  <c r="BD146"/>
  <c r="BD147"/>
  <c r="BD148"/>
  <c r="BD149"/>
  <c r="BD150"/>
  <c r="BD151"/>
  <c r="BD152"/>
  <c r="BD153"/>
  <c r="BD154"/>
  <c r="BD155"/>
  <c r="BD156"/>
  <c r="BD157"/>
  <c r="BD158"/>
  <c r="BD159"/>
  <c r="BC142"/>
  <c r="BC143"/>
  <c r="BC144"/>
  <c r="BC145"/>
  <c r="BC146"/>
  <c r="BC147"/>
  <c r="BC148"/>
  <c r="BC149"/>
  <c r="BC150"/>
  <c r="BC151"/>
  <c r="BC152"/>
  <c r="BC153"/>
  <c r="BC154"/>
  <c r="BC155"/>
  <c r="BC156"/>
  <c r="BC157"/>
  <c r="BC158"/>
  <c r="BC159"/>
  <c r="BA142"/>
  <c r="BA143"/>
  <c r="BA144"/>
  <c r="BA145"/>
  <c r="BA146"/>
  <c r="BA147"/>
  <c r="BA148"/>
  <c r="BA149"/>
  <c r="BA150"/>
  <c r="BA151"/>
  <c r="BA152"/>
  <c r="BA153"/>
  <c r="BA154"/>
  <c r="BA155"/>
  <c r="BA156"/>
  <c r="BA157"/>
  <c r="BA158"/>
  <c r="BA159"/>
  <c r="AZ142"/>
  <c r="AZ143"/>
  <c r="AZ144"/>
  <c r="AZ145"/>
  <c r="AZ146"/>
  <c r="AZ147"/>
  <c r="AZ148"/>
  <c r="AZ149"/>
  <c r="AZ150"/>
  <c r="AZ151"/>
  <c r="AZ152"/>
  <c r="AZ153"/>
  <c r="AZ154"/>
  <c r="AZ155"/>
  <c r="AZ156"/>
  <c r="AZ157"/>
  <c r="AZ158"/>
  <c r="AZ159"/>
  <c r="AX142"/>
  <c r="AX143"/>
  <c r="AX144"/>
  <c r="AX145"/>
  <c r="AX146"/>
  <c r="AX147"/>
  <c r="AX148"/>
  <c r="AX149"/>
  <c r="AX150"/>
  <c r="AX151"/>
  <c r="AX152"/>
  <c r="AX153"/>
  <c r="AX154"/>
  <c r="AX155"/>
  <c r="AX156"/>
  <c r="AX157"/>
  <c r="AX158"/>
  <c r="AX159"/>
  <c r="AW142"/>
  <c r="AW143"/>
  <c r="AW144"/>
  <c r="AW145"/>
  <c r="AW146"/>
  <c r="AW147"/>
  <c r="AW148"/>
  <c r="AW149"/>
  <c r="AW150"/>
  <c r="AW151"/>
  <c r="AW152"/>
  <c r="AW153"/>
  <c r="AW154"/>
  <c r="AW155"/>
  <c r="AW156"/>
  <c r="AW157"/>
  <c r="AW158"/>
  <c r="AW159"/>
  <c r="AV142"/>
  <c r="AV143"/>
  <c r="AV144"/>
  <c r="AV145"/>
  <c r="AV146"/>
  <c r="AV147"/>
  <c r="AV148"/>
  <c r="AV149"/>
  <c r="AV150"/>
  <c r="AV151"/>
  <c r="AV152"/>
  <c r="AV153"/>
  <c r="AV154"/>
  <c r="AV155"/>
  <c r="AV156"/>
  <c r="AV157"/>
  <c r="AV158"/>
  <c r="AV159"/>
  <c r="AU142"/>
  <c r="AU143"/>
  <c r="AU144"/>
  <c r="AU145"/>
  <c r="AU146"/>
  <c r="AU147"/>
  <c r="AU148"/>
  <c r="AU149"/>
  <c r="AU150"/>
  <c r="AU151"/>
  <c r="AU152"/>
  <c r="AU153"/>
  <c r="AU154"/>
  <c r="AU155"/>
  <c r="AU156"/>
  <c r="AU157"/>
  <c r="AU158"/>
  <c r="AU159"/>
  <c r="AT142"/>
  <c r="AT143"/>
  <c r="AT144"/>
  <c r="AT145"/>
  <c r="AT146"/>
  <c r="AT147"/>
  <c r="AT148"/>
  <c r="AT149"/>
  <c r="AT150"/>
  <c r="AT151"/>
  <c r="AT152"/>
  <c r="AT153"/>
  <c r="AT154"/>
  <c r="AT155"/>
  <c r="AT156"/>
  <c r="AT157"/>
  <c r="AT158"/>
  <c r="AT159"/>
  <c r="AS142"/>
  <c r="AS143"/>
  <c r="AS144"/>
  <c r="AS145"/>
  <c r="AS146"/>
  <c r="AS147"/>
  <c r="AS148"/>
  <c r="AS149"/>
  <c r="AS150"/>
  <c r="AS151"/>
  <c r="AS152"/>
  <c r="AS153"/>
  <c r="AS154"/>
  <c r="AS155"/>
  <c r="AS156"/>
  <c r="AS157"/>
  <c r="AS158"/>
  <c r="AS159"/>
  <c r="AQ142"/>
  <c r="AQ143"/>
  <c r="AQ144"/>
  <c r="AQ145"/>
  <c r="AQ146"/>
  <c r="AQ147"/>
  <c r="AQ148"/>
  <c r="AQ149"/>
  <c r="AQ150"/>
  <c r="AQ151"/>
  <c r="AQ152"/>
  <c r="AQ153"/>
  <c r="AQ154"/>
  <c r="AQ155"/>
  <c r="AQ156"/>
  <c r="AQ157"/>
  <c r="AQ158"/>
  <c r="AQ159"/>
  <c r="AP142"/>
  <c r="AP143"/>
  <c r="AP144"/>
  <c r="AP145"/>
  <c r="AP146"/>
  <c r="AP147"/>
  <c r="AP148"/>
  <c r="AP149"/>
  <c r="AP150"/>
  <c r="AP151"/>
  <c r="AP152"/>
  <c r="AP153"/>
  <c r="AP154"/>
  <c r="AP155"/>
  <c r="AP156"/>
  <c r="AP157"/>
  <c r="AP158"/>
  <c r="AP159"/>
  <c r="AO142"/>
  <c r="AO143"/>
  <c r="AO144"/>
  <c r="AO145"/>
  <c r="AO146"/>
  <c r="AO147"/>
  <c r="AO148"/>
  <c r="AO149"/>
  <c r="AO150"/>
  <c r="AO151"/>
  <c r="AO152"/>
  <c r="AO153"/>
  <c r="AO154"/>
  <c r="AO155"/>
  <c r="AO156"/>
  <c r="AO157"/>
  <c r="AO158"/>
  <c r="AO159"/>
  <c r="AN142"/>
  <c r="AN143"/>
  <c r="AN144"/>
  <c r="AN145"/>
  <c r="AN146"/>
  <c r="AN147"/>
  <c r="AN148"/>
  <c r="AN149"/>
  <c r="AN150"/>
  <c r="AN151"/>
  <c r="AN152"/>
  <c r="AN153"/>
  <c r="AN154"/>
  <c r="AN155"/>
  <c r="AN156"/>
  <c r="AN157"/>
  <c r="AN158"/>
  <c r="AN159"/>
  <c r="AM142"/>
  <c r="AM143"/>
  <c r="AM144"/>
  <c r="AM145"/>
  <c r="AM146"/>
  <c r="AM147"/>
  <c r="AM148"/>
  <c r="AM149"/>
  <c r="AM150"/>
  <c r="AM151"/>
  <c r="AM152"/>
  <c r="AM153"/>
  <c r="AM154"/>
  <c r="AM155"/>
  <c r="AM156"/>
  <c r="AM157"/>
  <c r="AM158"/>
  <c r="AM159"/>
  <c r="AL142"/>
  <c r="AL143"/>
  <c r="AL144"/>
  <c r="AL145"/>
  <c r="AL146"/>
  <c r="AL147"/>
  <c r="AL148"/>
  <c r="AL149"/>
  <c r="AL150"/>
  <c r="AL151"/>
  <c r="AL152"/>
  <c r="AL153"/>
  <c r="AL154"/>
  <c r="AL155"/>
  <c r="AL156"/>
  <c r="AL157"/>
  <c r="AL158"/>
  <c r="AL159"/>
  <c r="AJ142"/>
  <c r="AJ143"/>
  <c r="AJ144"/>
  <c r="AJ145"/>
  <c r="AJ146"/>
  <c r="AJ147"/>
  <c r="AJ148"/>
  <c r="AJ149"/>
  <c r="AJ150"/>
  <c r="AJ151"/>
  <c r="AJ152"/>
  <c r="AJ153"/>
  <c r="AJ154"/>
  <c r="AJ155"/>
  <c r="AJ156"/>
  <c r="AJ157"/>
  <c r="AJ158"/>
  <c r="AJ159"/>
  <c r="AI142"/>
  <c r="AI143"/>
  <c r="AI144"/>
  <c r="AI145"/>
  <c r="AI146"/>
  <c r="AI147"/>
  <c r="AI148"/>
  <c r="AI149"/>
  <c r="AI150"/>
  <c r="AI151"/>
  <c r="AI152"/>
  <c r="AI153"/>
  <c r="AI154"/>
  <c r="AI155"/>
  <c r="AI156"/>
  <c r="AI157"/>
  <c r="AI158"/>
  <c r="AI159"/>
  <c r="AH142"/>
  <c r="AH143"/>
  <c r="AH144"/>
  <c r="AH145"/>
  <c r="AH146"/>
  <c r="AH147"/>
  <c r="AH148"/>
  <c r="AH149"/>
  <c r="AH150"/>
  <c r="AH151"/>
  <c r="AH152"/>
  <c r="AH153"/>
  <c r="AH154"/>
  <c r="AH155"/>
  <c r="AH156"/>
  <c r="AH157"/>
  <c r="AH158"/>
  <c r="AH159"/>
  <c r="AG142"/>
  <c r="AG143"/>
  <c r="AG144"/>
  <c r="AG145"/>
  <c r="AG146"/>
  <c r="AG147"/>
  <c r="AG148"/>
  <c r="AG149"/>
  <c r="AG150"/>
  <c r="AG151"/>
  <c r="AG152"/>
  <c r="AG153"/>
  <c r="AG154"/>
  <c r="AG155"/>
  <c r="AG156"/>
  <c r="AG157"/>
  <c r="AG158"/>
  <c r="AG159"/>
  <c r="AD142"/>
  <c r="AD143"/>
  <c r="AD144"/>
  <c r="AD145"/>
  <c r="AD146"/>
  <c r="AD147"/>
  <c r="AD148"/>
  <c r="AD149"/>
  <c r="AD150"/>
  <c r="AD151"/>
  <c r="AD152"/>
  <c r="AD153"/>
  <c r="AD154"/>
  <c r="AD155"/>
  <c r="AD156"/>
  <c r="AD157"/>
  <c r="AD158"/>
  <c r="AD159"/>
  <c r="BC141" i="4"/>
  <c r="BC142"/>
  <c r="BC143"/>
  <c r="BC144"/>
  <c r="BC145"/>
  <c r="BC146"/>
  <c r="BC147"/>
  <c r="BC148"/>
  <c r="BC149"/>
  <c r="BC150"/>
  <c r="BC151"/>
  <c r="BC152"/>
  <c r="BC153"/>
  <c r="BC154"/>
  <c r="BC155"/>
  <c r="BC156"/>
  <c r="BC157"/>
  <c r="BC158"/>
  <c r="BB141"/>
  <c r="BB142"/>
  <c r="BB143"/>
  <c r="BB144"/>
  <c r="BB145"/>
  <c r="BB146"/>
  <c r="BB147"/>
  <c r="BB148"/>
  <c r="BB149"/>
  <c r="BB150"/>
  <c r="BB151"/>
  <c r="BB152"/>
  <c r="BB153"/>
  <c r="BB154"/>
  <c r="BB155"/>
  <c r="BB156"/>
  <c r="BB157"/>
  <c r="BB158"/>
  <c r="BA141"/>
  <c r="BA142"/>
  <c r="BA143"/>
  <c r="BA144"/>
  <c r="BA145"/>
  <c r="BA146"/>
  <c r="BA147"/>
  <c r="BA148"/>
  <c r="BA149"/>
  <c r="BA150"/>
  <c r="BA151"/>
  <c r="BA152"/>
  <c r="BA153"/>
  <c r="BA154"/>
  <c r="BA155"/>
  <c r="BA156"/>
  <c r="BA157"/>
  <c r="BA158"/>
  <c r="AZ141"/>
  <c r="AZ142"/>
  <c r="AZ143"/>
  <c r="AZ144"/>
  <c r="AZ145"/>
  <c r="AZ146"/>
  <c r="AZ147"/>
  <c r="AZ148"/>
  <c r="AZ149"/>
  <c r="AZ150"/>
  <c r="AZ151"/>
  <c r="AZ152"/>
  <c r="AZ153"/>
  <c r="AZ154"/>
  <c r="AZ155"/>
  <c r="AZ156"/>
  <c r="AZ157"/>
  <c r="AZ158"/>
  <c r="AX141"/>
  <c r="AX142"/>
  <c r="AX143"/>
  <c r="AX144"/>
  <c r="AX145"/>
  <c r="AX146"/>
  <c r="AX147"/>
  <c r="AX148"/>
  <c r="AX149"/>
  <c r="AX150"/>
  <c r="AX151"/>
  <c r="AX152"/>
  <c r="AX153"/>
  <c r="AX154"/>
  <c r="AX155"/>
  <c r="AX156"/>
  <c r="AX157"/>
  <c r="AX158"/>
  <c r="AW141"/>
  <c r="AW142"/>
  <c r="AW143"/>
  <c r="AW144"/>
  <c r="AW145"/>
  <c r="AW146"/>
  <c r="AW147"/>
  <c r="AW148"/>
  <c r="AW149"/>
  <c r="AW150"/>
  <c r="AW151"/>
  <c r="AW152"/>
  <c r="AW153"/>
  <c r="AW154"/>
  <c r="AW155"/>
  <c r="AW156"/>
  <c r="AW157"/>
  <c r="AW158"/>
  <c r="AV141"/>
  <c r="AV142"/>
  <c r="AV143"/>
  <c r="AV144"/>
  <c r="AV145"/>
  <c r="AV146"/>
  <c r="AV147"/>
  <c r="AV148"/>
  <c r="AV149"/>
  <c r="AV150"/>
  <c r="AV151"/>
  <c r="AV152"/>
  <c r="AV153"/>
  <c r="AV154"/>
  <c r="AV155"/>
  <c r="AV156"/>
  <c r="AV157"/>
  <c r="AV158"/>
  <c r="AU141"/>
  <c r="AU142"/>
  <c r="AU143"/>
  <c r="AU144"/>
  <c r="AU145"/>
  <c r="AU146"/>
  <c r="AU147"/>
  <c r="AU148"/>
  <c r="AU149"/>
  <c r="AU150"/>
  <c r="AU151"/>
  <c r="AU152"/>
  <c r="AU153"/>
  <c r="AU154"/>
  <c r="AU155"/>
  <c r="AU156"/>
  <c r="AU157"/>
  <c r="AT141"/>
  <c r="AT142"/>
  <c r="AT143"/>
  <c r="AT144"/>
  <c r="AT145"/>
  <c r="AT146"/>
  <c r="AT147"/>
  <c r="AT148"/>
  <c r="AT149"/>
  <c r="AT150"/>
  <c r="AT151"/>
  <c r="AT152"/>
  <c r="AT153"/>
  <c r="AT154"/>
  <c r="AT155"/>
  <c r="AT156"/>
  <c r="AT157"/>
  <c r="AT158"/>
  <c r="AS141"/>
  <c r="AS142"/>
  <c r="AS143"/>
  <c r="AS144"/>
  <c r="AS145"/>
  <c r="AS146"/>
  <c r="AS147"/>
  <c r="AS148"/>
  <c r="AS149"/>
  <c r="AS150"/>
  <c r="AS151"/>
  <c r="AS152"/>
  <c r="AS153"/>
  <c r="AS154"/>
  <c r="AS155"/>
  <c r="AS156"/>
  <c r="AS157"/>
  <c r="AS158"/>
  <c r="AR141"/>
  <c r="AR142"/>
  <c r="AR143"/>
  <c r="AR144"/>
  <c r="AR145"/>
  <c r="AR146"/>
  <c r="AR147"/>
  <c r="AR148"/>
  <c r="AR149"/>
  <c r="AR150"/>
  <c r="AR151"/>
  <c r="AR152"/>
  <c r="AR153"/>
  <c r="AR154"/>
  <c r="AR155"/>
  <c r="AR156"/>
  <c r="AR157"/>
  <c r="AR158"/>
  <c r="AQ141"/>
  <c r="AQ142"/>
  <c r="AQ143"/>
  <c r="AQ144"/>
  <c r="AQ145"/>
  <c r="AQ146"/>
  <c r="AQ147"/>
  <c r="AQ148"/>
  <c r="AQ149"/>
  <c r="AQ150"/>
  <c r="AQ151"/>
  <c r="AQ152"/>
  <c r="AQ153"/>
  <c r="AQ154"/>
  <c r="AQ155"/>
  <c r="AQ156"/>
  <c r="AQ157"/>
  <c r="AQ158"/>
  <c r="AP141"/>
  <c r="AP142"/>
  <c r="AP143"/>
  <c r="AP144"/>
  <c r="AP145"/>
  <c r="AP146"/>
  <c r="AP147"/>
  <c r="AP148"/>
  <c r="AP149"/>
  <c r="AP150"/>
  <c r="AP151"/>
  <c r="AP152"/>
  <c r="AP153"/>
  <c r="AP154"/>
  <c r="AP155"/>
  <c r="AP156"/>
  <c r="AP157"/>
  <c r="AP158"/>
  <c r="AO141"/>
  <c r="AO142"/>
  <c r="AO143"/>
  <c r="AO144"/>
  <c r="AO145"/>
  <c r="AO146"/>
  <c r="AO147"/>
  <c r="AO148"/>
  <c r="AO149"/>
  <c r="AO150"/>
  <c r="AO151"/>
  <c r="AO152"/>
  <c r="AO153"/>
  <c r="AO154"/>
  <c r="AO155"/>
  <c r="AO156"/>
  <c r="AO157"/>
  <c r="AO158"/>
  <c r="AN141"/>
  <c r="AN142"/>
  <c r="AN143"/>
  <c r="AN144"/>
  <c r="AN145"/>
  <c r="AN146"/>
  <c r="AN147"/>
  <c r="AN148"/>
  <c r="AN149"/>
  <c r="AN150"/>
  <c r="AN151"/>
  <c r="AN152"/>
  <c r="AN153"/>
  <c r="AN154"/>
  <c r="AN155"/>
  <c r="AN156"/>
  <c r="AN157"/>
  <c r="AN158"/>
  <c r="AM141"/>
  <c r="AM142"/>
  <c r="AM143"/>
  <c r="AM144"/>
  <c r="AM145"/>
  <c r="AM146"/>
  <c r="AM147"/>
  <c r="AM148"/>
  <c r="AM149"/>
  <c r="AM150"/>
  <c r="AM151"/>
  <c r="AM152"/>
  <c r="AM153"/>
  <c r="AM154"/>
  <c r="AM155"/>
  <c r="AM156"/>
  <c r="AM157"/>
  <c r="AM158"/>
  <c r="AL141"/>
  <c r="AL142"/>
  <c r="AL143"/>
  <c r="AL144"/>
  <c r="AL145"/>
  <c r="AL146"/>
  <c r="AL147"/>
  <c r="AL148"/>
  <c r="AL149"/>
  <c r="AL150"/>
  <c r="AL151"/>
  <c r="AL152"/>
  <c r="AL153"/>
  <c r="AL154"/>
  <c r="AL155"/>
  <c r="AL156"/>
  <c r="AL157"/>
  <c r="AL158"/>
  <c r="AK141"/>
  <c r="AK142"/>
  <c r="AK143"/>
  <c r="AK144"/>
  <c r="AK145"/>
  <c r="AK146"/>
  <c r="AK147"/>
  <c r="AK148"/>
  <c r="AK149"/>
  <c r="AK150"/>
  <c r="AK151"/>
  <c r="AK152"/>
  <c r="AK153"/>
  <c r="AK154"/>
  <c r="AK155"/>
  <c r="AK156"/>
  <c r="AK157"/>
  <c r="AK158"/>
  <c r="AJ141"/>
  <c r="AJ142"/>
  <c r="AJ143"/>
  <c r="AJ144"/>
  <c r="AJ145"/>
  <c r="AJ146"/>
  <c r="AJ147"/>
  <c r="AJ148"/>
  <c r="AJ149"/>
  <c r="AJ150"/>
  <c r="AJ151"/>
  <c r="AJ152"/>
  <c r="AJ153"/>
  <c r="AJ154"/>
  <c r="AJ155"/>
  <c r="AJ156"/>
  <c r="AJ157"/>
  <c r="AJ158"/>
  <c r="AI141"/>
  <c r="AI142"/>
  <c r="AI143"/>
  <c r="AI144"/>
  <c r="AI145"/>
  <c r="AI146"/>
  <c r="AI147"/>
  <c r="AI148"/>
  <c r="AI149"/>
  <c r="AI150"/>
  <c r="AI151"/>
  <c r="AI152"/>
  <c r="AI153"/>
  <c r="AI154"/>
  <c r="AI155"/>
  <c r="AI156"/>
  <c r="AI157"/>
  <c r="AI158"/>
  <c r="AF141"/>
  <c r="AF142"/>
  <c r="AF143"/>
  <c r="AF144"/>
  <c r="AF145"/>
  <c r="AF146"/>
  <c r="AF147"/>
  <c r="AF148"/>
  <c r="AF149"/>
  <c r="AF150"/>
  <c r="AF151"/>
  <c r="AF152"/>
  <c r="AF153"/>
  <c r="AF154"/>
  <c r="AF155"/>
  <c r="AF156"/>
  <c r="AF157"/>
  <c r="AF158"/>
  <c r="AE141"/>
  <c r="AE142"/>
  <c r="AE143"/>
  <c r="AE144"/>
  <c r="AE145"/>
  <c r="AE146"/>
  <c r="AE147"/>
  <c r="AE148"/>
  <c r="AE149"/>
  <c r="AE150"/>
  <c r="AE151"/>
  <c r="AE152"/>
  <c r="AE153"/>
  <c r="AE154"/>
  <c r="AE155"/>
  <c r="AE156"/>
  <c r="AE157"/>
  <c r="AE158"/>
  <c r="AD141"/>
  <c r="AD142"/>
  <c r="AD143"/>
  <c r="AD144"/>
  <c r="AD145"/>
  <c r="AD146"/>
  <c r="AD147"/>
  <c r="AD148"/>
  <c r="AD149"/>
  <c r="AD150"/>
  <c r="AD151"/>
  <c r="AD152"/>
  <c r="AD153"/>
  <c r="AD154"/>
  <c r="AD155"/>
  <c r="AD156"/>
  <c r="AD157"/>
  <c r="AD158"/>
  <c r="AC141"/>
  <c r="AC142"/>
  <c r="AC143"/>
  <c r="AC144"/>
  <c r="AC145"/>
  <c r="AC146"/>
  <c r="AC147"/>
  <c r="AC148"/>
  <c r="AC149"/>
  <c r="AC150"/>
  <c r="AC151"/>
  <c r="AC152"/>
  <c r="AC153"/>
  <c r="AC154"/>
  <c r="AC155"/>
  <c r="AC156"/>
  <c r="AC157"/>
  <c r="AC158"/>
  <c r="AB141"/>
  <c r="AB142"/>
  <c r="AB143"/>
  <c r="AB144"/>
  <c r="AB145"/>
  <c r="AB146"/>
  <c r="AB147"/>
  <c r="AB148"/>
  <c r="AB149"/>
  <c r="AB150"/>
  <c r="AB151"/>
  <c r="AB152"/>
  <c r="AB153"/>
  <c r="AB154"/>
  <c r="AB155"/>
  <c r="AB156"/>
  <c r="AB157"/>
  <c r="AB158"/>
  <c r="AL141" i="3"/>
  <c r="AL142"/>
  <c r="AL143"/>
  <c r="AL144"/>
  <c r="AL145"/>
  <c r="AL146"/>
  <c r="AL147"/>
  <c r="AL148"/>
  <c r="AL149"/>
  <c r="AL150"/>
  <c r="AL151"/>
  <c r="AL152"/>
  <c r="AL153"/>
  <c r="AL154"/>
  <c r="AL155"/>
  <c r="AL156"/>
  <c r="AL157"/>
  <c r="AL158"/>
  <c r="AK141"/>
  <c r="AK142"/>
  <c r="AK143"/>
  <c r="AK144"/>
  <c r="AK145"/>
  <c r="AK146"/>
  <c r="AK147"/>
  <c r="AK148"/>
  <c r="AK149"/>
  <c r="AK150"/>
  <c r="AK151"/>
  <c r="AK152"/>
  <c r="AK153"/>
  <c r="AK154"/>
  <c r="AK155"/>
  <c r="AK156"/>
  <c r="AK157"/>
  <c r="AK158"/>
  <c r="AJ141"/>
  <c r="AJ142"/>
  <c r="AJ143"/>
  <c r="AJ144"/>
  <c r="AJ145"/>
  <c r="AJ146"/>
  <c r="AJ147"/>
  <c r="AJ148"/>
  <c r="AJ149"/>
  <c r="AJ150"/>
  <c r="AJ151"/>
  <c r="AJ152"/>
  <c r="AJ153"/>
  <c r="AJ154"/>
  <c r="AJ155"/>
  <c r="AJ156"/>
  <c r="AJ157"/>
  <c r="AJ158"/>
  <c r="AD141"/>
  <c r="AD142"/>
  <c r="AD143"/>
  <c r="AD144"/>
  <c r="AD145"/>
  <c r="AD146"/>
  <c r="AD147"/>
  <c r="AD148"/>
  <c r="AD149"/>
  <c r="AD150"/>
  <c r="AD151"/>
  <c r="AD152"/>
  <c r="AD153"/>
  <c r="AD154"/>
  <c r="AD155"/>
  <c r="AD156"/>
  <c r="AD157"/>
  <c r="AD158"/>
  <c r="AC141"/>
  <c r="AC142"/>
  <c r="AC143"/>
  <c r="AC144"/>
  <c r="AC145"/>
  <c r="AC146"/>
  <c r="AC147"/>
  <c r="AC148"/>
  <c r="AC149"/>
  <c r="AC150"/>
  <c r="AC151"/>
  <c r="AC152"/>
  <c r="AC153"/>
  <c r="AC154"/>
  <c r="AC155"/>
  <c r="AC156"/>
  <c r="AC157"/>
  <c r="AC158"/>
  <c r="AD4"/>
  <c r="AD5"/>
  <c r="AD6"/>
  <c r="AD7"/>
  <c r="AD8"/>
  <c r="AD9"/>
  <c r="AD10"/>
  <c r="AD11"/>
  <c r="AD12"/>
  <c r="AD13"/>
  <c r="AD14"/>
  <c r="AD15"/>
  <c r="AD16"/>
  <c r="AD17"/>
  <c r="AD18"/>
  <c r="AD19"/>
  <c r="AD20"/>
  <c r="AD21"/>
  <c r="AD22"/>
  <c r="AD23"/>
  <c r="AD24"/>
  <c r="AD25"/>
  <c r="AD26"/>
  <c r="AD27"/>
  <c r="AD28"/>
  <c r="AD29"/>
  <c r="AD30"/>
  <c r="AD31"/>
  <c r="AD32"/>
  <c r="AD33"/>
  <c r="AD34"/>
  <c r="AD35"/>
  <c r="AD36"/>
  <c r="AD37"/>
  <c r="AD38"/>
  <c r="AD39"/>
  <c r="AD40"/>
  <c r="AD41"/>
  <c r="AD42"/>
  <c r="AD43"/>
  <c r="AD44"/>
  <c r="AD45"/>
  <c r="AD46"/>
  <c r="AD47"/>
  <c r="AD48"/>
  <c r="AD49"/>
  <c r="AD50"/>
  <c r="AD51"/>
  <c r="AD52"/>
  <c r="AD53"/>
  <c r="AD54"/>
  <c r="AD55"/>
  <c r="AD56"/>
  <c r="AD57"/>
  <c r="AD58"/>
  <c r="AD59"/>
  <c r="AD60"/>
  <c r="AD61"/>
  <c r="AD62"/>
  <c r="AD63"/>
  <c r="AD64"/>
  <c r="AD65"/>
  <c r="AD66"/>
  <c r="AD67"/>
  <c r="AD68"/>
  <c r="AD69"/>
  <c r="AD70"/>
  <c r="AD71"/>
  <c r="AD72"/>
  <c r="AD73"/>
  <c r="AD74"/>
  <c r="AD75"/>
  <c r="AD76"/>
  <c r="AD77"/>
  <c r="AD78"/>
  <c r="AD79"/>
  <c r="AD80"/>
  <c r="AD81"/>
  <c r="AD82"/>
  <c r="AD83"/>
  <c r="AD84"/>
  <c r="AD85"/>
  <c r="AD86"/>
  <c r="AD87"/>
  <c r="AD88"/>
  <c r="AD89"/>
  <c r="AD90"/>
  <c r="AD91"/>
  <c r="AD92"/>
  <c r="AD93"/>
  <c r="AD94"/>
  <c r="AD95"/>
  <c r="AD96"/>
  <c r="AD97"/>
  <c r="AD98"/>
  <c r="AD99"/>
  <c r="AD100"/>
  <c r="AD101"/>
  <c r="AD102"/>
  <c r="AD103"/>
  <c r="AD104"/>
  <c r="AD105"/>
  <c r="AD106"/>
  <c r="AD107"/>
  <c r="AD108"/>
  <c r="AD109"/>
  <c r="AD110"/>
  <c r="AD111"/>
  <c r="AD112"/>
  <c r="AD113"/>
  <c r="AD114"/>
  <c r="AD115"/>
  <c r="AD116"/>
  <c r="AD117"/>
  <c r="AD118"/>
  <c r="AD119"/>
  <c r="AD120"/>
  <c r="AD121"/>
  <c r="AD122"/>
  <c r="AD123"/>
  <c r="AD124"/>
  <c r="AD125"/>
  <c r="AD126"/>
  <c r="AD127"/>
  <c r="AD128"/>
  <c r="AD129"/>
  <c r="AD130"/>
  <c r="AD131"/>
  <c r="AD132"/>
  <c r="AD133"/>
  <c r="AD134"/>
  <c r="AD135"/>
  <c r="AD136"/>
  <c r="AD137"/>
  <c r="AD138"/>
  <c r="AD139"/>
  <c r="AD140"/>
  <c r="AC4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6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8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99"/>
  <c r="AC100"/>
  <c r="AC101"/>
  <c r="AC102"/>
  <c r="AC103"/>
  <c r="AC104"/>
  <c r="AC105"/>
  <c r="AC106"/>
  <c r="AC107"/>
  <c r="AC108"/>
  <c r="AC109"/>
  <c r="AC110"/>
  <c r="AC111"/>
  <c r="AC112"/>
  <c r="AC113"/>
  <c r="AC114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C135"/>
  <c r="AC136"/>
  <c r="AC137"/>
  <c r="AC138"/>
  <c r="AC139"/>
  <c r="AC140"/>
  <c r="AC56" i="2"/>
  <c r="AC78"/>
  <c r="AC99"/>
  <c r="AC103"/>
  <c r="AC104"/>
  <c r="AC106"/>
  <c r="AC113"/>
  <c r="AC114"/>
  <c r="AL4" i="3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L50"/>
  <c r="AL51"/>
  <c r="AL52"/>
  <c r="AL53"/>
  <c r="AL54"/>
  <c r="AL55"/>
  <c r="AL56"/>
  <c r="AL57"/>
  <c r="AL58"/>
  <c r="AL59"/>
  <c r="AL60"/>
  <c r="AL61"/>
  <c r="AL62"/>
  <c r="AL63"/>
  <c r="AL64"/>
  <c r="AL65"/>
  <c r="AL66"/>
  <c r="AL67"/>
  <c r="AL68"/>
  <c r="AL69"/>
  <c r="AL70"/>
  <c r="AL71"/>
  <c r="AL72"/>
  <c r="AL73"/>
  <c r="AL74"/>
  <c r="AL75"/>
  <c r="AL76"/>
  <c r="AL77"/>
  <c r="AL78"/>
  <c r="AL79"/>
  <c r="AL80"/>
  <c r="AL81"/>
  <c r="AL82"/>
  <c r="AL83"/>
  <c r="AL84"/>
  <c r="AL85"/>
  <c r="AL86"/>
  <c r="AL87"/>
  <c r="AL88"/>
  <c r="AL89"/>
  <c r="AL90"/>
  <c r="AL91"/>
  <c r="AL92"/>
  <c r="AL93"/>
  <c r="AL94"/>
  <c r="AL95"/>
  <c r="AL96"/>
  <c r="AL97"/>
  <c r="AL98"/>
  <c r="AL99"/>
  <c r="AL100"/>
  <c r="AL101"/>
  <c r="AL102"/>
  <c r="AL103"/>
  <c r="AL104"/>
  <c r="AL105"/>
  <c r="AL106"/>
  <c r="AL107"/>
  <c r="AL108"/>
  <c r="AL109"/>
  <c r="AL110"/>
  <c r="AL111"/>
  <c r="AL112"/>
  <c r="AL113"/>
  <c r="AL114"/>
  <c r="AL115"/>
  <c r="AL116"/>
  <c r="AL117"/>
  <c r="AL118"/>
  <c r="AL119"/>
  <c r="AL120"/>
  <c r="AL121"/>
  <c r="AL122"/>
  <c r="AL123"/>
  <c r="AL124"/>
  <c r="AL125"/>
  <c r="AL126"/>
  <c r="AL127"/>
  <c r="AL128"/>
  <c r="AL129"/>
  <c r="AL130"/>
  <c r="AL131"/>
  <c r="AL132"/>
  <c r="AL133"/>
  <c r="AL134"/>
  <c r="AL135"/>
  <c r="AL136"/>
  <c r="AL137"/>
  <c r="AL138"/>
  <c r="AL139"/>
  <c r="AL140"/>
  <c r="AL3"/>
  <c r="AK4"/>
  <c r="AK5"/>
  <c r="AK6"/>
  <c r="AK7"/>
  <c r="AK8"/>
  <c r="AK9"/>
  <c r="AK10"/>
  <c r="AK11"/>
  <c r="AK12"/>
  <c r="AK13"/>
  <c r="AK14"/>
  <c r="AK15"/>
  <c r="AK16"/>
  <c r="AK17"/>
  <c r="AK18"/>
  <c r="AK19"/>
  <c r="AK20"/>
  <c r="AK21"/>
  <c r="AK22"/>
  <c r="AK23"/>
  <c r="AK24"/>
  <c r="AK25"/>
  <c r="AK26"/>
  <c r="AK27"/>
  <c r="AK28"/>
  <c r="AK29"/>
  <c r="AK30"/>
  <c r="AK31"/>
  <c r="AK32"/>
  <c r="AK33"/>
  <c r="AK34"/>
  <c r="AK35"/>
  <c r="AK36"/>
  <c r="AK37"/>
  <c r="AK38"/>
  <c r="AK39"/>
  <c r="AK40"/>
  <c r="AK41"/>
  <c r="AK42"/>
  <c r="AK43"/>
  <c r="AK44"/>
  <c r="AK45"/>
  <c r="AK46"/>
  <c r="AK47"/>
  <c r="AK48"/>
  <c r="AK49"/>
  <c r="AK50"/>
  <c r="AK51"/>
  <c r="AK52"/>
  <c r="AK53"/>
  <c r="AK54"/>
  <c r="AK55"/>
  <c r="AK56"/>
  <c r="AK57"/>
  <c r="AK58"/>
  <c r="AK59"/>
  <c r="AK60"/>
  <c r="AK61"/>
  <c r="AK62"/>
  <c r="AK63"/>
  <c r="AK64"/>
  <c r="AK65"/>
  <c r="AK66"/>
  <c r="AK67"/>
  <c r="AK68"/>
  <c r="AK69"/>
  <c r="AK70"/>
  <c r="AK71"/>
  <c r="AK72"/>
  <c r="AK73"/>
  <c r="AK74"/>
  <c r="AK75"/>
  <c r="AK76"/>
  <c r="AK77"/>
  <c r="AK78"/>
  <c r="AK79"/>
  <c r="AK80"/>
  <c r="AK81"/>
  <c r="AK82"/>
  <c r="AK83"/>
  <c r="AK84"/>
  <c r="AK85"/>
  <c r="AK86"/>
  <c r="AK87"/>
  <c r="AK88"/>
  <c r="AK89"/>
  <c r="AK90"/>
  <c r="AK91"/>
  <c r="AK92"/>
  <c r="AK93"/>
  <c r="AK94"/>
  <c r="AK95"/>
  <c r="AK96"/>
  <c r="AK97"/>
  <c r="AK98"/>
  <c r="AK99"/>
  <c r="AK100"/>
  <c r="AK101"/>
  <c r="AK102"/>
  <c r="AK103"/>
  <c r="AK104"/>
  <c r="AK105"/>
  <c r="AK106"/>
  <c r="AK107"/>
  <c r="AK108"/>
  <c r="AK109"/>
  <c r="AK110"/>
  <c r="AK111"/>
  <c r="AK112"/>
  <c r="AK113"/>
  <c r="AK114"/>
  <c r="AK115"/>
  <c r="AK116"/>
  <c r="AK117"/>
  <c r="AK118"/>
  <c r="AK119"/>
  <c r="AK120"/>
  <c r="AK121"/>
  <c r="AK122"/>
  <c r="AK123"/>
  <c r="AK124"/>
  <c r="AK125"/>
  <c r="AK126"/>
  <c r="AK127"/>
  <c r="AK128"/>
  <c r="AK129"/>
  <c r="AK130"/>
  <c r="AK131"/>
  <c r="AK132"/>
  <c r="AK133"/>
  <c r="AK134"/>
  <c r="AK135"/>
  <c r="AK136"/>
  <c r="AK137"/>
  <c r="AK138"/>
  <c r="AK139"/>
  <c r="AK140"/>
  <c r="AK3"/>
  <c r="AJ4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50"/>
  <c r="AJ51"/>
  <c r="AJ52"/>
  <c r="AJ53"/>
  <c r="AJ54"/>
  <c r="AJ55"/>
  <c r="AJ56"/>
  <c r="AJ57"/>
  <c r="AJ58"/>
  <c r="AJ59"/>
  <c r="AJ60"/>
  <c r="AJ61"/>
  <c r="AJ62"/>
  <c r="AJ63"/>
  <c r="AJ64"/>
  <c r="AJ65"/>
  <c r="AJ66"/>
  <c r="AJ67"/>
  <c r="AJ68"/>
  <c r="AJ69"/>
  <c r="AJ70"/>
  <c r="AJ71"/>
  <c r="AJ72"/>
  <c r="AJ73"/>
  <c r="AJ74"/>
  <c r="AJ75"/>
  <c r="AJ76"/>
  <c r="AJ77"/>
  <c r="AJ78"/>
  <c r="AJ79"/>
  <c r="AJ80"/>
  <c r="AJ81"/>
  <c r="AJ82"/>
  <c r="AJ83"/>
  <c r="AJ84"/>
  <c r="AJ85"/>
  <c r="AJ86"/>
  <c r="AJ87"/>
  <c r="AJ88"/>
  <c r="AJ89"/>
  <c r="AJ90"/>
  <c r="AJ91"/>
  <c r="AJ92"/>
  <c r="AJ93"/>
  <c r="AJ94"/>
  <c r="AJ95"/>
  <c r="AJ96"/>
  <c r="AJ97"/>
  <c r="AJ98"/>
  <c r="AJ99"/>
  <c r="AJ100"/>
  <c r="AJ101"/>
  <c r="AJ102"/>
  <c r="AJ103"/>
  <c r="AJ104"/>
  <c r="AJ105"/>
  <c r="AJ106"/>
  <c r="AJ107"/>
  <c r="AJ108"/>
  <c r="AJ109"/>
  <c r="AJ110"/>
  <c r="AJ111"/>
  <c r="AJ112"/>
  <c r="AJ113"/>
  <c r="AJ114"/>
  <c r="AJ115"/>
  <c r="AJ116"/>
  <c r="AJ117"/>
  <c r="AJ118"/>
  <c r="AJ119"/>
  <c r="AJ120"/>
  <c r="AJ121"/>
  <c r="AJ122"/>
  <c r="AJ123"/>
  <c r="AJ124"/>
  <c r="AJ125"/>
  <c r="AJ126"/>
  <c r="AJ127"/>
  <c r="AJ128"/>
  <c r="AJ129"/>
  <c r="AJ130"/>
  <c r="AJ131"/>
  <c r="AJ132"/>
  <c r="AJ133"/>
  <c r="AJ134"/>
  <c r="AJ135"/>
  <c r="AJ136"/>
  <c r="AJ137"/>
  <c r="AJ138"/>
  <c r="AJ139"/>
  <c r="AJ140"/>
  <c r="AJ3"/>
  <c r="E300" i="2" l="1"/>
  <c r="F300"/>
  <c r="G300"/>
  <c r="H300"/>
  <c r="I300"/>
  <c r="J300"/>
  <c r="K300"/>
  <c r="L300"/>
  <c r="M300"/>
  <c r="N300"/>
  <c r="O300"/>
  <c r="P300"/>
  <c r="Q300"/>
  <c r="R300"/>
  <c r="S300"/>
  <c r="T300"/>
  <c r="U300"/>
  <c r="V300"/>
  <c r="W300"/>
  <c r="X300"/>
  <c r="Y300"/>
  <c r="Z300"/>
  <c r="AA300"/>
  <c r="AB300"/>
  <c r="D300"/>
  <c r="AX4" i="4"/>
  <c r="AX5"/>
  <c r="AX6"/>
  <c r="AX7"/>
  <c r="AX8"/>
  <c r="AX9"/>
  <c r="AX10"/>
  <c r="AX11"/>
  <c r="AX12"/>
  <c r="AX13"/>
  <c r="AX14"/>
  <c r="AX15"/>
  <c r="AX16"/>
  <c r="AX17"/>
  <c r="AX18"/>
  <c r="AX19"/>
  <c r="AX20"/>
  <c r="AX21"/>
  <c r="AX22"/>
  <c r="AX23"/>
  <c r="AX24"/>
  <c r="AX25"/>
  <c r="AX26"/>
  <c r="AX27"/>
  <c r="AX28"/>
  <c r="AX29"/>
  <c r="AX30"/>
  <c r="AX31"/>
  <c r="AX32"/>
  <c r="AX33"/>
  <c r="AX34"/>
  <c r="AX35"/>
  <c r="AX36"/>
  <c r="AX37"/>
  <c r="AX38"/>
  <c r="AX39"/>
  <c r="AX40"/>
  <c r="AX41"/>
  <c r="AX42"/>
  <c r="AX43"/>
  <c r="AX44"/>
  <c r="AX45"/>
  <c r="AX46"/>
  <c r="AX47"/>
  <c r="AX48"/>
  <c r="AX49"/>
  <c r="AX50"/>
  <c r="AX51"/>
  <c r="AX52"/>
  <c r="AX53"/>
  <c r="AX54"/>
  <c r="AX55"/>
  <c r="AX56"/>
  <c r="AX57"/>
  <c r="AX58"/>
  <c r="AX59"/>
  <c r="AX60"/>
  <c r="AX61"/>
  <c r="AX62"/>
  <c r="AX63"/>
  <c r="AX64"/>
  <c r="AX65"/>
  <c r="AX66"/>
  <c r="AX67"/>
  <c r="AX68"/>
  <c r="AX69"/>
  <c r="AX70"/>
  <c r="AX71"/>
  <c r="AX72"/>
  <c r="AX73"/>
  <c r="AX74"/>
  <c r="AX75"/>
  <c r="AX76"/>
  <c r="AX77"/>
  <c r="AX78"/>
  <c r="AX79"/>
  <c r="AX80"/>
  <c r="AX81"/>
  <c r="AX82"/>
  <c r="AX83"/>
  <c r="AX84"/>
  <c r="AX85"/>
  <c r="AX86"/>
  <c r="AX87"/>
  <c r="AX88"/>
  <c r="AX89"/>
  <c r="AX90"/>
  <c r="AX91"/>
  <c r="AX92"/>
  <c r="AX93"/>
  <c r="AX94"/>
  <c r="AX95"/>
  <c r="AX96"/>
  <c r="AX97"/>
  <c r="AX98"/>
  <c r="AX99"/>
  <c r="AX100"/>
  <c r="AX101"/>
  <c r="AX102"/>
  <c r="AX103"/>
  <c r="AX104"/>
  <c r="AX105"/>
  <c r="AX106"/>
  <c r="AX107"/>
  <c r="AX108"/>
  <c r="AX109"/>
  <c r="AX110"/>
  <c r="AX111"/>
  <c r="AX112"/>
  <c r="AX113"/>
  <c r="AX114"/>
  <c r="AX115"/>
  <c r="AX116"/>
  <c r="AX117"/>
  <c r="AX118"/>
  <c r="AX119"/>
  <c r="AX120"/>
  <c r="AX121"/>
  <c r="AX122"/>
  <c r="AX123"/>
  <c r="AX124"/>
  <c r="AX125"/>
  <c r="AX126"/>
  <c r="AX127"/>
  <c r="AX128"/>
  <c r="AX129"/>
  <c r="AX130"/>
  <c r="AX131"/>
  <c r="AX132"/>
  <c r="AX133"/>
  <c r="AX134"/>
  <c r="AX135"/>
  <c r="AX136"/>
  <c r="AX137"/>
  <c r="AX138"/>
  <c r="AX139"/>
  <c r="AX140"/>
  <c r="AX3"/>
  <c r="AU4"/>
  <c r="AU5"/>
  <c r="AU6"/>
  <c r="AU7"/>
  <c r="AU8"/>
  <c r="AU9"/>
  <c r="AU10"/>
  <c r="AU11"/>
  <c r="AU12"/>
  <c r="AU13"/>
  <c r="AU14"/>
  <c r="AU15"/>
  <c r="AU16"/>
  <c r="AU17"/>
  <c r="AU18"/>
  <c r="AU19"/>
  <c r="AU20"/>
  <c r="AU21"/>
  <c r="AU22"/>
  <c r="AU23"/>
  <c r="AU24"/>
  <c r="AU25"/>
  <c r="AU26"/>
  <c r="AU27"/>
  <c r="AU28"/>
  <c r="AU29"/>
  <c r="AU30"/>
  <c r="AU31"/>
  <c r="AU32"/>
  <c r="AU33"/>
  <c r="AU34"/>
  <c r="AU35"/>
  <c r="AU36"/>
  <c r="AU37"/>
  <c r="AU38"/>
  <c r="AU39"/>
  <c r="AU40"/>
  <c r="AU41"/>
  <c r="AU42"/>
  <c r="AU43"/>
  <c r="AU44"/>
  <c r="AU45"/>
  <c r="AU46"/>
  <c r="AU47"/>
  <c r="AU48"/>
  <c r="AU49"/>
  <c r="AU50"/>
  <c r="AU51"/>
  <c r="AU52"/>
  <c r="AU53"/>
  <c r="AU54"/>
  <c r="AU55"/>
  <c r="AU56"/>
  <c r="AU57"/>
  <c r="AU58"/>
  <c r="AU59"/>
  <c r="AU60"/>
  <c r="AU61"/>
  <c r="AU62"/>
  <c r="AU63"/>
  <c r="AU64"/>
  <c r="AU65"/>
  <c r="AU66"/>
  <c r="AU67"/>
  <c r="AU68"/>
  <c r="AU69"/>
  <c r="AU70"/>
  <c r="AU71"/>
  <c r="AU72"/>
  <c r="AU73"/>
  <c r="AU74"/>
  <c r="AU75"/>
  <c r="AU76"/>
  <c r="AU77"/>
  <c r="AU78"/>
  <c r="AU79"/>
  <c r="AU80"/>
  <c r="AU81"/>
  <c r="AU82"/>
  <c r="AU83"/>
  <c r="AU84"/>
  <c r="AU85"/>
  <c r="AU86"/>
  <c r="AU87"/>
  <c r="AU88"/>
  <c r="AU89"/>
  <c r="AU90"/>
  <c r="AU91"/>
  <c r="AU92"/>
  <c r="AU93"/>
  <c r="AU94"/>
  <c r="AU95"/>
  <c r="AU96"/>
  <c r="AU97"/>
  <c r="AU98"/>
  <c r="AU99"/>
  <c r="AU100"/>
  <c r="AU101"/>
  <c r="AU102"/>
  <c r="AU103"/>
  <c r="AU104"/>
  <c r="AU105"/>
  <c r="AU106"/>
  <c r="AU107"/>
  <c r="AU108"/>
  <c r="AU109"/>
  <c r="AU110"/>
  <c r="AU111"/>
  <c r="AU112"/>
  <c r="AU113"/>
  <c r="AU114"/>
  <c r="AU115"/>
  <c r="AU116"/>
  <c r="AU117"/>
  <c r="AU118"/>
  <c r="AU119"/>
  <c r="AU120"/>
  <c r="AU121"/>
  <c r="AU122"/>
  <c r="AU123"/>
  <c r="AU124"/>
  <c r="AU125"/>
  <c r="AU126"/>
  <c r="AU127"/>
  <c r="AU128"/>
  <c r="AU129"/>
  <c r="AU130"/>
  <c r="AU131"/>
  <c r="AU132"/>
  <c r="AU133"/>
  <c r="AU134"/>
  <c r="AU135"/>
  <c r="AU136"/>
  <c r="AU137"/>
  <c r="AU138"/>
  <c r="AU139"/>
  <c r="AU140"/>
  <c r="AU3"/>
  <c r="BD5" i="6"/>
  <c r="BD6"/>
  <c r="BD7"/>
  <c r="BD8"/>
  <c r="BD9"/>
  <c r="BD10"/>
  <c r="BD11"/>
  <c r="BD12"/>
  <c r="BD13"/>
  <c r="BD14"/>
  <c r="BD15"/>
  <c r="BD16"/>
  <c r="BD17"/>
  <c r="BD18"/>
  <c r="BD19"/>
  <c r="BD20"/>
  <c r="BD21"/>
  <c r="BD22"/>
  <c r="BD23"/>
  <c r="BD24"/>
  <c r="BD25"/>
  <c r="BD26"/>
  <c r="BD27"/>
  <c r="BD28"/>
  <c r="BD29"/>
  <c r="BD30"/>
  <c r="BD31"/>
  <c r="BD32"/>
  <c r="BD33"/>
  <c r="BD34"/>
  <c r="BD35"/>
  <c r="BD36"/>
  <c r="BD37"/>
  <c r="BD38"/>
  <c r="BD39"/>
  <c r="BD40"/>
  <c r="BD41"/>
  <c r="BD42"/>
  <c r="BD43"/>
  <c r="BD44"/>
  <c r="BD45"/>
  <c r="BD46"/>
  <c r="BD47"/>
  <c r="BD48"/>
  <c r="BD49"/>
  <c r="BD50"/>
  <c r="BD51"/>
  <c r="BD52"/>
  <c r="BD53"/>
  <c r="BD54"/>
  <c r="BD55"/>
  <c r="BD56"/>
  <c r="BD57"/>
  <c r="BD58"/>
  <c r="BD59"/>
  <c r="BD60"/>
  <c r="BD61"/>
  <c r="BD62"/>
  <c r="BD63"/>
  <c r="BD64"/>
  <c r="BD65"/>
  <c r="BD66"/>
  <c r="BD67"/>
  <c r="BD68"/>
  <c r="BD69"/>
  <c r="BD70"/>
  <c r="BD71"/>
  <c r="BD72"/>
  <c r="BD73"/>
  <c r="BD74"/>
  <c r="BD75"/>
  <c r="BD76"/>
  <c r="BD77"/>
  <c r="BD78"/>
  <c r="BD79"/>
  <c r="BD80"/>
  <c r="BD81"/>
  <c r="BD82"/>
  <c r="BD83"/>
  <c r="BD84"/>
  <c r="BD85"/>
  <c r="BD86"/>
  <c r="BD87"/>
  <c r="BD88"/>
  <c r="BD89"/>
  <c r="BD90"/>
  <c r="BD91"/>
  <c r="BD92"/>
  <c r="BD93"/>
  <c r="BD94"/>
  <c r="BD95"/>
  <c r="BD96"/>
  <c r="BD97"/>
  <c r="BD98"/>
  <c r="BD99"/>
  <c r="BD100"/>
  <c r="BD101"/>
  <c r="BD102"/>
  <c r="BD103"/>
  <c r="BD104"/>
  <c r="BD105"/>
  <c r="BD106"/>
  <c r="BD107"/>
  <c r="BD108"/>
  <c r="BD109"/>
  <c r="BD110"/>
  <c r="BD111"/>
  <c r="BD112"/>
  <c r="BD113"/>
  <c r="BD114"/>
  <c r="BD115"/>
  <c r="BD116"/>
  <c r="BD117"/>
  <c r="BD118"/>
  <c r="BD119"/>
  <c r="BD120"/>
  <c r="BD121"/>
  <c r="BD122"/>
  <c r="BD123"/>
  <c r="BD124"/>
  <c r="BD125"/>
  <c r="BD126"/>
  <c r="BD127"/>
  <c r="BD128"/>
  <c r="BD129"/>
  <c r="BD130"/>
  <c r="BD131"/>
  <c r="BD132"/>
  <c r="BD133"/>
  <c r="BD134"/>
  <c r="BD135"/>
  <c r="BD136"/>
  <c r="BD137"/>
  <c r="BD138"/>
  <c r="BD139"/>
  <c r="BD140"/>
  <c r="BD141"/>
  <c r="BC5"/>
  <c r="BC6"/>
  <c r="BC7"/>
  <c r="BC8"/>
  <c r="BC9"/>
  <c r="BC10"/>
  <c r="BC11"/>
  <c r="BC12"/>
  <c r="BC13"/>
  <c r="BC14"/>
  <c r="BC15"/>
  <c r="BC16"/>
  <c r="BC17"/>
  <c r="BC18"/>
  <c r="BC19"/>
  <c r="BC20"/>
  <c r="BC21"/>
  <c r="BC22"/>
  <c r="BC23"/>
  <c r="BC24"/>
  <c r="BC25"/>
  <c r="BC26"/>
  <c r="BC27"/>
  <c r="BC28"/>
  <c r="BC29"/>
  <c r="BC30"/>
  <c r="BC31"/>
  <c r="BC32"/>
  <c r="BC33"/>
  <c r="BC34"/>
  <c r="BC35"/>
  <c r="BC36"/>
  <c r="BC37"/>
  <c r="BC38"/>
  <c r="BC39"/>
  <c r="BC40"/>
  <c r="BC41"/>
  <c r="BC42"/>
  <c r="BC43"/>
  <c r="BC44"/>
  <c r="BC45"/>
  <c r="BC46"/>
  <c r="BC47"/>
  <c r="BC48"/>
  <c r="BC49"/>
  <c r="BC50"/>
  <c r="BC51"/>
  <c r="BC52"/>
  <c r="BC53"/>
  <c r="BC54"/>
  <c r="BC55"/>
  <c r="BC56"/>
  <c r="BC57"/>
  <c r="BC58"/>
  <c r="BC59"/>
  <c r="BC60"/>
  <c r="BC61"/>
  <c r="BC62"/>
  <c r="BC63"/>
  <c r="BC64"/>
  <c r="BC65"/>
  <c r="BC66"/>
  <c r="BC67"/>
  <c r="BC68"/>
  <c r="BC69"/>
  <c r="BC70"/>
  <c r="BC71"/>
  <c r="BC72"/>
  <c r="BC73"/>
  <c r="BC74"/>
  <c r="BC75"/>
  <c r="BC76"/>
  <c r="BC77"/>
  <c r="BC78"/>
  <c r="BC79"/>
  <c r="BC80"/>
  <c r="BC81"/>
  <c r="BC82"/>
  <c r="BC83"/>
  <c r="BC84"/>
  <c r="BC85"/>
  <c r="BC86"/>
  <c r="BC87"/>
  <c r="BC88"/>
  <c r="BC89"/>
  <c r="BC90"/>
  <c r="BC91"/>
  <c r="BC92"/>
  <c r="BC93"/>
  <c r="BC94"/>
  <c r="BC95"/>
  <c r="BC96"/>
  <c r="BC97"/>
  <c r="BC98"/>
  <c r="BC99"/>
  <c r="BC100"/>
  <c r="BC101"/>
  <c r="BC102"/>
  <c r="BC103"/>
  <c r="BC104"/>
  <c r="BC105"/>
  <c r="BC106"/>
  <c r="BC107"/>
  <c r="BC108"/>
  <c r="BC109"/>
  <c r="BC110"/>
  <c r="BC111"/>
  <c r="BC112"/>
  <c r="BC113"/>
  <c r="BC114"/>
  <c r="BC115"/>
  <c r="BC116"/>
  <c r="BC117"/>
  <c r="BC118"/>
  <c r="BC119"/>
  <c r="BC120"/>
  <c r="BC121"/>
  <c r="BC122"/>
  <c r="BC123"/>
  <c r="BC124"/>
  <c r="BC125"/>
  <c r="BC126"/>
  <c r="BC127"/>
  <c r="BC128"/>
  <c r="BC129"/>
  <c r="BC130"/>
  <c r="BC131"/>
  <c r="BC132"/>
  <c r="BC133"/>
  <c r="BC134"/>
  <c r="BC135"/>
  <c r="BC136"/>
  <c r="BC137"/>
  <c r="BC138"/>
  <c r="BC139"/>
  <c r="BC140"/>
  <c r="BC141"/>
  <c r="BA5"/>
  <c r="BA6"/>
  <c r="BA7"/>
  <c r="BA8"/>
  <c r="BA9"/>
  <c r="BA10"/>
  <c r="BA11"/>
  <c r="BA12"/>
  <c r="BA13"/>
  <c r="BA14"/>
  <c r="BA15"/>
  <c r="BA16"/>
  <c r="BA17"/>
  <c r="BA18"/>
  <c r="BA19"/>
  <c r="BA20"/>
  <c r="BA21"/>
  <c r="BA22"/>
  <c r="BA23"/>
  <c r="BA24"/>
  <c r="BA25"/>
  <c r="BA26"/>
  <c r="BA27"/>
  <c r="BA28"/>
  <c r="BA29"/>
  <c r="BA30"/>
  <c r="BA31"/>
  <c r="BA32"/>
  <c r="BA33"/>
  <c r="BA34"/>
  <c r="BA35"/>
  <c r="BA36"/>
  <c r="BA37"/>
  <c r="BA38"/>
  <c r="BA39"/>
  <c r="BA40"/>
  <c r="BA41"/>
  <c r="BA42"/>
  <c r="BA43"/>
  <c r="BA44"/>
  <c r="BA45"/>
  <c r="BA46"/>
  <c r="BA47"/>
  <c r="BA48"/>
  <c r="BA49"/>
  <c r="BA50"/>
  <c r="BA51"/>
  <c r="BA52"/>
  <c r="BA53"/>
  <c r="BA54"/>
  <c r="BA55"/>
  <c r="BA56"/>
  <c r="BA57"/>
  <c r="BA58"/>
  <c r="BA59"/>
  <c r="BA60"/>
  <c r="BA61"/>
  <c r="BA62"/>
  <c r="BA63"/>
  <c r="BA64"/>
  <c r="BA65"/>
  <c r="BA66"/>
  <c r="BA67"/>
  <c r="BA68"/>
  <c r="BA69"/>
  <c r="BA70"/>
  <c r="BA71"/>
  <c r="BA72"/>
  <c r="BA73"/>
  <c r="BA74"/>
  <c r="BA75"/>
  <c r="BA76"/>
  <c r="BA77"/>
  <c r="BA78"/>
  <c r="BA79"/>
  <c r="BA80"/>
  <c r="BA81"/>
  <c r="BA82"/>
  <c r="BA83"/>
  <c r="BA84"/>
  <c r="BA85"/>
  <c r="BA86"/>
  <c r="BA87"/>
  <c r="BA88"/>
  <c r="BA89"/>
  <c r="BA90"/>
  <c r="BA91"/>
  <c r="BA92"/>
  <c r="BA93"/>
  <c r="BA94"/>
  <c r="BA95"/>
  <c r="BA96"/>
  <c r="BA97"/>
  <c r="BA98"/>
  <c r="BA99"/>
  <c r="BA100"/>
  <c r="BA101"/>
  <c r="BA102"/>
  <c r="BA103"/>
  <c r="BA104"/>
  <c r="BA105"/>
  <c r="BA106"/>
  <c r="BA107"/>
  <c r="BA108"/>
  <c r="BA109"/>
  <c r="BA110"/>
  <c r="BA111"/>
  <c r="BA112"/>
  <c r="BA113"/>
  <c r="BA114"/>
  <c r="BA115"/>
  <c r="BA116"/>
  <c r="BA117"/>
  <c r="BA118"/>
  <c r="BA119"/>
  <c r="BA120"/>
  <c r="BA121"/>
  <c r="BA122"/>
  <c r="BA123"/>
  <c r="BA124"/>
  <c r="BA125"/>
  <c r="BA126"/>
  <c r="BA127"/>
  <c r="BA128"/>
  <c r="BA129"/>
  <c r="BA130"/>
  <c r="BA131"/>
  <c r="BA132"/>
  <c r="BA133"/>
  <c r="BA134"/>
  <c r="BA135"/>
  <c r="BA136"/>
  <c r="BA137"/>
  <c r="BA138"/>
  <c r="BA139"/>
  <c r="BA140"/>
  <c r="BA141"/>
  <c r="AZ5"/>
  <c r="AZ6"/>
  <c r="AZ7"/>
  <c r="AZ8"/>
  <c r="AZ9"/>
  <c r="AZ10"/>
  <c r="AZ11"/>
  <c r="AZ12"/>
  <c r="AZ13"/>
  <c r="AZ14"/>
  <c r="AZ15"/>
  <c r="AZ16"/>
  <c r="AZ17"/>
  <c r="AZ18"/>
  <c r="AZ19"/>
  <c r="AZ20"/>
  <c r="AZ21"/>
  <c r="AZ22"/>
  <c r="AZ23"/>
  <c r="AZ24"/>
  <c r="AZ25"/>
  <c r="AZ26"/>
  <c r="AZ27"/>
  <c r="AZ28"/>
  <c r="AZ29"/>
  <c r="AZ30"/>
  <c r="AZ31"/>
  <c r="AZ32"/>
  <c r="AZ33"/>
  <c r="AZ34"/>
  <c r="AZ35"/>
  <c r="AZ36"/>
  <c r="AZ37"/>
  <c r="AZ38"/>
  <c r="AZ39"/>
  <c r="AZ40"/>
  <c r="AZ41"/>
  <c r="AZ42"/>
  <c r="AZ43"/>
  <c r="AZ44"/>
  <c r="AZ45"/>
  <c r="AZ46"/>
  <c r="AZ47"/>
  <c r="AZ48"/>
  <c r="AZ49"/>
  <c r="AZ50"/>
  <c r="AZ51"/>
  <c r="AZ52"/>
  <c r="AZ53"/>
  <c r="AZ54"/>
  <c r="AZ55"/>
  <c r="AZ56"/>
  <c r="AZ57"/>
  <c r="AZ58"/>
  <c r="AZ59"/>
  <c r="AZ60"/>
  <c r="AZ61"/>
  <c r="AZ62"/>
  <c r="AZ63"/>
  <c r="AZ64"/>
  <c r="AZ65"/>
  <c r="AZ66"/>
  <c r="AZ67"/>
  <c r="AZ68"/>
  <c r="AZ69"/>
  <c r="AZ70"/>
  <c r="AZ71"/>
  <c r="AZ72"/>
  <c r="AZ73"/>
  <c r="AZ74"/>
  <c r="AZ75"/>
  <c r="AZ76"/>
  <c r="AZ77"/>
  <c r="AZ78"/>
  <c r="AZ79"/>
  <c r="AZ80"/>
  <c r="AZ81"/>
  <c r="AZ82"/>
  <c r="AZ83"/>
  <c r="AZ84"/>
  <c r="AZ85"/>
  <c r="AZ86"/>
  <c r="AZ87"/>
  <c r="AZ88"/>
  <c r="AZ89"/>
  <c r="AZ90"/>
  <c r="AZ91"/>
  <c r="AZ92"/>
  <c r="AZ93"/>
  <c r="AZ94"/>
  <c r="AZ95"/>
  <c r="AZ96"/>
  <c r="AZ97"/>
  <c r="AZ98"/>
  <c r="AZ99"/>
  <c r="AZ100"/>
  <c r="AZ101"/>
  <c r="AZ102"/>
  <c r="AZ103"/>
  <c r="AZ104"/>
  <c r="AZ105"/>
  <c r="AZ106"/>
  <c r="AZ107"/>
  <c r="AZ108"/>
  <c r="AZ109"/>
  <c r="AZ110"/>
  <c r="AZ111"/>
  <c r="AZ112"/>
  <c r="AZ113"/>
  <c r="AZ114"/>
  <c r="AZ115"/>
  <c r="AZ116"/>
  <c r="AZ117"/>
  <c r="AZ118"/>
  <c r="AZ119"/>
  <c r="AZ120"/>
  <c r="AZ121"/>
  <c r="AZ122"/>
  <c r="AZ123"/>
  <c r="AZ124"/>
  <c r="AZ125"/>
  <c r="AZ126"/>
  <c r="AZ127"/>
  <c r="AZ128"/>
  <c r="AZ129"/>
  <c r="AZ130"/>
  <c r="AZ131"/>
  <c r="AZ132"/>
  <c r="AZ133"/>
  <c r="AZ134"/>
  <c r="AZ135"/>
  <c r="AZ136"/>
  <c r="AZ137"/>
  <c r="AZ138"/>
  <c r="AZ139"/>
  <c r="AZ140"/>
  <c r="AZ141"/>
  <c r="AX5"/>
  <c r="AX6"/>
  <c r="AX7"/>
  <c r="AX8"/>
  <c r="AX9"/>
  <c r="AX10"/>
  <c r="AX11"/>
  <c r="AX12"/>
  <c r="AX13"/>
  <c r="AX14"/>
  <c r="AX15"/>
  <c r="AX16"/>
  <c r="AX17"/>
  <c r="AX18"/>
  <c r="AX19"/>
  <c r="AX20"/>
  <c r="AX21"/>
  <c r="AX22"/>
  <c r="AX23"/>
  <c r="AX24"/>
  <c r="AX25"/>
  <c r="AX26"/>
  <c r="AX27"/>
  <c r="AX28"/>
  <c r="AX29"/>
  <c r="AX30"/>
  <c r="AX31"/>
  <c r="AX32"/>
  <c r="AX33"/>
  <c r="AX34"/>
  <c r="AX35"/>
  <c r="AX36"/>
  <c r="AX37"/>
  <c r="AX38"/>
  <c r="AX39"/>
  <c r="AX40"/>
  <c r="AX41"/>
  <c r="AX42"/>
  <c r="AX43"/>
  <c r="AX44"/>
  <c r="AX45"/>
  <c r="AX46"/>
  <c r="AX47"/>
  <c r="AX48"/>
  <c r="AX49"/>
  <c r="AX50"/>
  <c r="AX51"/>
  <c r="AX52"/>
  <c r="AX53"/>
  <c r="AX54"/>
  <c r="AX55"/>
  <c r="AX56"/>
  <c r="AX57"/>
  <c r="AX58"/>
  <c r="AX59"/>
  <c r="AX60"/>
  <c r="AX61"/>
  <c r="AX62"/>
  <c r="AX63"/>
  <c r="AX64"/>
  <c r="AX65"/>
  <c r="AX66"/>
  <c r="AX67"/>
  <c r="AX68"/>
  <c r="AX69"/>
  <c r="AX70"/>
  <c r="AX71"/>
  <c r="AX72"/>
  <c r="AX73"/>
  <c r="AX74"/>
  <c r="AX75"/>
  <c r="AX76"/>
  <c r="AX77"/>
  <c r="AX78"/>
  <c r="AX79"/>
  <c r="AX80"/>
  <c r="AX81"/>
  <c r="AX82"/>
  <c r="AX83"/>
  <c r="AX84"/>
  <c r="AX85"/>
  <c r="AX86"/>
  <c r="AX87"/>
  <c r="AX88"/>
  <c r="AX89"/>
  <c r="AX90"/>
  <c r="AX91"/>
  <c r="AX92"/>
  <c r="AX93"/>
  <c r="AX94"/>
  <c r="AX95"/>
  <c r="AX96"/>
  <c r="AX97"/>
  <c r="AX98"/>
  <c r="AX99"/>
  <c r="AX100"/>
  <c r="AX101"/>
  <c r="AX102"/>
  <c r="AX103"/>
  <c r="AX104"/>
  <c r="AX105"/>
  <c r="AX106"/>
  <c r="AX107"/>
  <c r="AX108"/>
  <c r="AX109"/>
  <c r="AX110"/>
  <c r="AX111"/>
  <c r="AX112"/>
  <c r="AX113"/>
  <c r="AX114"/>
  <c r="AX115"/>
  <c r="AX116"/>
  <c r="AX117"/>
  <c r="AX118"/>
  <c r="AX119"/>
  <c r="AX120"/>
  <c r="AX121"/>
  <c r="AX122"/>
  <c r="AX123"/>
  <c r="AX124"/>
  <c r="AX125"/>
  <c r="AX126"/>
  <c r="AX127"/>
  <c r="AX128"/>
  <c r="AX129"/>
  <c r="AX130"/>
  <c r="AX131"/>
  <c r="AX132"/>
  <c r="AX133"/>
  <c r="AX134"/>
  <c r="AX135"/>
  <c r="AX136"/>
  <c r="AX137"/>
  <c r="AX138"/>
  <c r="AX139"/>
  <c r="AX140"/>
  <c r="AX141"/>
  <c r="AW5"/>
  <c r="AW6"/>
  <c r="AW7"/>
  <c r="AW8"/>
  <c r="AW9"/>
  <c r="AW10"/>
  <c r="AW11"/>
  <c r="AW12"/>
  <c r="AW13"/>
  <c r="AW14"/>
  <c r="AW15"/>
  <c r="AW16"/>
  <c r="AW17"/>
  <c r="AW18"/>
  <c r="AW19"/>
  <c r="AW20"/>
  <c r="AW21"/>
  <c r="AW22"/>
  <c r="AW23"/>
  <c r="AW24"/>
  <c r="AW25"/>
  <c r="AW26"/>
  <c r="AW27"/>
  <c r="AW28"/>
  <c r="AW29"/>
  <c r="AW30"/>
  <c r="AW31"/>
  <c r="AW32"/>
  <c r="AW33"/>
  <c r="AW34"/>
  <c r="AW35"/>
  <c r="AW36"/>
  <c r="AW37"/>
  <c r="AW38"/>
  <c r="AW39"/>
  <c r="AW40"/>
  <c r="AW41"/>
  <c r="AW42"/>
  <c r="AW43"/>
  <c r="AW44"/>
  <c r="AW45"/>
  <c r="AW46"/>
  <c r="AW47"/>
  <c r="AW48"/>
  <c r="AW49"/>
  <c r="AW50"/>
  <c r="AW51"/>
  <c r="AW52"/>
  <c r="AW53"/>
  <c r="AW54"/>
  <c r="AW55"/>
  <c r="AW56"/>
  <c r="AW57"/>
  <c r="AW58"/>
  <c r="AW59"/>
  <c r="AW60"/>
  <c r="AW61"/>
  <c r="AW62"/>
  <c r="AW63"/>
  <c r="AW64"/>
  <c r="AW65"/>
  <c r="AW66"/>
  <c r="AW67"/>
  <c r="AW68"/>
  <c r="AW69"/>
  <c r="AW70"/>
  <c r="AW71"/>
  <c r="AW72"/>
  <c r="AW73"/>
  <c r="AW74"/>
  <c r="AW75"/>
  <c r="AW76"/>
  <c r="AW77"/>
  <c r="AW78"/>
  <c r="AW79"/>
  <c r="AW80"/>
  <c r="AW81"/>
  <c r="AW82"/>
  <c r="AW83"/>
  <c r="AW84"/>
  <c r="AW85"/>
  <c r="AW86"/>
  <c r="AW87"/>
  <c r="AW88"/>
  <c r="AW89"/>
  <c r="AW90"/>
  <c r="AW91"/>
  <c r="AW92"/>
  <c r="AW93"/>
  <c r="AW94"/>
  <c r="AW95"/>
  <c r="AW96"/>
  <c r="AW97"/>
  <c r="AW98"/>
  <c r="AW99"/>
  <c r="AW100"/>
  <c r="AW101"/>
  <c r="AW102"/>
  <c r="AW103"/>
  <c r="AW104"/>
  <c r="AW105"/>
  <c r="AW106"/>
  <c r="AW107"/>
  <c r="AW108"/>
  <c r="AW109"/>
  <c r="AW110"/>
  <c r="AW111"/>
  <c r="AW112"/>
  <c r="AW113"/>
  <c r="AW114"/>
  <c r="AW115"/>
  <c r="AW116"/>
  <c r="AW117"/>
  <c r="AW118"/>
  <c r="AW119"/>
  <c r="AW120"/>
  <c r="AW121"/>
  <c r="AW122"/>
  <c r="AW123"/>
  <c r="AW124"/>
  <c r="AW125"/>
  <c r="AW126"/>
  <c r="AW127"/>
  <c r="AW128"/>
  <c r="AW129"/>
  <c r="AW130"/>
  <c r="AW131"/>
  <c r="AW132"/>
  <c r="AW133"/>
  <c r="AW134"/>
  <c r="AW135"/>
  <c r="AW136"/>
  <c r="AW137"/>
  <c r="AW138"/>
  <c r="AW139"/>
  <c r="AW140"/>
  <c r="AW141"/>
  <c r="AV5"/>
  <c r="AV6"/>
  <c r="AV7"/>
  <c r="AV8"/>
  <c r="AV9"/>
  <c r="AV10"/>
  <c r="AV11"/>
  <c r="AV12"/>
  <c r="AV13"/>
  <c r="AV14"/>
  <c r="AV15"/>
  <c r="AV16"/>
  <c r="AV17"/>
  <c r="AV18"/>
  <c r="AV19"/>
  <c r="AV20"/>
  <c r="AV21"/>
  <c r="AV22"/>
  <c r="AV23"/>
  <c r="AV24"/>
  <c r="AV25"/>
  <c r="AV26"/>
  <c r="AV27"/>
  <c r="AV28"/>
  <c r="AV29"/>
  <c r="AV30"/>
  <c r="AV31"/>
  <c r="AV32"/>
  <c r="AV33"/>
  <c r="AV34"/>
  <c r="AV35"/>
  <c r="AV36"/>
  <c r="AV37"/>
  <c r="AV38"/>
  <c r="AV39"/>
  <c r="AV40"/>
  <c r="AV41"/>
  <c r="AV42"/>
  <c r="AV43"/>
  <c r="AV44"/>
  <c r="AV45"/>
  <c r="AV46"/>
  <c r="AV47"/>
  <c r="AV48"/>
  <c r="AV49"/>
  <c r="AV50"/>
  <c r="AV51"/>
  <c r="AV52"/>
  <c r="AV53"/>
  <c r="AV54"/>
  <c r="AV55"/>
  <c r="AV56"/>
  <c r="AV57"/>
  <c r="AV58"/>
  <c r="AV59"/>
  <c r="AV60"/>
  <c r="AV61"/>
  <c r="AV62"/>
  <c r="AV63"/>
  <c r="AV64"/>
  <c r="AV65"/>
  <c r="AV66"/>
  <c r="AV67"/>
  <c r="AV68"/>
  <c r="AV69"/>
  <c r="AV70"/>
  <c r="AV71"/>
  <c r="AV72"/>
  <c r="AV73"/>
  <c r="AV74"/>
  <c r="AV75"/>
  <c r="AV76"/>
  <c r="AV77"/>
  <c r="AV78"/>
  <c r="AV79"/>
  <c r="AV80"/>
  <c r="AV81"/>
  <c r="AV82"/>
  <c r="AV83"/>
  <c r="AV84"/>
  <c r="AV85"/>
  <c r="AV86"/>
  <c r="AV87"/>
  <c r="AV88"/>
  <c r="AV89"/>
  <c r="AV90"/>
  <c r="AV91"/>
  <c r="AV92"/>
  <c r="AV93"/>
  <c r="AV94"/>
  <c r="AV95"/>
  <c r="AV96"/>
  <c r="AV97"/>
  <c r="AV98"/>
  <c r="AV99"/>
  <c r="AV100"/>
  <c r="AV101"/>
  <c r="AV102"/>
  <c r="AV103"/>
  <c r="AV104"/>
  <c r="AV105"/>
  <c r="AV106"/>
  <c r="AV107"/>
  <c r="AV108"/>
  <c r="AV109"/>
  <c r="AV110"/>
  <c r="AV111"/>
  <c r="AV112"/>
  <c r="AV113"/>
  <c r="AV114"/>
  <c r="AV115"/>
  <c r="AV116"/>
  <c r="AV117"/>
  <c r="AV118"/>
  <c r="AV119"/>
  <c r="AV120"/>
  <c r="AV121"/>
  <c r="AV122"/>
  <c r="AV123"/>
  <c r="AV124"/>
  <c r="AV125"/>
  <c r="AV126"/>
  <c r="AV127"/>
  <c r="AV128"/>
  <c r="AV129"/>
  <c r="AV130"/>
  <c r="AV131"/>
  <c r="AV132"/>
  <c r="AV133"/>
  <c r="AV134"/>
  <c r="AV135"/>
  <c r="AV136"/>
  <c r="AV137"/>
  <c r="AV138"/>
  <c r="AV139"/>
  <c r="AV140"/>
  <c r="AV141"/>
  <c r="AU5"/>
  <c r="AU6"/>
  <c r="AU7"/>
  <c r="AU8"/>
  <c r="AU9"/>
  <c r="AU10"/>
  <c r="AU11"/>
  <c r="AU12"/>
  <c r="AU13"/>
  <c r="AU14"/>
  <c r="AU15"/>
  <c r="AU16"/>
  <c r="AU17"/>
  <c r="AU18"/>
  <c r="AU19"/>
  <c r="AU20"/>
  <c r="AU21"/>
  <c r="AU22"/>
  <c r="AU23"/>
  <c r="AU24"/>
  <c r="AU25"/>
  <c r="AU26"/>
  <c r="AU27"/>
  <c r="AU28"/>
  <c r="AU29"/>
  <c r="AU30"/>
  <c r="AU31"/>
  <c r="AU32"/>
  <c r="AU33"/>
  <c r="AU34"/>
  <c r="AU35"/>
  <c r="AU36"/>
  <c r="AU37"/>
  <c r="AU38"/>
  <c r="AU39"/>
  <c r="AU40"/>
  <c r="AU41"/>
  <c r="AU42"/>
  <c r="AU43"/>
  <c r="AU44"/>
  <c r="AU45"/>
  <c r="AU46"/>
  <c r="AU47"/>
  <c r="AU48"/>
  <c r="AU49"/>
  <c r="AU50"/>
  <c r="AU51"/>
  <c r="AU52"/>
  <c r="AU53"/>
  <c r="AU54"/>
  <c r="AU55"/>
  <c r="AU56"/>
  <c r="AU57"/>
  <c r="AU58"/>
  <c r="AU59"/>
  <c r="AU60"/>
  <c r="AU61"/>
  <c r="AU62"/>
  <c r="AU63"/>
  <c r="AU64"/>
  <c r="AU65"/>
  <c r="AU66"/>
  <c r="AU67"/>
  <c r="AU68"/>
  <c r="AU69"/>
  <c r="AU70"/>
  <c r="AU71"/>
  <c r="AU72"/>
  <c r="AU73"/>
  <c r="AU74"/>
  <c r="AU75"/>
  <c r="AU76"/>
  <c r="AU77"/>
  <c r="AU78"/>
  <c r="AU79"/>
  <c r="AU80"/>
  <c r="AU81"/>
  <c r="AU82"/>
  <c r="AU83"/>
  <c r="AU84"/>
  <c r="AU85"/>
  <c r="AU86"/>
  <c r="AU87"/>
  <c r="AU88"/>
  <c r="AU89"/>
  <c r="AU90"/>
  <c r="AU91"/>
  <c r="AU92"/>
  <c r="AU93"/>
  <c r="AU94"/>
  <c r="AU95"/>
  <c r="AU96"/>
  <c r="AU97"/>
  <c r="AU98"/>
  <c r="AU99"/>
  <c r="AU100"/>
  <c r="AU101"/>
  <c r="AU102"/>
  <c r="AU103"/>
  <c r="AU104"/>
  <c r="AU105"/>
  <c r="AU106"/>
  <c r="AU107"/>
  <c r="AU108"/>
  <c r="AU109"/>
  <c r="AU110"/>
  <c r="AU111"/>
  <c r="AU112"/>
  <c r="AU113"/>
  <c r="AU114"/>
  <c r="AU115"/>
  <c r="AU116"/>
  <c r="AU117"/>
  <c r="AU118"/>
  <c r="AU119"/>
  <c r="AU120"/>
  <c r="AU121"/>
  <c r="AU122"/>
  <c r="AU123"/>
  <c r="AU124"/>
  <c r="AU125"/>
  <c r="AU126"/>
  <c r="AU127"/>
  <c r="AU128"/>
  <c r="AU129"/>
  <c r="AU130"/>
  <c r="AU131"/>
  <c r="AU132"/>
  <c r="AU133"/>
  <c r="AU134"/>
  <c r="AU135"/>
  <c r="AU136"/>
  <c r="AU137"/>
  <c r="AU138"/>
  <c r="AU139"/>
  <c r="AU140"/>
  <c r="AU141"/>
  <c r="AT5"/>
  <c r="AT6"/>
  <c r="AT7"/>
  <c r="AT8"/>
  <c r="AT9"/>
  <c r="AT10"/>
  <c r="AT11"/>
  <c r="AT12"/>
  <c r="AT13"/>
  <c r="AT14"/>
  <c r="AT15"/>
  <c r="AT16"/>
  <c r="AT17"/>
  <c r="AT18"/>
  <c r="AT19"/>
  <c r="AT20"/>
  <c r="AT21"/>
  <c r="AT22"/>
  <c r="AT23"/>
  <c r="AT24"/>
  <c r="AT25"/>
  <c r="AT26"/>
  <c r="AT27"/>
  <c r="AT28"/>
  <c r="AT29"/>
  <c r="AT30"/>
  <c r="AT31"/>
  <c r="AT32"/>
  <c r="AT33"/>
  <c r="AT34"/>
  <c r="AT35"/>
  <c r="AT36"/>
  <c r="AT37"/>
  <c r="AT38"/>
  <c r="AT39"/>
  <c r="AT40"/>
  <c r="AT41"/>
  <c r="AT42"/>
  <c r="AT43"/>
  <c r="AT44"/>
  <c r="AT45"/>
  <c r="AT46"/>
  <c r="AT47"/>
  <c r="AT48"/>
  <c r="AT49"/>
  <c r="AT50"/>
  <c r="AT51"/>
  <c r="AT52"/>
  <c r="AT53"/>
  <c r="AT54"/>
  <c r="AT55"/>
  <c r="AT56"/>
  <c r="AT57"/>
  <c r="AT58"/>
  <c r="AT59"/>
  <c r="AT60"/>
  <c r="AT61"/>
  <c r="AT62"/>
  <c r="AT63"/>
  <c r="AT64"/>
  <c r="AT65"/>
  <c r="AT66"/>
  <c r="AT67"/>
  <c r="AT68"/>
  <c r="AT69"/>
  <c r="AT70"/>
  <c r="AT71"/>
  <c r="AT72"/>
  <c r="AT73"/>
  <c r="AT74"/>
  <c r="AT75"/>
  <c r="AT76"/>
  <c r="AT77"/>
  <c r="AT78"/>
  <c r="AT79"/>
  <c r="AT80"/>
  <c r="AT81"/>
  <c r="AT82"/>
  <c r="AT83"/>
  <c r="AT84"/>
  <c r="AT85"/>
  <c r="AT86"/>
  <c r="AT87"/>
  <c r="AT88"/>
  <c r="AT89"/>
  <c r="AT90"/>
  <c r="AT91"/>
  <c r="AT92"/>
  <c r="AT93"/>
  <c r="AT94"/>
  <c r="AT95"/>
  <c r="AT96"/>
  <c r="AT97"/>
  <c r="AT98"/>
  <c r="AT99"/>
  <c r="AT100"/>
  <c r="AT101"/>
  <c r="AT102"/>
  <c r="AT103"/>
  <c r="AT104"/>
  <c r="AT105"/>
  <c r="AT106"/>
  <c r="AT107"/>
  <c r="AT108"/>
  <c r="AT109"/>
  <c r="AT110"/>
  <c r="AT111"/>
  <c r="AT112"/>
  <c r="AT113"/>
  <c r="AT114"/>
  <c r="AT115"/>
  <c r="AT116"/>
  <c r="AT117"/>
  <c r="AT118"/>
  <c r="AT119"/>
  <c r="AT120"/>
  <c r="AT121"/>
  <c r="AT122"/>
  <c r="AT123"/>
  <c r="AT124"/>
  <c r="AT125"/>
  <c r="AT126"/>
  <c r="AT127"/>
  <c r="AT128"/>
  <c r="AT129"/>
  <c r="AT130"/>
  <c r="AT131"/>
  <c r="AT132"/>
  <c r="AT133"/>
  <c r="AT134"/>
  <c r="AT135"/>
  <c r="AT136"/>
  <c r="AT137"/>
  <c r="AT138"/>
  <c r="AT139"/>
  <c r="AT140"/>
  <c r="AT141"/>
  <c r="AS5"/>
  <c r="AS6"/>
  <c r="AS7"/>
  <c r="AS8"/>
  <c r="AS9"/>
  <c r="AS10"/>
  <c r="AS11"/>
  <c r="AS12"/>
  <c r="AS13"/>
  <c r="AS14"/>
  <c r="AS15"/>
  <c r="AS16"/>
  <c r="AS17"/>
  <c r="AS18"/>
  <c r="AS19"/>
  <c r="AS20"/>
  <c r="AS21"/>
  <c r="AS22"/>
  <c r="AS23"/>
  <c r="AS24"/>
  <c r="AS25"/>
  <c r="AS26"/>
  <c r="AS27"/>
  <c r="AS28"/>
  <c r="AS29"/>
  <c r="AS30"/>
  <c r="AS31"/>
  <c r="AS32"/>
  <c r="AS33"/>
  <c r="AS34"/>
  <c r="AS35"/>
  <c r="AS36"/>
  <c r="AS37"/>
  <c r="AS38"/>
  <c r="AS39"/>
  <c r="AS40"/>
  <c r="AS41"/>
  <c r="AS42"/>
  <c r="AS43"/>
  <c r="AS44"/>
  <c r="AS45"/>
  <c r="AS46"/>
  <c r="AS47"/>
  <c r="AS48"/>
  <c r="AS49"/>
  <c r="AS50"/>
  <c r="AS51"/>
  <c r="AS52"/>
  <c r="AS53"/>
  <c r="AS54"/>
  <c r="AS55"/>
  <c r="AS56"/>
  <c r="AS57"/>
  <c r="AS58"/>
  <c r="AS59"/>
  <c r="AS60"/>
  <c r="AS61"/>
  <c r="AS62"/>
  <c r="AS63"/>
  <c r="AS64"/>
  <c r="AS65"/>
  <c r="AS66"/>
  <c r="AS67"/>
  <c r="AS68"/>
  <c r="AS69"/>
  <c r="AS70"/>
  <c r="AS71"/>
  <c r="AS72"/>
  <c r="AS73"/>
  <c r="AS74"/>
  <c r="AS75"/>
  <c r="AS76"/>
  <c r="AS77"/>
  <c r="AS78"/>
  <c r="AS79"/>
  <c r="AS80"/>
  <c r="AS81"/>
  <c r="AS82"/>
  <c r="AS83"/>
  <c r="AS84"/>
  <c r="AS85"/>
  <c r="AS86"/>
  <c r="AS87"/>
  <c r="AS88"/>
  <c r="AS89"/>
  <c r="AS90"/>
  <c r="AS91"/>
  <c r="AS92"/>
  <c r="AS93"/>
  <c r="AS94"/>
  <c r="AS95"/>
  <c r="AS96"/>
  <c r="AS97"/>
  <c r="AS98"/>
  <c r="AS99"/>
  <c r="AS100"/>
  <c r="AS101"/>
  <c r="AS102"/>
  <c r="AS103"/>
  <c r="AS104"/>
  <c r="AS105"/>
  <c r="AS106"/>
  <c r="AS107"/>
  <c r="AS108"/>
  <c r="AS109"/>
  <c r="AS110"/>
  <c r="AS111"/>
  <c r="AS112"/>
  <c r="AS113"/>
  <c r="AS114"/>
  <c r="AS115"/>
  <c r="AS116"/>
  <c r="AS117"/>
  <c r="AS118"/>
  <c r="AS119"/>
  <c r="AS120"/>
  <c r="AS121"/>
  <c r="AS122"/>
  <c r="AS123"/>
  <c r="AS124"/>
  <c r="AS125"/>
  <c r="AS126"/>
  <c r="AS127"/>
  <c r="AS128"/>
  <c r="AS129"/>
  <c r="AS130"/>
  <c r="AS131"/>
  <c r="AS132"/>
  <c r="AS133"/>
  <c r="AS134"/>
  <c r="AS135"/>
  <c r="AS136"/>
  <c r="AS137"/>
  <c r="AS138"/>
  <c r="AS139"/>
  <c r="AS140"/>
  <c r="AS141"/>
  <c r="AQ5"/>
  <c r="AQ6"/>
  <c r="AQ7"/>
  <c r="AQ8"/>
  <c r="AQ9"/>
  <c r="AQ10"/>
  <c r="AQ11"/>
  <c r="AQ12"/>
  <c r="AQ13"/>
  <c r="AQ14"/>
  <c r="AQ15"/>
  <c r="AQ16"/>
  <c r="AQ17"/>
  <c r="AQ18"/>
  <c r="AQ19"/>
  <c r="AQ20"/>
  <c r="AQ21"/>
  <c r="AQ22"/>
  <c r="AQ23"/>
  <c r="AQ24"/>
  <c r="AQ25"/>
  <c r="AQ26"/>
  <c r="AQ27"/>
  <c r="AQ28"/>
  <c r="AQ29"/>
  <c r="AQ30"/>
  <c r="AQ31"/>
  <c r="AQ32"/>
  <c r="AQ33"/>
  <c r="AQ34"/>
  <c r="AQ35"/>
  <c r="AQ36"/>
  <c r="AQ37"/>
  <c r="AQ38"/>
  <c r="AQ39"/>
  <c r="AQ40"/>
  <c r="AQ41"/>
  <c r="AQ42"/>
  <c r="AQ43"/>
  <c r="AQ44"/>
  <c r="AQ45"/>
  <c r="AQ46"/>
  <c r="AQ47"/>
  <c r="AQ48"/>
  <c r="AQ49"/>
  <c r="AQ50"/>
  <c r="AQ51"/>
  <c r="AQ52"/>
  <c r="AQ53"/>
  <c r="AQ54"/>
  <c r="AQ55"/>
  <c r="AQ56"/>
  <c r="AQ57"/>
  <c r="AQ58"/>
  <c r="AQ59"/>
  <c r="AQ60"/>
  <c r="AQ61"/>
  <c r="AQ62"/>
  <c r="AQ63"/>
  <c r="AQ64"/>
  <c r="AQ65"/>
  <c r="AQ66"/>
  <c r="AQ67"/>
  <c r="AQ68"/>
  <c r="AQ69"/>
  <c r="AQ70"/>
  <c r="AQ71"/>
  <c r="AQ72"/>
  <c r="AQ73"/>
  <c r="AQ74"/>
  <c r="AQ75"/>
  <c r="AQ76"/>
  <c r="AQ77"/>
  <c r="AQ78"/>
  <c r="AQ79"/>
  <c r="AQ80"/>
  <c r="AQ81"/>
  <c r="AQ82"/>
  <c r="AQ83"/>
  <c r="AQ84"/>
  <c r="AQ85"/>
  <c r="AQ86"/>
  <c r="AQ87"/>
  <c r="AQ88"/>
  <c r="AQ89"/>
  <c r="AQ90"/>
  <c r="AQ91"/>
  <c r="AQ92"/>
  <c r="AQ93"/>
  <c r="AQ94"/>
  <c r="AQ95"/>
  <c r="AQ96"/>
  <c r="AQ97"/>
  <c r="AQ98"/>
  <c r="AQ99"/>
  <c r="AQ100"/>
  <c r="AQ101"/>
  <c r="AQ102"/>
  <c r="AQ103"/>
  <c r="AQ104"/>
  <c r="AQ105"/>
  <c r="AQ106"/>
  <c r="AQ107"/>
  <c r="AQ108"/>
  <c r="AQ109"/>
  <c r="AQ110"/>
  <c r="AQ111"/>
  <c r="AQ112"/>
  <c r="AQ113"/>
  <c r="AQ114"/>
  <c r="AQ115"/>
  <c r="AQ116"/>
  <c r="AQ117"/>
  <c r="AQ118"/>
  <c r="AQ119"/>
  <c r="AQ120"/>
  <c r="AQ121"/>
  <c r="AQ122"/>
  <c r="AQ123"/>
  <c r="AQ124"/>
  <c r="AQ125"/>
  <c r="AQ126"/>
  <c r="AQ127"/>
  <c r="AQ128"/>
  <c r="AQ129"/>
  <c r="AQ130"/>
  <c r="AQ131"/>
  <c r="AQ132"/>
  <c r="AQ133"/>
  <c r="AQ134"/>
  <c r="AQ135"/>
  <c r="AQ136"/>
  <c r="AQ137"/>
  <c r="AQ138"/>
  <c r="AQ139"/>
  <c r="AQ140"/>
  <c r="AQ141"/>
  <c r="AP5"/>
  <c r="AP6"/>
  <c r="AP7"/>
  <c r="AP8"/>
  <c r="AP9"/>
  <c r="AP10"/>
  <c r="AP11"/>
  <c r="AP12"/>
  <c r="AP13"/>
  <c r="AP14"/>
  <c r="AP15"/>
  <c r="AP16"/>
  <c r="AP17"/>
  <c r="AP18"/>
  <c r="AP19"/>
  <c r="AP20"/>
  <c r="AP21"/>
  <c r="AP22"/>
  <c r="AP23"/>
  <c r="AP24"/>
  <c r="AP25"/>
  <c r="AP26"/>
  <c r="AP27"/>
  <c r="AP28"/>
  <c r="AP29"/>
  <c r="AP30"/>
  <c r="AP31"/>
  <c r="AP32"/>
  <c r="AP33"/>
  <c r="AP34"/>
  <c r="AP35"/>
  <c r="AP36"/>
  <c r="AP37"/>
  <c r="AP38"/>
  <c r="AP39"/>
  <c r="AP40"/>
  <c r="AP41"/>
  <c r="AP42"/>
  <c r="AP43"/>
  <c r="AP44"/>
  <c r="AP45"/>
  <c r="AP46"/>
  <c r="AP47"/>
  <c r="AP48"/>
  <c r="AP49"/>
  <c r="AP50"/>
  <c r="AP51"/>
  <c r="AP52"/>
  <c r="AP53"/>
  <c r="AP54"/>
  <c r="AP55"/>
  <c r="AP56"/>
  <c r="AP57"/>
  <c r="AP58"/>
  <c r="AP59"/>
  <c r="AP60"/>
  <c r="AP61"/>
  <c r="AP62"/>
  <c r="AP63"/>
  <c r="AP64"/>
  <c r="AP65"/>
  <c r="AP66"/>
  <c r="AP67"/>
  <c r="AP68"/>
  <c r="AP69"/>
  <c r="AP70"/>
  <c r="AP71"/>
  <c r="AP72"/>
  <c r="AP73"/>
  <c r="AP74"/>
  <c r="AP75"/>
  <c r="AP76"/>
  <c r="AP77"/>
  <c r="AP78"/>
  <c r="AP79"/>
  <c r="AP80"/>
  <c r="AP81"/>
  <c r="AP82"/>
  <c r="AP83"/>
  <c r="AP84"/>
  <c r="AP85"/>
  <c r="AP86"/>
  <c r="AP87"/>
  <c r="AP88"/>
  <c r="AP89"/>
  <c r="AP90"/>
  <c r="AP91"/>
  <c r="AP92"/>
  <c r="AP93"/>
  <c r="AP94"/>
  <c r="AP95"/>
  <c r="AP96"/>
  <c r="AP97"/>
  <c r="AP98"/>
  <c r="AP99"/>
  <c r="AP100"/>
  <c r="AP101"/>
  <c r="AP102"/>
  <c r="AP103"/>
  <c r="AP104"/>
  <c r="AP105"/>
  <c r="AP106"/>
  <c r="AP107"/>
  <c r="AP108"/>
  <c r="AP109"/>
  <c r="AP110"/>
  <c r="AP111"/>
  <c r="AP112"/>
  <c r="AP113"/>
  <c r="AP114"/>
  <c r="AP115"/>
  <c r="AP116"/>
  <c r="AP117"/>
  <c r="AP118"/>
  <c r="AP119"/>
  <c r="AP120"/>
  <c r="AP121"/>
  <c r="AP122"/>
  <c r="AP123"/>
  <c r="AP124"/>
  <c r="AP125"/>
  <c r="AP126"/>
  <c r="AP127"/>
  <c r="AP128"/>
  <c r="AP129"/>
  <c r="AP130"/>
  <c r="AP131"/>
  <c r="AP132"/>
  <c r="AP133"/>
  <c r="AP134"/>
  <c r="AP135"/>
  <c r="AP136"/>
  <c r="AP137"/>
  <c r="AP138"/>
  <c r="AP139"/>
  <c r="AP140"/>
  <c r="AP141"/>
  <c r="AO5"/>
  <c r="AO6"/>
  <c r="AO7"/>
  <c r="AO8"/>
  <c r="AO9"/>
  <c r="AO10"/>
  <c r="AO11"/>
  <c r="AO12"/>
  <c r="AO13"/>
  <c r="AO14"/>
  <c r="AO15"/>
  <c r="AO16"/>
  <c r="AO17"/>
  <c r="AO18"/>
  <c r="AO19"/>
  <c r="AO20"/>
  <c r="AO21"/>
  <c r="AO22"/>
  <c r="AO23"/>
  <c r="AO24"/>
  <c r="AO25"/>
  <c r="AO26"/>
  <c r="AO27"/>
  <c r="AO28"/>
  <c r="AO29"/>
  <c r="AO30"/>
  <c r="AO31"/>
  <c r="AO32"/>
  <c r="AO33"/>
  <c r="AO34"/>
  <c r="AO35"/>
  <c r="AO36"/>
  <c r="AO37"/>
  <c r="AO38"/>
  <c r="AO39"/>
  <c r="AO40"/>
  <c r="AO41"/>
  <c r="AO42"/>
  <c r="AO43"/>
  <c r="AO44"/>
  <c r="AO45"/>
  <c r="AO46"/>
  <c r="AO47"/>
  <c r="AO48"/>
  <c r="AO49"/>
  <c r="AO50"/>
  <c r="AO51"/>
  <c r="AO52"/>
  <c r="AO53"/>
  <c r="AO54"/>
  <c r="AO55"/>
  <c r="AO56"/>
  <c r="AO57"/>
  <c r="AO58"/>
  <c r="AO59"/>
  <c r="AO60"/>
  <c r="AO61"/>
  <c r="AO62"/>
  <c r="AO63"/>
  <c r="AO64"/>
  <c r="AO65"/>
  <c r="AO66"/>
  <c r="AO67"/>
  <c r="AO68"/>
  <c r="AO69"/>
  <c r="AO70"/>
  <c r="AO71"/>
  <c r="AO72"/>
  <c r="AO73"/>
  <c r="AO74"/>
  <c r="AO75"/>
  <c r="AO76"/>
  <c r="AO77"/>
  <c r="AO78"/>
  <c r="AO79"/>
  <c r="AO80"/>
  <c r="AO81"/>
  <c r="AO82"/>
  <c r="AO83"/>
  <c r="AO84"/>
  <c r="AO85"/>
  <c r="AO86"/>
  <c r="AO87"/>
  <c r="AO88"/>
  <c r="AO89"/>
  <c r="AO90"/>
  <c r="AO91"/>
  <c r="AO92"/>
  <c r="AO93"/>
  <c r="AO94"/>
  <c r="AO95"/>
  <c r="AO96"/>
  <c r="AO97"/>
  <c r="AO98"/>
  <c r="AO99"/>
  <c r="AO100"/>
  <c r="AO101"/>
  <c r="AO102"/>
  <c r="AO103"/>
  <c r="AO104"/>
  <c r="AO105"/>
  <c r="AO106"/>
  <c r="AO107"/>
  <c r="AO108"/>
  <c r="AO109"/>
  <c r="AO110"/>
  <c r="AO111"/>
  <c r="AO112"/>
  <c r="AO113"/>
  <c r="AO114"/>
  <c r="AO115"/>
  <c r="AO116"/>
  <c r="AO117"/>
  <c r="AO118"/>
  <c r="AO119"/>
  <c r="AO120"/>
  <c r="AO121"/>
  <c r="AO122"/>
  <c r="AO123"/>
  <c r="AO124"/>
  <c r="AO125"/>
  <c r="AO126"/>
  <c r="AO127"/>
  <c r="AO128"/>
  <c r="AO129"/>
  <c r="AO130"/>
  <c r="AO131"/>
  <c r="AO132"/>
  <c r="AO133"/>
  <c r="AO134"/>
  <c r="AO135"/>
  <c r="AO136"/>
  <c r="AO137"/>
  <c r="AO138"/>
  <c r="AO139"/>
  <c r="AO140"/>
  <c r="AO141"/>
  <c r="AN5"/>
  <c r="AN6"/>
  <c r="AN7"/>
  <c r="AN8"/>
  <c r="AN9"/>
  <c r="AN10"/>
  <c r="AN11"/>
  <c r="AN12"/>
  <c r="AN13"/>
  <c r="AN14"/>
  <c r="AN15"/>
  <c r="AN16"/>
  <c r="AN17"/>
  <c r="AN18"/>
  <c r="AN19"/>
  <c r="AN20"/>
  <c r="AN21"/>
  <c r="AN22"/>
  <c r="AN23"/>
  <c r="AN24"/>
  <c r="AN25"/>
  <c r="AN26"/>
  <c r="AN27"/>
  <c r="AN28"/>
  <c r="AN29"/>
  <c r="AN30"/>
  <c r="AN31"/>
  <c r="AN32"/>
  <c r="AN33"/>
  <c r="AN34"/>
  <c r="AN35"/>
  <c r="AN36"/>
  <c r="AN37"/>
  <c r="AN38"/>
  <c r="AN39"/>
  <c r="AN40"/>
  <c r="AN41"/>
  <c r="AN42"/>
  <c r="AN43"/>
  <c r="AN44"/>
  <c r="AN45"/>
  <c r="AN46"/>
  <c r="AN47"/>
  <c r="AN48"/>
  <c r="AN49"/>
  <c r="AN50"/>
  <c r="AN51"/>
  <c r="AN52"/>
  <c r="AN53"/>
  <c r="AN54"/>
  <c r="AN55"/>
  <c r="AN56"/>
  <c r="AN57"/>
  <c r="AN58"/>
  <c r="AN59"/>
  <c r="AN60"/>
  <c r="AN61"/>
  <c r="AN62"/>
  <c r="AN63"/>
  <c r="AN64"/>
  <c r="AN65"/>
  <c r="AN66"/>
  <c r="AN67"/>
  <c r="AN68"/>
  <c r="AN69"/>
  <c r="AN70"/>
  <c r="AN71"/>
  <c r="AN72"/>
  <c r="AN73"/>
  <c r="AN74"/>
  <c r="AN75"/>
  <c r="AN76"/>
  <c r="AN77"/>
  <c r="AN78"/>
  <c r="AN79"/>
  <c r="AN80"/>
  <c r="AN81"/>
  <c r="AN82"/>
  <c r="AN83"/>
  <c r="AN84"/>
  <c r="AN85"/>
  <c r="AN86"/>
  <c r="AN87"/>
  <c r="AN88"/>
  <c r="AN89"/>
  <c r="AN90"/>
  <c r="AN91"/>
  <c r="AN92"/>
  <c r="AN93"/>
  <c r="AN94"/>
  <c r="AN95"/>
  <c r="AN96"/>
  <c r="AN97"/>
  <c r="AN98"/>
  <c r="AN99"/>
  <c r="AN100"/>
  <c r="AN101"/>
  <c r="AN102"/>
  <c r="AN103"/>
  <c r="AN104"/>
  <c r="AN105"/>
  <c r="AN106"/>
  <c r="AN107"/>
  <c r="AN108"/>
  <c r="AN109"/>
  <c r="AN110"/>
  <c r="AN111"/>
  <c r="AN112"/>
  <c r="AN113"/>
  <c r="AN114"/>
  <c r="AN115"/>
  <c r="AN116"/>
  <c r="AN117"/>
  <c r="AN118"/>
  <c r="AN119"/>
  <c r="AN120"/>
  <c r="AN121"/>
  <c r="AN122"/>
  <c r="AN123"/>
  <c r="AN124"/>
  <c r="AN125"/>
  <c r="AN126"/>
  <c r="AN127"/>
  <c r="AN128"/>
  <c r="AN129"/>
  <c r="AN130"/>
  <c r="AN131"/>
  <c r="AN132"/>
  <c r="AN133"/>
  <c r="AN134"/>
  <c r="AN135"/>
  <c r="AN136"/>
  <c r="AN137"/>
  <c r="AN138"/>
  <c r="AN139"/>
  <c r="AN140"/>
  <c r="AN141"/>
  <c r="AM5"/>
  <c r="AM6"/>
  <c r="AM7"/>
  <c r="AM8"/>
  <c r="AM9"/>
  <c r="AM10"/>
  <c r="AM11"/>
  <c r="AM12"/>
  <c r="AM13"/>
  <c r="AM14"/>
  <c r="AM15"/>
  <c r="AM16"/>
  <c r="AM17"/>
  <c r="AM18"/>
  <c r="AM19"/>
  <c r="AM20"/>
  <c r="AM21"/>
  <c r="AM22"/>
  <c r="AM23"/>
  <c r="AM24"/>
  <c r="AM25"/>
  <c r="AM26"/>
  <c r="AM27"/>
  <c r="AM28"/>
  <c r="AM29"/>
  <c r="AM30"/>
  <c r="AM31"/>
  <c r="AM32"/>
  <c r="AM33"/>
  <c r="AM34"/>
  <c r="AM35"/>
  <c r="AM36"/>
  <c r="AM37"/>
  <c r="AM38"/>
  <c r="AM39"/>
  <c r="AM40"/>
  <c r="AM41"/>
  <c r="AM42"/>
  <c r="AM43"/>
  <c r="AM44"/>
  <c r="AM45"/>
  <c r="AM46"/>
  <c r="AM47"/>
  <c r="AM48"/>
  <c r="AM49"/>
  <c r="AM50"/>
  <c r="AM51"/>
  <c r="AM52"/>
  <c r="AM53"/>
  <c r="AM54"/>
  <c r="AM55"/>
  <c r="AM56"/>
  <c r="AM57"/>
  <c r="AM58"/>
  <c r="AM59"/>
  <c r="AM60"/>
  <c r="AM61"/>
  <c r="AM62"/>
  <c r="AM63"/>
  <c r="AM64"/>
  <c r="AM65"/>
  <c r="AM66"/>
  <c r="AM67"/>
  <c r="AM68"/>
  <c r="AM69"/>
  <c r="AM70"/>
  <c r="AM71"/>
  <c r="AM72"/>
  <c r="AM73"/>
  <c r="AM74"/>
  <c r="AM75"/>
  <c r="AM76"/>
  <c r="AM77"/>
  <c r="AM78"/>
  <c r="AM79"/>
  <c r="AM80"/>
  <c r="AM81"/>
  <c r="AM82"/>
  <c r="AM83"/>
  <c r="AM84"/>
  <c r="AM85"/>
  <c r="AM86"/>
  <c r="AM87"/>
  <c r="AM88"/>
  <c r="AM89"/>
  <c r="AM90"/>
  <c r="AM91"/>
  <c r="AM92"/>
  <c r="AM93"/>
  <c r="AM94"/>
  <c r="AM95"/>
  <c r="AM96"/>
  <c r="AM97"/>
  <c r="AM98"/>
  <c r="AM99"/>
  <c r="AM100"/>
  <c r="AM101"/>
  <c r="AM102"/>
  <c r="AM103"/>
  <c r="AM104"/>
  <c r="AM105"/>
  <c r="AM106"/>
  <c r="AM107"/>
  <c r="AM108"/>
  <c r="AM109"/>
  <c r="AM110"/>
  <c r="AM111"/>
  <c r="AM112"/>
  <c r="AM113"/>
  <c r="AM114"/>
  <c r="AM115"/>
  <c r="AM116"/>
  <c r="AM117"/>
  <c r="AM118"/>
  <c r="AM119"/>
  <c r="AM120"/>
  <c r="AM121"/>
  <c r="AM122"/>
  <c r="AM123"/>
  <c r="AM124"/>
  <c r="AM125"/>
  <c r="AM126"/>
  <c r="AM127"/>
  <c r="AM128"/>
  <c r="AM129"/>
  <c r="AM130"/>
  <c r="AM131"/>
  <c r="AM132"/>
  <c r="AM133"/>
  <c r="AM134"/>
  <c r="AM135"/>
  <c r="AM136"/>
  <c r="AM137"/>
  <c r="AM138"/>
  <c r="AM139"/>
  <c r="AM140"/>
  <c r="AM141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L50"/>
  <c r="AL51"/>
  <c r="AL52"/>
  <c r="AL53"/>
  <c r="AL54"/>
  <c r="AL55"/>
  <c r="AL56"/>
  <c r="AL57"/>
  <c r="AL58"/>
  <c r="AL59"/>
  <c r="AL60"/>
  <c r="AL61"/>
  <c r="AL62"/>
  <c r="AL63"/>
  <c r="AL64"/>
  <c r="AL65"/>
  <c r="AL66"/>
  <c r="AL67"/>
  <c r="AL68"/>
  <c r="AL69"/>
  <c r="AL70"/>
  <c r="AL71"/>
  <c r="AL72"/>
  <c r="AL73"/>
  <c r="AL74"/>
  <c r="AL75"/>
  <c r="AL76"/>
  <c r="AL77"/>
  <c r="AL78"/>
  <c r="AL79"/>
  <c r="AL80"/>
  <c r="AL81"/>
  <c r="AL82"/>
  <c r="AL83"/>
  <c r="AL84"/>
  <c r="AL85"/>
  <c r="AL86"/>
  <c r="AL87"/>
  <c r="AL88"/>
  <c r="AL89"/>
  <c r="AL90"/>
  <c r="AL91"/>
  <c r="AL92"/>
  <c r="AL93"/>
  <c r="AL94"/>
  <c r="AL95"/>
  <c r="AL96"/>
  <c r="AL97"/>
  <c r="AL98"/>
  <c r="AL99"/>
  <c r="AL100"/>
  <c r="AL101"/>
  <c r="AL102"/>
  <c r="AL103"/>
  <c r="AL104"/>
  <c r="AL105"/>
  <c r="AL106"/>
  <c r="AL107"/>
  <c r="AL108"/>
  <c r="AL109"/>
  <c r="AL110"/>
  <c r="AL111"/>
  <c r="AL112"/>
  <c r="AL113"/>
  <c r="AL114"/>
  <c r="AL115"/>
  <c r="AL116"/>
  <c r="AL117"/>
  <c r="AL118"/>
  <c r="AL119"/>
  <c r="AL120"/>
  <c r="AL121"/>
  <c r="AL122"/>
  <c r="AL123"/>
  <c r="AL124"/>
  <c r="AL125"/>
  <c r="AL126"/>
  <c r="AL127"/>
  <c r="AL128"/>
  <c r="AL129"/>
  <c r="AL130"/>
  <c r="AL131"/>
  <c r="AL132"/>
  <c r="AL133"/>
  <c r="AL134"/>
  <c r="AL135"/>
  <c r="AL136"/>
  <c r="AL137"/>
  <c r="AL138"/>
  <c r="AL139"/>
  <c r="AL140"/>
  <c r="AL141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50"/>
  <c r="AJ51"/>
  <c r="AJ52"/>
  <c r="AJ53"/>
  <c r="AJ54"/>
  <c r="AJ55"/>
  <c r="AJ56"/>
  <c r="AJ57"/>
  <c r="AJ58"/>
  <c r="AJ59"/>
  <c r="AJ60"/>
  <c r="AJ61"/>
  <c r="AJ62"/>
  <c r="AJ63"/>
  <c r="AJ64"/>
  <c r="AJ65"/>
  <c r="AJ66"/>
  <c r="AJ67"/>
  <c r="AJ68"/>
  <c r="AJ69"/>
  <c r="AJ70"/>
  <c r="AJ71"/>
  <c r="AJ72"/>
  <c r="AJ73"/>
  <c r="AJ74"/>
  <c r="AJ75"/>
  <c r="AJ76"/>
  <c r="AJ77"/>
  <c r="AJ78"/>
  <c r="AJ79"/>
  <c r="AJ80"/>
  <c r="AJ81"/>
  <c r="AJ82"/>
  <c r="AJ83"/>
  <c r="AJ84"/>
  <c r="AJ85"/>
  <c r="AJ86"/>
  <c r="AJ87"/>
  <c r="AJ88"/>
  <c r="AJ89"/>
  <c r="AJ90"/>
  <c r="AJ91"/>
  <c r="AJ92"/>
  <c r="AJ93"/>
  <c r="AJ94"/>
  <c r="AJ95"/>
  <c r="AJ96"/>
  <c r="AJ97"/>
  <c r="AJ98"/>
  <c r="AJ99"/>
  <c r="AJ100"/>
  <c r="AJ101"/>
  <c r="AJ102"/>
  <c r="AJ103"/>
  <c r="AJ104"/>
  <c r="AJ105"/>
  <c r="AJ106"/>
  <c r="AJ107"/>
  <c r="AJ108"/>
  <c r="AJ109"/>
  <c r="AJ110"/>
  <c r="AJ111"/>
  <c r="AJ112"/>
  <c r="AJ113"/>
  <c r="AJ114"/>
  <c r="AJ115"/>
  <c r="AJ116"/>
  <c r="AJ117"/>
  <c r="AJ118"/>
  <c r="AJ119"/>
  <c r="AJ120"/>
  <c r="AJ121"/>
  <c r="AJ122"/>
  <c r="AJ123"/>
  <c r="AJ124"/>
  <c r="AJ125"/>
  <c r="AJ126"/>
  <c r="AJ127"/>
  <c r="AJ128"/>
  <c r="AJ129"/>
  <c r="AJ130"/>
  <c r="AJ131"/>
  <c r="AJ132"/>
  <c r="AJ133"/>
  <c r="AJ134"/>
  <c r="AJ135"/>
  <c r="AJ136"/>
  <c r="AJ137"/>
  <c r="AJ138"/>
  <c r="AJ139"/>
  <c r="AJ140"/>
  <c r="AJ141"/>
  <c r="AI5"/>
  <c r="AI6"/>
  <c r="AI7"/>
  <c r="AI8"/>
  <c r="AI9"/>
  <c r="AI10"/>
  <c r="AI11"/>
  <c r="AI12"/>
  <c r="AI13"/>
  <c r="AI14"/>
  <c r="AI15"/>
  <c r="AI16"/>
  <c r="AI17"/>
  <c r="AI18"/>
  <c r="AI19"/>
  <c r="AI20"/>
  <c r="AI21"/>
  <c r="AI22"/>
  <c r="AI23"/>
  <c r="AI24"/>
  <c r="AI25"/>
  <c r="AI26"/>
  <c r="AI27"/>
  <c r="AI28"/>
  <c r="AI29"/>
  <c r="AI30"/>
  <c r="AI31"/>
  <c r="AI32"/>
  <c r="AI33"/>
  <c r="AI34"/>
  <c r="AI35"/>
  <c r="AI36"/>
  <c r="AI37"/>
  <c r="AI38"/>
  <c r="AI39"/>
  <c r="AI40"/>
  <c r="AI41"/>
  <c r="AI42"/>
  <c r="AI43"/>
  <c r="AI44"/>
  <c r="AI45"/>
  <c r="AI46"/>
  <c r="AI47"/>
  <c r="AI48"/>
  <c r="AI49"/>
  <c r="AI50"/>
  <c r="AI51"/>
  <c r="AI52"/>
  <c r="AI53"/>
  <c r="AI54"/>
  <c r="AI55"/>
  <c r="AI56"/>
  <c r="AI57"/>
  <c r="AI58"/>
  <c r="AI59"/>
  <c r="AI60"/>
  <c r="AI61"/>
  <c r="AI62"/>
  <c r="AI63"/>
  <c r="AI64"/>
  <c r="AI65"/>
  <c r="AI66"/>
  <c r="AI67"/>
  <c r="AI68"/>
  <c r="AI69"/>
  <c r="AI70"/>
  <c r="AI71"/>
  <c r="AI72"/>
  <c r="AI73"/>
  <c r="AI74"/>
  <c r="AI75"/>
  <c r="AI76"/>
  <c r="AI77"/>
  <c r="AI78"/>
  <c r="AI79"/>
  <c r="AI80"/>
  <c r="AI81"/>
  <c r="AI82"/>
  <c r="AI83"/>
  <c r="AI84"/>
  <c r="AI85"/>
  <c r="AI86"/>
  <c r="AI87"/>
  <c r="AI88"/>
  <c r="AI89"/>
  <c r="AI90"/>
  <c r="AI91"/>
  <c r="AI92"/>
  <c r="AI93"/>
  <c r="AI94"/>
  <c r="AI95"/>
  <c r="AI96"/>
  <c r="AI97"/>
  <c r="AI98"/>
  <c r="AI99"/>
  <c r="AI100"/>
  <c r="AI101"/>
  <c r="AI102"/>
  <c r="AI103"/>
  <c r="AI104"/>
  <c r="AI105"/>
  <c r="AI106"/>
  <c r="AI107"/>
  <c r="AI108"/>
  <c r="AI109"/>
  <c r="AI110"/>
  <c r="AI111"/>
  <c r="AI112"/>
  <c r="AI113"/>
  <c r="AI114"/>
  <c r="AI115"/>
  <c r="AI116"/>
  <c r="AI117"/>
  <c r="AI118"/>
  <c r="AI119"/>
  <c r="AI120"/>
  <c r="AI121"/>
  <c r="AI122"/>
  <c r="AI123"/>
  <c r="AI124"/>
  <c r="AI125"/>
  <c r="AI126"/>
  <c r="AI127"/>
  <c r="AI128"/>
  <c r="AI129"/>
  <c r="AI130"/>
  <c r="AI131"/>
  <c r="AI132"/>
  <c r="AI133"/>
  <c r="AI134"/>
  <c r="AI135"/>
  <c r="AI136"/>
  <c r="AI137"/>
  <c r="AI138"/>
  <c r="AI139"/>
  <c r="AI140"/>
  <c r="AI141"/>
  <c r="AH5"/>
  <c r="AH6"/>
  <c r="AH7"/>
  <c r="AH8"/>
  <c r="AH9"/>
  <c r="AH10"/>
  <c r="AH11"/>
  <c r="AH12"/>
  <c r="AH13"/>
  <c r="AH14"/>
  <c r="AH15"/>
  <c r="AH16"/>
  <c r="AH17"/>
  <c r="AH18"/>
  <c r="AH19"/>
  <c r="AH20"/>
  <c r="AH21"/>
  <c r="AH22"/>
  <c r="AH23"/>
  <c r="AH24"/>
  <c r="AH25"/>
  <c r="AH26"/>
  <c r="AH27"/>
  <c r="AH28"/>
  <c r="AH29"/>
  <c r="AH30"/>
  <c r="AH31"/>
  <c r="AH32"/>
  <c r="AH33"/>
  <c r="AH34"/>
  <c r="AH35"/>
  <c r="AH36"/>
  <c r="AH37"/>
  <c r="AH38"/>
  <c r="AH39"/>
  <c r="AH40"/>
  <c r="AH41"/>
  <c r="AH42"/>
  <c r="AH43"/>
  <c r="AH44"/>
  <c r="AH45"/>
  <c r="AH46"/>
  <c r="AH47"/>
  <c r="AH48"/>
  <c r="AH49"/>
  <c r="AH50"/>
  <c r="AH51"/>
  <c r="AH52"/>
  <c r="AH53"/>
  <c r="AH54"/>
  <c r="AH55"/>
  <c r="AH56"/>
  <c r="AH57"/>
  <c r="AH58"/>
  <c r="AH59"/>
  <c r="AH60"/>
  <c r="AH61"/>
  <c r="AH62"/>
  <c r="AH63"/>
  <c r="AH64"/>
  <c r="AH65"/>
  <c r="AH66"/>
  <c r="AH67"/>
  <c r="AH68"/>
  <c r="AH69"/>
  <c r="AH70"/>
  <c r="AH71"/>
  <c r="AH72"/>
  <c r="AH73"/>
  <c r="AH74"/>
  <c r="AH75"/>
  <c r="AH76"/>
  <c r="AH77"/>
  <c r="AH78"/>
  <c r="AH79"/>
  <c r="AH80"/>
  <c r="AH81"/>
  <c r="AH82"/>
  <c r="AH83"/>
  <c r="AH84"/>
  <c r="AH85"/>
  <c r="AH86"/>
  <c r="AH87"/>
  <c r="AH88"/>
  <c r="AH89"/>
  <c r="AH90"/>
  <c r="AH91"/>
  <c r="AH92"/>
  <c r="AH93"/>
  <c r="AH94"/>
  <c r="AH95"/>
  <c r="AH96"/>
  <c r="AH97"/>
  <c r="AH98"/>
  <c r="AH99"/>
  <c r="AH100"/>
  <c r="AH101"/>
  <c r="AH102"/>
  <c r="AH103"/>
  <c r="AH104"/>
  <c r="AH105"/>
  <c r="AH106"/>
  <c r="AH107"/>
  <c r="AH108"/>
  <c r="AH109"/>
  <c r="AH110"/>
  <c r="AH111"/>
  <c r="AH112"/>
  <c r="AH113"/>
  <c r="AH114"/>
  <c r="AH115"/>
  <c r="AH116"/>
  <c r="AH117"/>
  <c r="AH118"/>
  <c r="AH119"/>
  <c r="AH120"/>
  <c r="AH121"/>
  <c r="AH122"/>
  <c r="AH123"/>
  <c r="AH124"/>
  <c r="AH125"/>
  <c r="AH126"/>
  <c r="AH127"/>
  <c r="AH128"/>
  <c r="AH129"/>
  <c r="AH130"/>
  <c r="AH131"/>
  <c r="AH132"/>
  <c r="AH133"/>
  <c r="AH134"/>
  <c r="AH135"/>
  <c r="AH136"/>
  <c r="AH137"/>
  <c r="AH138"/>
  <c r="AH139"/>
  <c r="AH140"/>
  <c r="AH141"/>
  <c r="AG5"/>
  <c r="AG6"/>
  <c r="AG7"/>
  <c r="AG8"/>
  <c r="AG9"/>
  <c r="AG10"/>
  <c r="AG11"/>
  <c r="AG12"/>
  <c r="AG13"/>
  <c r="AG14"/>
  <c r="AG15"/>
  <c r="AG16"/>
  <c r="AG17"/>
  <c r="AG18"/>
  <c r="AG19"/>
  <c r="AG20"/>
  <c r="AG21"/>
  <c r="AG22"/>
  <c r="AG23"/>
  <c r="AG24"/>
  <c r="AG25"/>
  <c r="AG26"/>
  <c r="AG27"/>
  <c r="AG28"/>
  <c r="AG29"/>
  <c r="AG30"/>
  <c r="AG31"/>
  <c r="AG32"/>
  <c r="AG33"/>
  <c r="AG34"/>
  <c r="AG35"/>
  <c r="AG36"/>
  <c r="AG37"/>
  <c r="AG38"/>
  <c r="AG39"/>
  <c r="AG40"/>
  <c r="AG41"/>
  <c r="AG42"/>
  <c r="AG43"/>
  <c r="AG44"/>
  <c r="AG45"/>
  <c r="AG46"/>
  <c r="AG47"/>
  <c r="AG48"/>
  <c r="AG49"/>
  <c r="AG50"/>
  <c r="AG51"/>
  <c r="AG52"/>
  <c r="AG53"/>
  <c r="AG54"/>
  <c r="AG55"/>
  <c r="AG56"/>
  <c r="AG57"/>
  <c r="AG58"/>
  <c r="AG59"/>
  <c r="AG60"/>
  <c r="AG61"/>
  <c r="AG62"/>
  <c r="AG63"/>
  <c r="AG64"/>
  <c r="AG65"/>
  <c r="AG66"/>
  <c r="AG67"/>
  <c r="AG68"/>
  <c r="AG69"/>
  <c r="AG70"/>
  <c r="AG71"/>
  <c r="AG72"/>
  <c r="AG73"/>
  <c r="AG74"/>
  <c r="AG75"/>
  <c r="AG76"/>
  <c r="AG77"/>
  <c r="AG78"/>
  <c r="AG79"/>
  <c r="AG80"/>
  <c r="AG81"/>
  <c r="AG82"/>
  <c r="AG83"/>
  <c r="AG84"/>
  <c r="AG85"/>
  <c r="AG86"/>
  <c r="AG87"/>
  <c r="AG88"/>
  <c r="AG89"/>
  <c r="AG90"/>
  <c r="AG91"/>
  <c r="AG92"/>
  <c r="AG93"/>
  <c r="AG94"/>
  <c r="AG95"/>
  <c r="AG96"/>
  <c r="AG97"/>
  <c r="AG98"/>
  <c r="AG99"/>
  <c r="AG100"/>
  <c r="AG101"/>
  <c r="AG102"/>
  <c r="AG103"/>
  <c r="AG104"/>
  <c r="AG105"/>
  <c r="AG106"/>
  <c r="AG107"/>
  <c r="AG108"/>
  <c r="AG109"/>
  <c r="AG110"/>
  <c r="AG111"/>
  <c r="AG112"/>
  <c r="AG113"/>
  <c r="AG114"/>
  <c r="AG115"/>
  <c r="AG116"/>
  <c r="AG117"/>
  <c r="AG118"/>
  <c r="AG119"/>
  <c r="AG120"/>
  <c r="AG121"/>
  <c r="AG122"/>
  <c r="AG123"/>
  <c r="AG124"/>
  <c r="AG125"/>
  <c r="AG126"/>
  <c r="AG127"/>
  <c r="AG128"/>
  <c r="AG129"/>
  <c r="AG130"/>
  <c r="AG131"/>
  <c r="AG132"/>
  <c r="AG133"/>
  <c r="AG134"/>
  <c r="AG135"/>
  <c r="AG136"/>
  <c r="AG137"/>
  <c r="AG138"/>
  <c r="AG139"/>
  <c r="AG140"/>
  <c r="AG141"/>
  <c r="BD4"/>
  <c r="BC4"/>
  <c r="BA4"/>
  <c r="AZ4"/>
  <c r="AH4"/>
  <c r="AI4"/>
  <c r="AJ4"/>
  <c r="AL4"/>
  <c r="AM4"/>
  <c r="AN4"/>
  <c r="AO4"/>
  <c r="AP4"/>
  <c r="AQ4"/>
  <c r="AS4"/>
  <c r="AT4"/>
  <c r="AU4"/>
  <c r="AV4"/>
  <c r="AW4"/>
  <c r="AX4"/>
  <c r="AG4"/>
  <c r="AD5"/>
  <c r="AD6"/>
  <c r="AD7"/>
  <c r="AD8"/>
  <c r="AD9"/>
  <c r="AD10"/>
  <c r="AD11"/>
  <c r="AD12"/>
  <c r="AD13"/>
  <c r="AD14"/>
  <c r="AD15"/>
  <c r="AD16"/>
  <c r="AD17"/>
  <c r="AD18"/>
  <c r="AD19"/>
  <c r="AD20"/>
  <c r="AD21"/>
  <c r="AD22"/>
  <c r="AD23"/>
  <c r="AD24"/>
  <c r="AD25"/>
  <c r="AD26"/>
  <c r="AD27"/>
  <c r="AD28"/>
  <c r="AD29"/>
  <c r="AD30"/>
  <c r="AD31"/>
  <c r="AD32"/>
  <c r="AD33"/>
  <c r="AD34"/>
  <c r="AD35"/>
  <c r="AD36"/>
  <c r="AD37"/>
  <c r="AD38"/>
  <c r="AD39"/>
  <c r="AD40"/>
  <c r="AD41"/>
  <c r="AD42"/>
  <c r="AD43"/>
  <c r="AD44"/>
  <c r="AD45"/>
  <c r="AD46"/>
  <c r="AD47"/>
  <c r="AD48"/>
  <c r="AD49"/>
  <c r="AD50"/>
  <c r="AD51"/>
  <c r="AD52"/>
  <c r="AD53"/>
  <c r="AD54"/>
  <c r="AD55"/>
  <c r="AD56"/>
  <c r="AD57"/>
  <c r="AD58"/>
  <c r="AD59"/>
  <c r="AD60"/>
  <c r="AD61"/>
  <c r="AD62"/>
  <c r="AD63"/>
  <c r="AD64"/>
  <c r="AD65"/>
  <c r="AD66"/>
  <c r="AD67"/>
  <c r="AD68"/>
  <c r="AD69"/>
  <c r="AD70"/>
  <c r="AD71"/>
  <c r="AD72"/>
  <c r="AD73"/>
  <c r="AD74"/>
  <c r="AD75"/>
  <c r="AD76"/>
  <c r="AD77"/>
  <c r="AD78"/>
  <c r="AD79"/>
  <c r="AD80"/>
  <c r="AD81"/>
  <c r="AD82"/>
  <c r="AD83"/>
  <c r="AD84"/>
  <c r="AD85"/>
  <c r="AD86"/>
  <c r="AD87"/>
  <c r="AD88"/>
  <c r="AD89"/>
  <c r="AD90"/>
  <c r="AD91"/>
  <c r="AD92"/>
  <c r="AD93"/>
  <c r="AD94"/>
  <c r="AD95"/>
  <c r="AD96"/>
  <c r="AD97"/>
  <c r="AD98"/>
  <c r="AD99"/>
  <c r="AD100"/>
  <c r="AD101"/>
  <c r="AD102"/>
  <c r="AD103"/>
  <c r="AD104"/>
  <c r="AD105"/>
  <c r="AD106"/>
  <c r="AD107"/>
  <c r="AD108"/>
  <c r="AD109"/>
  <c r="AD110"/>
  <c r="AD111"/>
  <c r="AD112"/>
  <c r="AD113"/>
  <c r="AD114"/>
  <c r="AD115"/>
  <c r="AD116"/>
  <c r="AD117"/>
  <c r="AD118"/>
  <c r="AD119"/>
  <c r="AD120"/>
  <c r="AD121"/>
  <c r="AD122"/>
  <c r="AD123"/>
  <c r="AD124"/>
  <c r="AD125"/>
  <c r="AD126"/>
  <c r="AD127"/>
  <c r="AD128"/>
  <c r="AD129"/>
  <c r="AD130"/>
  <c r="AD131"/>
  <c r="AD132"/>
  <c r="AD133"/>
  <c r="AD134"/>
  <c r="AD135"/>
  <c r="AD136"/>
  <c r="AD137"/>
  <c r="AD138"/>
  <c r="AD139"/>
  <c r="AD140"/>
  <c r="AD141"/>
  <c r="BC4" i="4"/>
  <c r="BC5"/>
  <c r="BC6"/>
  <c r="BC7"/>
  <c r="BC8"/>
  <c r="BC9"/>
  <c r="BC10"/>
  <c r="BC11"/>
  <c r="BC12"/>
  <c r="BC13"/>
  <c r="BC14"/>
  <c r="BC15"/>
  <c r="BC16"/>
  <c r="BC17"/>
  <c r="BC18"/>
  <c r="BC19"/>
  <c r="BC20"/>
  <c r="BC21"/>
  <c r="BC22"/>
  <c r="BC23"/>
  <c r="BC24"/>
  <c r="BC25"/>
  <c r="BC26"/>
  <c r="BC27"/>
  <c r="BC28"/>
  <c r="BC29"/>
  <c r="BC30"/>
  <c r="BC31"/>
  <c r="BC32"/>
  <c r="BC33"/>
  <c r="BC34"/>
  <c r="BC35"/>
  <c r="BC36"/>
  <c r="BC37"/>
  <c r="BC38"/>
  <c r="BC39"/>
  <c r="BC40"/>
  <c r="BC41"/>
  <c r="BC42"/>
  <c r="BC43"/>
  <c r="BC44"/>
  <c r="BC45"/>
  <c r="BC46"/>
  <c r="BC47"/>
  <c r="BC48"/>
  <c r="BC49"/>
  <c r="BC50"/>
  <c r="BC51"/>
  <c r="BC52"/>
  <c r="BC53"/>
  <c r="BC54"/>
  <c r="BC55"/>
  <c r="BC56"/>
  <c r="BC57"/>
  <c r="BC58"/>
  <c r="BC59"/>
  <c r="BC60"/>
  <c r="BC61"/>
  <c r="BC62"/>
  <c r="BC63"/>
  <c r="BC64"/>
  <c r="BC65"/>
  <c r="BC66"/>
  <c r="BC67"/>
  <c r="BC68"/>
  <c r="BC69"/>
  <c r="BC70"/>
  <c r="BC71"/>
  <c r="BC72"/>
  <c r="BC73"/>
  <c r="BC74"/>
  <c r="BC75"/>
  <c r="BC76"/>
  <c r="BC77"/>
  <c r="BC78"/>
  <c r="BC79"/>
  <c r="BC80"/>
  <c r="BC81"/>
  <c r="BC82"/>
  <c r="BC83"/>
  <c r="BC84"/>
  <c r="BC85"/>
  <c r="BC86"/>
  <c r="BC87"/>
  <c r="BC88"/>
  <c r="BC89"/>
  <c r="BC90"/>
  <c r="BC91"/>
  <c r="BC92"/>
  <c r="BC93"/>
  <c r="BC94"/>
  <c r="BC95"/>
  <c r="BC96"/>
  <c r="BC97"/>
  <c r="BC98"/>
  <c r="BC99"/>
  <c r="BC100"/>
  <c r="BC101"/>
  <c r="BC102"/>
  <c r="BC103"/>
  <c r="BC104"/>
  <c r="BC105"/>
  <c r="BC106"/>
  <c r="BC107"/>
  <c r="BC108"/>
  <c r="BC109"/>
  <c r="BC110"/>
  <c r="BC111"/>
  <c r="BC112"/>
  <c r="BC113"/>
  <c r="BC114"/>
  <c r="BC115"/>
  <c r="BC116"/>
  <c r="BC117"/>
  <c r="BC118"/>
  <c r="BC119"/>
  <c r="BC120"/>
  <c r="BC121"/>
  <c r="BC122"/>
  <c r="BC123"/>
  <c r="BC124"/>
  <c r="BC125"/>
  <c r="BC126"/>
  <c r="BC127"/>
  <c r="BC128"/>
  <c r="BC129"/>
  <c r="BC130"/>
  <c r="BC131"/>
  <c r="BC132"/>
  <c r="BC133"/>
  <c r="BC134"/>
  <c r="BC135"/>
  <c r="BC136"/>
  <c r="BC137"/>
  <c r="BC138"/>
  <c r="BC139"/>
  <c r="BC140"/>
  <c r="BB4"/>
  <c r="BB5"/>
  <c r="BB6"/>
  <c r="BB7"/>
  <c r="BB8"/>
  <c r="BB9"/>
  <c r="BB10"/>
  <c r="BB11"/>
  <c r="BB12"/>
  <c r="BB13"/>
  <c r="BB14"/>
  <c r="BB15"/>
  <c r="BB16"/>
  <c r="BB17"/>
  <c r="BB18"/>
  <c r="BB19"/>
  <c r="BB20"/>
  <c r="BB21"/>
  <c r="BB22"/>
  <c r="BB23"/>
  <c r="BB24"/>
  <c r="BB25"/>
  <c r="BB26"/>
  <c r="BB27"/>
  <c r="BB28"/>
  <c r="BB29"/>
  <c r="BB30"/>
  <c r="BB31"/>
  <c r="BB32"/>
  <c r="BB33"/>
  <c r="BB34"/>
  <c r="BB35"/>
  <c r="BB36"/>
  <c r="BB37"/>
  <c r="BB38"/>
  <c r="BB39"/>
  <c r="BB40"/>
  <c r="BB41"/>
  <c r="BB42"/>
  <c r="BB43"/>
  <c r="BB44"/>
  <c r="BB45"/>
  <c r="BB46"/>
  <c r="BB47"/>
  <c r="BB48"/>
  <c r="BB49"/>
  <c r="BB50"/>
  <c r="BB51"/>
  <c r="BB52"/>
  <c r="BB53"/>
  <c r="BB54"/>
  <c r="BB55"/>
  <c r="BB56"/>
  <c r="BB57"/>
  <c r="BB58"/>
  <c r="BB59"/>
  <c r="BB60"/>
  <c r="BB61"/>
  <c r="BB62"/>
  <c r="BB63"/>
  <c r="BB64"/>
  <c r="BB65"/>
  <c r="BB66"/>
  <c r="BB67"/>
  <c r="BB68"/>
  <c r="BB69"/>
  <c r="BB70"/>
  <c r="BB71"/>
  <c r="BB72"/>
  <c r="BB73"/>
  <c r="BB74"/>
  <c r="BB75"/>
  <c r="BB76"/>
  <c r="BB77"/>
  <c r="BB78"/>
  <c r="BB79"/>
  <c r="BB80"/>
  <c r="BB81"/>
  <c r="BB82"/>
  <c r="BB83"/>
  <c r="BB84"/>
  <c r="BB85"/>
  <c r="BB86"/>
  <c r="BB87"/>
  <c r="BB88"/>
  <c r="BB89"/>
  <c r="BB90"/>
  <c r="BB91"/>
  <c r="BB92"/>
  <c r="BB93"/>
  <c r="BB94"/>
  <c r="BB95"/>
  <c r="BB96"/>
  <c r="BB97"/>
  <c r="BB98"/>
  <c r="BB99"/>
  <c r="BB100"/>
  <c r="BB101"/>
  <c r="BB102"/>
  <c r="BB103"/>
  <c r="BB104"/>
  <c r="BB105"/>
  <c r="BB106"/>
  <c r="BB107"/>
  <c r="BB108"/>
  <c r="BB109"/>
  <c r="BB110"/>
  <c r="BB111"/>
  <c r="BB112"/>
  <c r="BB113"/>
  <c r="BB114"/>
  <c r="BB115"/>
  <c r="BB116"/>
  <c r="BB117"/>
  <c r="BB118"/>
  <c r="BB119"/>
  <c r="BB120"/>
  <c r="BB121"/>
  <c r="BB122"/>
  <c r="BB123"/>
  <c r="BB124"/>
  <c r="BB125"/>
  <c r="BB126"/>
  <c r="BB127"/>
  <c r="BB128"/>
  <c r="BB129"/>
  <c r="BB130"/>
  <c r="BB131"/>
  <c r="BB132"/>
  <c r="BB133"/>
  <c r="BB134"/>
  <c r="BB135"/>
  <c r="BB136"/>
  <c r="BB137"/>
  <c r="BB138"/>
  <c r="BB139"/>
  <c r="BB140"/>
  <c r="BA4"/>
  <c r="BA5"/>
  <c r="BA6"/>
  <c r="BA7"/>
  <c r="BA8"/>
  <c r="BA9"/>
  <c r="BA10"/>
  <c r="BA11"/>
  <c r="BA12"/>
  <c r="BA13"/>
  <c r="BA14"/>
  <c r="BA15"/>
  <c r="BA16"/>
  <c r="BA17"/>
  <c r="BA18"/>
  <c r="BA19"/>
  <c r="BA20"/>
  <c r="BA21"/>
  <c r="BA22"/>
  <c r="BA23"/>
  <c r="BA24"/>
  <c r="BA25"/>
  <c r="BA26"/>
  <c r="BA27"/>
  <c r="BA28"/>
  <c r="BA29"/>
  <c r="BA30"/>
  <c r="BA31"/>
  <c r="BA32"/>
  <c r="BA33"/>
  <c r="BA34"/>
  <c r="BA35"/>
  <c r="BA36"/>
  <c r="BA37"/>
  <c r="BA38"/>
  <c r="BA39"/>
  <c r="BA40"/>
  <c r="BA41"/>
  <c r="BA42"/>
  <c r="BA43"/>
  <c r="BA44"/>
  <c r="BA45"/>
  <c r="BA46"/>
  <c r="BA47"/>
  <c r="BA48"/>
  <c r="BA49"/>
  <c r="BA50"/>
  <c r="BA51"/>
  <c r="BA52"/>
  <c r="BA53"/>
  <c r="BA54"/>
  <c r="BA55"/>
  <c r="BA56"/>
  <c r="BA57"/>
  <c r="BA58"/>
  <c r="BA59"/>
  <c r="BA60"/>
  <c r="BA61"/>
  <c r="BA62"/>
  <c r="BA63"/>
  <c r="BA64"/>
  <c r="BA65"/>
  <c r="BA66"/>
  <c r="BA67"/>
  <c r="BA68"/>
  <c r="BA69"/>
  <c r="BA70"/>
  <c r="BA71"/>
  <c r="BA72"/>
  <c r="BA73"/>
  <c r="BA74"/>
  <c r="BA75"/>
  <c r="BA76"/>
  <c r="BA77"/>
  <c r="BA78"/>
  <c r="BA79"/>
  <c r="BA80"/>
  <c r="BA81"/>
  <c r="BA82"/>
  <c r="BA83"/>
  <c r="BA84"/>
  <c r="BA85"/>
  <c r="BA86"/>
  <c r="BA87"/>
  <c r="BA88"/>
  <c r="BA89"/>
  <c r="BA90"/>
  <c r="BA91"/>
  <c r="BA92"/>
  <c r="BA93"/>
  <c r="BA94"/>
  <c r="BA95"/>
  <c r="BA96"/>
  <c r="BA97"/>
  <c r="BA98"/>
  <c r="BA99"/>
  <c r="BA100"/>
  <c r="BA101"/>
  <c r="BA102"/>
  <c r="BA103"/>
  <c r="BA104"/>
  <c r="BA105"/>
  <c r="BA106"/>
  <c r="BA107"/>
  <c r="BA108"/>
  <c r="BA109"/>
  <c r="BA110"/>
  <c r="BA111"/>
  <c r="BA112"/>
  <c r="BA113"/>
  <c r="BA114"/>
  <c r="BA115"/>
  <c r="BA116"/>
  <c r="BA117"/>
  <c r="BA118"/>
  <c r="BA119"/>
  <c r="BA120"/>
  <c r="BA121"/>
  <c r="BA122"/>
  <c r="BA123"/>
  <c r="BA124"/>
  <c r="BA125"/>
  <c r="BA126"/>
  <c r="BA127"/>
  <c r="BA128"/>
  <c r="BA129"/>
  <c r="BA130"/>
  <c r="BA131"/>
  <c r="BA132"/>
  <c r="BA133"/>
  <c r="BA134"/>
  <c r="BA135"/>
  <c r="BA136"/>
  <c r="BA137"/>
  <c r="BA138"/>
  <c r="BA139"/>
  <c r="BA140"/>
  <c r="AZ4"/>
  <c r="AZ5"/>
  <c r="AZ6"/>
  <c r="AZ7"/>
  <c r="AZ8"/>
  <c r="AZ9"/>
  <c r="AZ10"/>
  <c r="AZ11"/>
  <c r="AZ12"/>
  <c r="AZ13"/>
  <c r="AZ14"/>
  <c r="AZ15"/>
  <c r="AZ16"/>
  <c r="AZ17"/>
  <c r="AZ18"/>
  <c r="AZ19"/>
  <c r="AZ20"/>
  <c r="AZ21"/>
  <c r="AZ22"/>
  <c r="AZ23"/>
  <c r="AZ24"/>
  <c r="AZ25"/>
  <c r="AZ26"/>
  <c r="AZ27"/>
  <c r="AZ28"/>
  <c r="AZ29"/>
  <c r="AZ30"/>
  <c r="AZ31"/>
  <c r="AZ32"/>
  <c r="AZ33"/>
  <c r="AZ34"/>
  <c r="AZ35"/>
  <c r="AZ36"/>
  <c r="AZ37"/>
  <c r="AZ38"/>
  <c r="AZ39"/>
  <c r="AZ40"/>
  <c r="AZ41"/>
  <c r="AZ42"/>
  <c r="AZ43"/>
  <c r="AZ44"/>
  <c r="AZ45"/>
  <c r="AZ46"/>
  <c r="AZ47"/>
  <c r="AZ48"/>
  <c r="AZ49"/>
  <c r="AZ50"/>
  <c r="AZ51"/>
  <c r="AZ52"/>
  <c r="AZ53"/>
  <c r="AZ54"/>
  <c r="AZ55"/>
  <c r="AZ56"/>
  <c r="AZ57"/>
  <c r="AZ58"/>
  <c r="AZ59"/>
  <c r="AZ60"/>
  <c r="AZ61"/>
  <c r="AZ62"/>
  <c r="AZ63"/>
  <c r="AZ64"/>
  <c r="AZ65"/>
  <c r="AZ66"/>
  <c r="AZ67"/>
  <c r="AZ68"/>
  <c r="AZ69"/>
  <c r="AZ70"/>
  <c r="AZ71"/>
  <c r="AZ72"/>
  <c r="AZ73"/>
  <c r="AZ74"/>
  <c r="AZ75"/>
  <c r="AZ76"/>
  <c r="AZ77"/>
  <c r="AZ78"/>
  <c r="AZ79"/>
  <c r="AZ80"/>
  <c r="AZ81"/>
  <c r="AZ82"/>
  <c r="AZ83"/>
  <c r="AZ84"/>
  <c r="AZ85"/>
  <c r="AZ86"/>
  <c r="AZ87"/>
  <c r="AZ88"/>
  <c r="AZ89"/>
  <c r="AZ90"/>
  <c r="AZ91"/>
  <c r="AZ92"/>
  <c r="AZ93"/>
  <c r="AZ94"/>
  <c r="AZ95"/>
  <c r="AZ96"/>
  <c r="AZ97"/>
  <c r="AZ98"/>
  <c r="AZ99"/>
  <c r="AZ100"/>
  <c r="AZ101"/>
  <c r="AZ102"/>
  <c r="AZ103"/>
  <c r="AZ104"/>
  <c r="AZ105"/>
  <c r="AZ106"/>
  <c r="AZ107"/>
  <c r="AZ108"/>
  <c r="AZ109"/>
  <c r="AZ110"/>
  <c r="AZ111"/>
  <c r="AZ112"/>
  <c r="AZ113"/>
  <c r="AZ114"/>
  <c r="AZ115"/>
  <c r="AZ116"/>
  <c r="AZ117"/>
  <c r="AZ118"/>
  <c r="AZ119"/>
  <c r="AZ120"/>
  <c r="AZ121"/>
  <c r="AZ122"/>
  <c r="AZ123"/>
  <c r="AZ124"/>
  <c r="AZ125"/>
  <c r="AZ126"/>
  <c r="AZ127"/>
  <c r="AZ128"/>
  <c r="AZ129"/>
  <c r="AZ130"/>
  <c r="AZ131"/>
  <c r="AZ132"/>
  <c r="AZ133"/>
  <c r="AZ134"/>
  <c r="AZ135"/>
  <c r="AZ136"/>
  <c r="AZ137"/>
  <c r="AZ138"/>
  <c r="AZ139"/>
  <c r="AZ140"/>
  <c r="AW4"/>
  <c r="AW5"/>
  <c r="AW6"/>
  <c r="AW7"/>
  <c r="AW8"/>
  <c r="AW9"/>
  <c r="AW10"/>
  <c r="AW11"/>
  <c r="AW12"/>
  <c r="AW13"/>
  <c r="AW14"/>
  <c r="AW15"/>
  <c r="AW16"/>
  <c r="AW17"/>
  <c r="AW18"/>
  <c r="AW19"/>
  <c r="AW20"/>
  <c r="AW21"/>
  <c r="AW22"/>
  <c r="AW23"/>
  <c r="AW24"/>
  <c r="AW25"/>
  <c r="AW26"/>
  <c r="AW27"/>
  <c r="AW28"/>
  <c r="AW29"/>
  <c r="AW30"/>
  <c r="AW31"/>
  <c r="AW32"/>
  <c r="AW33"/>
  <c r="AW34"/>
  <c r="AW35"/>
  <c r="AW36"/>
  <c r="AW37"/>
  <c r="AW38"/>
  <c r="AW39"/>
  <c r="AW40"/>
  <c r="AW41"/>
  <c r="AW42"/>
  <c r="AW43"/>
  <c r="AW44"/>
  <c r="AW45"/>
  <c r="AW46"/>
  <c r="AW47"/>
  <c r="AW48"/>
  <c r="AW49"/>
  <c r="AW50"/>
  <c r="AW51"/>
  <c r="AW52"/>
  <c r="AW53"/>
  <c r="AW54"/>
  <c r="AW55"/>
  <c r="AW56"/>
  <c r="AW57"/>
  <c r="AW58"/>
  <c r="AW59"/>
  <c r="AW60"/>
  <c r="AW61"/>
  <c r="AW62"/>
  <c r="AW63"/>
  <c r="AW64"/>
  <c r="AW65"/>
  <c r="AW66"/>
  <c r="AW67"/>
  <c r="AW68"/>
  <c r="AW69"/>
  <c r="AW70"/>
  <c r="AW71"/>
  <c r="AW72"/>
  <c r="AW73"/>
  <c r="AW74"/>
  <c r="AW75"/>
  <c r="AW76"/>
  <c r="AW77"/>
  <c r="AW78"/>
  <c r="AW79"/>
  <c r="AW80"/>
  <c r="AW81"/>
  <c r="AW82"/>
  <c r="AW83"/>
  <c r="AW84"/>
  <c r="AW85"/>
  <c r="AW86"/>
  <c r="AW87"/>
  <c r="AW88"/>
  <c r="AW89"/>
  <c r="AW90"/>
  <c r="AW91"/>
  <c r="AW92"/>
  <c r="AW93"/>
  <c r="AW94"/>
  <c r="AW95"/>
  <c r="AW96"/>
  <c r="AW97"/>
  <c r="AW98"/>
  <c r="AW99"/>
  <c r="AW100"/>
  <c r="AW101"/>
  <c r="AW102"/>
  <c r="AW103"/>
  <c r="AW104"/>
  <c r="AW105"/>
  <c r="AW106"/>
  <c r="AW107"/>
  <c r="AW108"/>
  <c r="AW109"/>
  <c r="AW110"/>
  <c r="AW111"/>
  <c r="AW112"/>
  <c r="AW113"/>
  <c r="AW114"/>
  <c r="AW115"/>
  <c r="AW116"/>
  <c r="AW117"/>
  <c r="AW118"/>
  <c r="AW119"/>
  <c r="AW120"/>
  <c r="AW121"/>
  <c r="AW122"/>
  <c r="AW123"/>
  <c r="AW124"/>
  <c r="AW125"/>
  <c r="AW126"/>
  <c r="AW127"/>
  <c r="AW128"/>
  <c r="AW129"/>
  <c r="AW130"/>
  <c r="AW131"/>
  <c r="AW132"/>
  <c r="AW133"/>
  <c r="AW134"/>
  <c r="AW135"/>
  <c r="AW136"/>
  <c r="AW137"/>
  <c r="AW138"/>
  <c r="AW139"/>
  <c r="AW140"/>
  <c r="AV4"/>
  <c r="AV5"/>
  <c r="AV6"/>
  <c r="AV7"/>
  <c r="AV8"/>
  <c r="AV9"/>
  <c r="AV10"/>
  <c r="AV11"/>
  <c r="AV12"/>
  <c r="AV13"/>
  <c r="AV14"/>
  <c r="AV15"/>
  <c r="AV16"/>
  <c r="AV17"/>
  <c r="AV18"/>
  <c r="AV19"/>
  <c r="AV20"/>
  <c r="AV21"/>
  <c r="AV22"/>
  <c r="AV23"/>
  <c r="AV24"/>
  <c r="AV25"/>
  <c r="AV26"/>
  <c r="AV27"/>
  <c r="AV28"/>
  <c r="AV29"/>
  <c r="AV30"/>
  <c r="AV31"/>
  <c r="AV32"/>
  <c r="AV33"/>
  <c r="AV34"/>
  <c r="AV35"/>
  <c r="AV36"/>
  <c r="AV37"/>
  <c r="AV38"/>
  <c r="AV39"/>
  <c r="AV40"/>
  <c r="AV41"/>
  <c r="AV42"/>
  <c r="AV43"/>
  <c r="AV44"/>
  <c r="AV45"/>
  <c r="AV46"/>
  <c r="AV47"/>
  <c r="AV48"/>
  <c r="AV49"/>
  <c r="AV50"/>
  <c r="AV51"/>
  <c r="AV52"/>
  <c r="AV53"/>
  <c r="AV54"/>
  <c r="AV55"/>
  <c r="AV56"/>
  <c r="AV57"/>
  <c r="AV58"/>
  <c r="AV59"/>
  <c r="AV60"/>
  <c r="AV61"/>
  <c r="AV62"/>
  <c r="AV63"/>
  <c r="AV64"/>
  <c r="AV65"/>
  <c r="AV66"/>
  <c r="AV67"/>
  <c r="AV68"/>
  <c r="AV69"/>
  <c r="AV70"/>
  <c r="AV71"/>
  <c r="AV72"/>
  <c r="AV73"/>
  <c r="AV74"/>
  <c r="AV75"/>
  <c r="AV76"/>
  <c r="AV77"/>
  <c r="AV78"/>
  <c r="AV79"/>
  <c r="AV80"/>
  <c r="AV81"/>
  <c r="AV82"/>
  <c r="AV83"/>
  <c r="AV84"/>
  <c r="AV85"/>
  <c r="AV86"/>
  <c r="AV87"/>
  <c r="AV88"/>
  <c r="AV89"/>
  <c r="AV90"/>
  <c r="AV91"/>
  <c r="AV92"/>
  <c r="AV93"/>
  <c r="AV94"/>
  <c r="AV95"/>
  <c r="AV96"/>
  <c r="AV97"/>
  <c r="AV98"/>
  <c r="AV99"/>
  <c r="AV100"/>
  <c r="AV101"/>
  <c r="AV102"/>
  <c r="AV103"/>
  <c r="AV104"/>
  <c r="AV105"/>
  <c r="AV106"/>
  <c r="AV107"/>
  <c r="AV108"/>
  <c r="AV109"/>
  <c r="AV110"/>
  <c r="AV111"/>
  <c r="AV112"/>
  <c r="AV113"/>
  <c r="AV114"/>
  <c r="AV115"/>
  <c r="AV116"/>
  <c r="AV117"/>
  <c r="AV118"/>
  <c r="AV119"/>
  <c r="AV120"/>
  <c r="AV121"/>
  <c r="AV122"/>
  <c r="AV123"/>
  <c r="AV124"/>
  <c r="AV125"/>
  <c r="AV126"/>
  <c r="AV127"/>
  <c r="AV128"/>
  <c r="AV129"/>
  <c r="AV130"/>
  <c r="AV131"/>
  <c r="AV132"/>
  <c r="AV133"/>
  <c r="AV134"/>
  <c r="AV135"/>
  <c r="AV136"/>
  <c r="AV137"/>
  <c r="AV138"/>
  <c r="AV139"/>
  <c r="AV140"/>
  <c r="AT4"/>
  <c r="AT5"/>
  <c r="AT6"/>
  <c r="AT7"/>
  <c r="AT8"/>
  <c r="AT9"/>
  <c r="AT10"/>
  <c r="AT11"/>
  <c r="AT12"/>
  <c r="AT13"/>
  <c r="AT14"/>
  <c r="AT15"/>
  <c r="AT16"/>
  <c r="AT17"/>
  <c r="AT18"/>
  <c r="AT19"/>
  <c r="AT20"/>
  <c r="AT21"/>
  <c r="AT22"/>
  <c r="AT23"/>
  <c r="AT24"/>
  <c r="AT25"/>
  <c r="AT26"/>
  <c r="AT27"/>
  <c r="AT28"/>
  <c r="AT29"/>
  <c r="AT30"/>
  <c r="AT31"/>
  <c r="AT32"/>
  <c r="AT33"/>
  <c r="AT34"/>
  <c r="AT35"/>
  <c r="AT36"/>
  <c r="AT37"/>
  <c r="AT38"/>
  <c r="AT39"/>
  <c r="AT40"/>
  <c r="AT41"/>
  <c r="AT42"/>
  <c r="AT43"/>
  <c r="AT44"/>
  <c r="AT45"/>
  <c r="AT46"/>
  <c r="AT47"/>
  <c r="AT48"/>
  <c r="AT49"/>
  <c r="AT50"/>
  <c r="AT51"/>
  <c r="AT52"/>
  <c r="AT53"/>
  <c r="AT54"/>
  <c r="AT55"/>
  <c r="AT56"/>
  <c r="AT57"/>
  <c r="AT58"/>
  <c r="AT59"/>
  <c r="AT60"/>
  <c r="AT61"/>
  <c r="AT62"/>
  <c r="AT63"/>
  <c r="AT64"/>
  <c r="AT65"/>
  <c r="AT66"/>
  <c r="AT67"/>
  <c r="AT68"/>
  <c r="AT69"/>
  <c r="AT70"/>
  <c r="AT71"/>
  <c r="AT72"/>
  <c r="AT73"/>
  <c r="AT74"/>
  <c r="AT75"/>
  <c r="AT76"/>
  <c r="AT77"/>
  <c r="AT78"/>
  <c r="AT79"/>
  <c r="AT80"/>
  <c r="AT81"/>
  <c r="AT82"/>
  <c r="AT83"/>
  <c r="AT84"/>
  <c r="AT85"/>
  <c r="AT86"/>
  <c r="AT87"/>
  <c r="AT88"/>
  <c r="AT89"/>
  <c r="AT90"/>
  <c r="AT91"/>
  <c r="AT92"/>
  <c r="AT93"/>
  <c r="AT94"/>
  <c r="AT95"/>
  <c r="AT96"/>
  <c r="AT97"/>
  <c r="AT98"/>
  <c r="AT99"/>
  <c r="AT100"/>
  <c r="AT101"/>
  <c r="AT102"/>
  <c r="AT103"/>
  <c r="AT104"/>
  <c r="AT105"/>
  <c r="AT106"/>
  <c r="AT107"/>
  <c r="AT108"/>
  <c r="AT109"/>
  <c r="AT110"/>
  <c r="AT111"/>
  <c r="AT112"/>
  <c r="AT113"/>
  <c r="AT114"/>
  <c r="AT115"/>
  <c r="AT116"/>
  <c r="AT117"/>
  <c r="AT118"/>
  <c r="AT119"/>
  <c r="AT120"/>
  <c r="AT121"/>
  <c r="AT122"/>
  <c r="AT123"/>
  <c r="AT124"/>
  <c r="AT125"/>
  <c r="AT126"/>
  <c r="AT127"/>
  <c r="AT128"/>
  <c r="AT129"/>
  <c r="AT130"/>
  <c r="AT131"/>
  <c r="AT132"/>
  <c r="AT133"/>
  <c r="AT134"/>
  <c r="AT135"/>
  <c r="AT136"/>
  <c r="AT137"/>
  <c r="AT138"/>
  <c r="AT139"/>
  <c r="AT140"/>
  <c r="AS4"/>
  <c r="AS5"/>
  <c r="AS6"/>
  <c r="AS7"/>
  <c r="AS8"/>
  <c r="AS9"/>
  <c r="AS10"/>
  <c r="AS11"/>
  <c r="AS12"/>
  <c r="AS13"/>
  <c r="AS14"/>
  <c r="AS15"/>
  <c r="AS16"/>
  <c r="AS17"/>
  <c r="AS18"/>
  <c r="AS19"/>
  <c r="AS20"/>
  <c r="AS21"/>
  <c r="AS22"/>
  <c r="AS23"/>
  <c r="AS24"/>
  <c r="AS25"/>
  <c r="AS26"/>
  <c r="AS27"/>
  <c r="AS28"/>
  <c r="AS29"/>
  <c r="AS30"/>
  <c r="AS31"/>
  <c r="AS32"/>
  <c r="AS33"/>
  <c r="AS34"/>
  <c r="AS35"/>
  <c r="AS36"/>
  <c r="AS37"/>
  <c r="AS38"/>
  <c r="AS39"/>
  <c r="AS40"/>
  <c r="AS41"/>
  <c r="AS42"/>
  <c r="AS43"/>
  <c r="AS44"/>
  <c r="AS45"/>
  <c r="AS46"/>
  <c r="AS47"/>
  <c r="AS48"/>
  <c r="AS49"/>
  <c r="AS50"/>
  <c r="AS51"/>
  <c r="AS52"/>
  <c r="AS53"/>
  <c r="AS54"/>
  <c r="AS55"/>
  <c r="AS56"/>
  <c r="AS57"/>
  <c r="AS58"/>
  <c r="AS59"/>
  <c r="AS60"/>
  <c r="AS61"/>
  <c r="AS62"/>
  <c r="AS63"/>
  <c r="AS64"/>
  <c r="AS65"/>
  <c r="AS66"/>
  <c r="AS67"/>
  <c r="AS68"/>
  <c r="AS69"/>
  <c r="AS70"/>
  <c r="AS71"/>
  <c r="AS72"/>
  <c r="AS73"/>
  <c r="AS74"/>
  <c r="AS75"/>
  <c r="AS76"/>
  <c r="AS77"/>
  <c r="AS78"/>
  <c r="AS79"/>
  <c r="AS80"/>
  <c r="AS81"/>
  <c r="AS82"/>
  <c r="AS83"/>
  <c r="AS84"/>
  <c r="AS85"/>
  <c r="AS86"/>
  <c r="AS87"/>
  <c r="AS88"/>
  <c r="AS89"/>
  <c r="AS90"/>
  <c r="AS91"/>
  <c r="AS92"/>
  <c r="AS93"/>
  <c r="AS94"/>
  <c r="AS95"/>
  <c r="AS96"/>
  <c r="AS97"/>
  <c r="AS98"/>
  <c r="AS99"/>
  <c r="AS100"/>
  <c r="AS101"/>
  <c r="AS102"/>
  <c r="AS103"/>
  <c r="AS104"/>
  <c r="AS105"/>
  <c r="AS106"/>
  <c r="AS107"/>
  <c r="AS108"/>
  <c r="AS109"/>
  <c r="AS110"/>
  <c r="AS111"/>
  <c r="AS112"/>
  <c r="AS113"/>
  <c r="AS114"/>
  <c r="AS115"/>
  <c r="AS116"/>
  <c r="AS117"/>
  <c r="AS118"/>
  <c r="AS119"/>
  <c r="AS120"/>
  <c r="AS121"/>
  <c r="AS122"/>
  <c r="AS123"/>
  <c r="AS124"/>
  <c r="AS125"/>
  <c r="AS126"/>
  <c r="AS127"/>
  <c r="AS128"/>
  <c r="AS129"/>
  <c r="AS130"/>
  <c r="AS131"/>
  <c r="AS132"/>
  <c r="AS133"/>
  <c r="AS134"/>
  <c r="AS135"/>
  <c r="AS136"/>
  <c r="AS137"/>
  <c r="AS138"/>
  <c r="AS139"/>
  <c r="AS140"/>
  <c r="AR4"/>
  <c r="AR5"/>
  <c r="AR6"/>
  <c r="AR7"/>
  <c r="AR8"/>
  <c r="AR9"/>
  <c r="AR10"/>
  <c r="AR11"/>
  <c r="AR12"/>
  <c r="AR13"/>
  <c r="AR14"/>
  <c r="AR15"/>
  <c r="AR16"/>
  <c r="AR17"/>
  <c r="AR18"/>
  <c r="AR19"/>
  <c r="AR20"/>
  <c r="AR21"/>
  <c r="AR22"/>
  <c r="AR23"/>
  <c r="AR24"/>
  <c r="AR25"/>
  <c r="AR26"/>
  <c r="AR27"/>
  <c r="AR28"/>
  <c r="AR29"/>
  <c r="AR30"/>
  <c r="AR31"/>
  <c r="AR32"/>
  <c r="AR33"/>
  <c r="AR34"/>
  <c r="AR35"/>
  <c r="AR36"/>
  <c r="AR37"/>
  <c r="AR38"/>
  <c r="AR39"/>
  <c r="AR40"/>
  <c r="AR41"/>
  <c r="AR42"/>
  <c r="AR43"/>
  <c r="AR44"/>
  <c r="AR45"/>
  <c r="AR46"/>
  <c r="AR47"/>
  <c r="AR48"/>
  <c r="AR49"/>
  <c r="AR50"/>
  <c r="AR51"/>
  <c r="AR52"/>
  <c r="AR53"/>
  <c r="AR54"/>
  <c r="AR55"/>
  <c r="AR56"/>
  <c r="AR57"/>
  <c r="AR58"/>
  <c r="AR59"/>
  <c r="AR60"/>
  <c r="AR61"/>
  <c r="AR62"/>
  <c r="AR63"/>
  <c r="AR64"/>
  <c r="AR65"/>
  <c r="AR66"/>
  <c r="AR67"/>
  <c r="AR68"/>
  <c r="AR69"/>
  <c r="AR70"/>
  <c r="AR71"/>
  <c r="AR72"/>
  <c r="AR73"/>
  <c r="AR74"/>
  <c r="AR75"/>
  <c r="AR76"/>
  <c r="AR77"/>
  <c r="AR78"/>
  <c r="AR79"/>
  <c r="AR80"/>
  <c r="AR81"/>
  <c r="AR82"/>
  <c r="AR83"/>
  <c r="AR84"/>
  <c r="AR85"/>
  <c r="AR86"/>
  <c r="AR87"/>
  <c r="AR88"/>
  <c r="AR89"/>
  <c r="AR90"/>
  <c r="AR91"/>
  <c r="AR92"/>
  <c r="AR93"/>
  <c r="AR94"/>
  <c r="AR95"/>
  <c r="AR96"/>
  <c r="AR97"/>
  <c r="AR98"/>
  <c r="AR99"/>
  <c r="AR100"/>
  <c r="AR101"/>
  <c r="AR102"/>
  <c r="AR103"/>
  <c r="AR104"/>
  <c r="AR105"/>
  <c r="AR106"/>
  <c r="AR107"/>
  <c r="AR108"/>
  <c r="AR109"/>
  <c r="AR110"/>
  <c r="AR111"/>
  <c r="AR112"/>
  <c r="AR113"/>
  <c r="AR114"/>
  <c r="AR115"/>
  <c r="AR116"/>
  <c r="AR117"/>
  <c r="AR118"/>
  <c r="AR119"/>
  <c r="AR120"/>
  <c r="AR121"/>
  <c r="AR122"/>
  <c r="AR123"/>
  <c r="AR124"/>
  <c r="AR125"/>
  <c r="AR126"/>
  <c r="AR127"/>
  <c r="AR128"/>
  <c r="AR129"/>
  <c r="AR130"/>
  <c r="AR131"/>
  <c r="AR132"/>
  <c r="AR133"/>
  <c r="AR134"/>
  <c r="AR135"/>
  <c r="AR136"/>
  <c r="AR137"/>
  <c r="AR138"/>
  <c r="AR139"/>
  <c r="AR140"/>
  <c r="AQ4"/>
  <c r="AQ5"/>
  <c r="AQ6"/>
  <c r="AQ7"/>
  <c r="AQ8"/>
  <c r="AQ9"/>
  <c r="AQ10"/>
  <c r="AQ11"/>
  <c r="AQ12"/>
  <c r="AQ13"/>
  <c r="AQ14"/>
  <c r="AQ15"/>
  <c r="AQ16"/>
  <c r="AQ17"/>
  <c r="AQ18"/>
  <c r="AQ19"/>
  <c r="AQ20"/>
  <c r="AQ21"/>
  <c r="AQ22"/>
  <c r="AQ23"/>
  <c r="AQ24"/>
  <c r="AQ25"/>
  <c r="AQ26"/>
  <c r="AQ27"/>
  <c r="AQ28"/>
  <c r="AQ29"/>
  <c r="AQ30"/>
  <c r="AQ31"/>
  <c r="AQ32"/>
  <c r="AQ33"/>
  <c r="AQ34"/>
  <c r="AQ35"/>
  <c r="AQ36"/>
  <c r="AQ37"/>
  <c r="AQ38"/>
  <c r="AQ39"/>
  <c r="AQ40"/>
  <c r="AQ41"/>
  <c r="AQ42"/>
  <c r="AQ43"/>
  <c r="AQ44"/>
  <c r="AQ45"/>
  <c r="AQ46"/>
  <c r="AQ47"/>
  <c r="AQ48"/>
  <c r="AQ49"/>
  <c r="AQ50"/>
  <c r="AQ51"/>
  <c r="AQ52"/>
  <c r="AQ53"/>
  <c r="AQ54"/>
  <c r="AQ55"/>
  <c r="AQ56"/>
  <c r="AQ57"/>
  <c r="AQ58"/>
  <c r="AQ59"/>
  <c r="AQ60"/>
  <c r="AQ61"/>
  <c r="AQ62"/>
  <c r="AQ63"/>
  <c r="AQ64"/>
  <c r="AQ65"/>
  <c r="AQ66"/>
  <c r="AQ67"/>
  <c r="AQ68"/>
  <c r="AQ69"/>
  <c r="AQ70"/>
  <c r="AQ71"/>
  <c r="AQ72"/>
  <c r="AQ73"/>
  <c r="AQ74"/>
  <c r="AQ75"/>
  <c r="AQ76"/>
  <c r="AQ77"/>
  <c r="AQ78"/>
  <c r="AQ79"/>
  <c r="AQ80"/>
  <c r="AQ81"/>
  <c r="AQ82"/>
  <c r="AQ83"/>
  <c r="AQ84"/>
  <c r="AQ85"/>
  <c r="AQ86"/>
  <c r="AQ87"/>
  <c r="AQ88"/>
  <c r="AQ89"/>
  <c r="AQ90"/>
  <c r="AQ91"/>
  <c r="AQ92"/>
  <c r="AQ93"/>
  <c r="AQ94"/>
  <c r="AQ95"/>
  <c r="AQ96"/>
  <c r="AQ97"/>
  <c r="AQ98"/>
  <c r="AQ99"/>
  <c r="AQ100"/>
  <c r="AQ101"/>
  <c r="AQ102"/>
  <c r="AQ103"/>
  <c r="AQ104"/>
  <c r="AQ105"/>
  <c r="AQ106"/>
  <c r="AQ107"/>
  <c r="AQ108"/>
  <c r="AQ109"/>
  <c r="AQ110"/>
  <c r="AQ111"/>
  <c r="AQ112"/>
  <c r="AQ113"/>
  <c r="AQ114"/>
  <c r="AQ115"/>
  <c r="AQ116"/>
  <c r="AQ117"/>
  <c r="AQ118"/>
  <c r="AQ119"/>
  <c r="AQ120"/>
  <c r="AQ121"/>
  <c r="AQ122"/>
  <c r="AQ123"/>
  <c r="AQ124"/>
  <c r="AQ125"/>
  <c r="AQ126"/>
  <c r="AQ127"/>
  <c r="AQ128"/>
  <c r="AQ129"/>
  <c r="AQ130"/>
  <c r="AQ131"/>
  <c r="AQ132"/>
  <c r="AQ133"/>
  <c r="AQ134"/>
  <c r="AQ135"/>
  <c r="AQ136"/>
  <c r="AQ137"/>
  <c r="AQ138"/>
  <c r="AQ139"/>
  <c r="AQ140"/>
  <c r="AP4"/>
  <c r="AP5"/>
  <c r="AP6"/>
  <c r="AP7"/>
  <c r="AP8"/>
  <c r="AP9"/>
  <c r="AP10"/>
  <c r="AP11"/>
  <c r="AP12"/>
  <c r="AP13"/>
  <c r="AP14"/>
  <c r="AP15"/>
  <c r="AP16"/>
  <c r="AP17"/>
  <c r="AP18"/>
  <c r="AP19"/>
  <c r="AP20"/>
  <c r="AP21"/>
  <c r="AP22"/>
  <c r="AP23"/>
  <c r="AP24"/>
  <c r="AP25"/>
  <c r="AP26"/>
  <c r="AP27"/>
  <c r="AP28"/>
  <c r="AP29"/>
  <c r="AP30"/>
  <c r="AP31"/>
  <c r="AP32"/>
  <c r="AP33"/>
  <c r="AP34"/>
  <c r="AP35"/>
  <c r="AP36"/>
  <c r="AP37"/>
  <c r="AP38"/>
  <c r="AP39"/>
  <c r="AP40"/>
  <c r="AP41"/>
  <c r="AP42"/>
  <c r="AP43"/>
  <c r="AP44"/>
  <c r="AP45"/>
  <c r="AP46"/>
  <c r="AP47"/>
  <c r="AP48"/>
  <c r="AP49"/>
  <c r="AP50"/>
  <c r="AP51"/>
  <c r="AP52"/>
  <c r="AP53"/>
  <c r="AP54"/>
  <c r="AP55"/>
  <c r="AP56"/>
  <c r="AP57"/>
  <c r="AP58"/>
  <c r="AP59"/>
  <c r="AP60"/>
  <c r="AP61"/>
  <c r="AP62"/>
  <c r="AP63"/>
  <c r="AP64"/>
  <c r="AP65"/>
  <c r="AP66"/>
  <c r="AP67"/>
  <c r="AP68"/>
  <c r="AP69"/>
  <c r="AP70"/>
  <c r="AP71"/>
  <c r="AP72"/>
  <c r="AP73"/>
  <c r="AP74"/>
  <c r="AP75"/>
  <c r="AP76"/>
  <c r="AP77"/>
  <c r="AP78"/>
  <c r="AP79"/>
  <c r="AP80"/>
  <c r="AP81"/>
  <c r="AP82"/>
  <c r="AP83"/>
  <c r="AP84"/>
  <c r="AP85"/>
  <c r="AP86"/>
  <c r="AP87"/>
  <c r="AP88"/>
  <c r="AP89"/>
  <c r="AP90"/>
  <c r="AP91"/>
  <c r="AP92"/>
  <c r="AP93"/>
  <c r="AP94"/>
  <c r="AP95"/>
  <c r="AP96"/>
  <c r="AP97"/>
  <c r="AP98"/>
  <c r="AP99"/>
  <c r="AP100"/>
  <c r="AP101"/>
  <c r="AP102"/>
  <c r="AP103"/>
  <c r="AP104"/>
  <c r="AP105"/>
  <c r="AP106"/>
  <c r="AP107"/>
  <c r="AP108"/>
  <c r="AP109"/>
  <c r="AP110"/>
  <c r="AP111"/>
  <c r="AP112"/>
  <c r="AP113"/>
  <c r="AP114"/>
  <c r="AP115"/>
  <c r="AP116"/>
  <c r="AP117"/>
  <c r="AP118"/>
  <c r="AP119"/>
  <c r="AP120"/>
  <c r="AP121"/>
  <c r="AP122"/>
  <c r="AP123"/>
  <c r="AP124"/>
  <c r="AP125"/>
  <c r="AP126"/>
  <c r="AP127"/>
  <c r="AP128"/>
  <c r="AP129"/>
  <c r="AP130"/>
  <c r="AP131"/>
  <c r="AP132"/>
  <c r="AP133"/>
  <c r="AP134"/>
  <c r="AP135"/>
  <c r="AP136"/>
  <c r="AP137"/>
  <c r="AP138"/>
  <c r="AP139"/>
  <c r="AP140"/>
  <c r="AO4"/>
  <c r="AO5"/>
  <c r="AO6"/>
  <c r="AO7"/>
  <c r="AO8"/>
  <c r="AO9"/>
  <c r="AO10"/>
  <c r="AO11"/>
  <c r="AO12"/>
  <c r="AO13"/>
  <c r="AO14"/>
  <c r="AO15"/>
  <c r="AO16"/>
  <c r="AO17"/>
  <c r="AO18"/>
  <c r="AO19"/>
  <c r="AO20"/>
  <c r="AO21"/>
  <c r="AO22"/>
  <c r="AO23"/>
  <c r="AO24"/>
  <c r="AO25"/>
  <c r="AO26"/>
  <c r="AO27"/>
  <c r="AO28"/>
  <c r="AO29"/>
  <c r="AO30"/>
  <c r="AO31"/>
  <c r="AO32"/>
  <c r="AO33"/>
  <c r="AO34"/>
  <c r="AO35"/>
  <c r="AO36"/>
  <c r="AO37"/>
  <c r="AO38"/>
  <c r="AO39"/>
  <c r="AO40"/>
  <c r="AO41"/>
  <c r="AO42"/>
  <c r="AO43"/>
  <c r="AO44"/>
  <c r="AO45"/>
  <c r="AO46"/>
  <c r="AO47"/>
  <c r="AO48"/>
  <c r="AO49"/>
  <c r="AO50"/>
  <c r="AO51"/>
  <c r="AO52"/>
  <c r="AO53"/>
  <c r="AO54"/>
  <c r="AO55"/>
  <c r="AO56"/>
  <c r="AO57"/>
  <c r="AO58"/>
  <c r="AO59"/>
  <c r="AO60"/>
  <c r="AO61"/>
  <c r="AO62"/>
  <c r="AO63"/>
  <c r="AO64"/>
  <c r="AO65"/>
  <c r="AO66"/>
  <c r="AO67"/>
  <c r="AO68"/>
  <c r="AO69"/>
  <c r="AO70"/>
  <c r="AO71"/>
  <c r="AO72"/>
  <c r="AO73"/>
  <c r="AO74"/>
  <c r="AO75"/>
  <c r="AO76"/>
  <c r="AO77"/>
  <c r="AO78"/>
  <c r="AO79"/>
  <c r="AO80"/>
  <c r="AO81"/>
  <c r="AO82"/>
  <c r="AO83"/>
  <c r="AO84"/>
  <c r="AO85"/>
  <c r="AO86"/>
  <c r="AO87"/>
  <c r="AO88"/>
  <c r="AO89"/>
  <c r="AO90"/>
  <c r="AO91"/>
  <c r="AO92"/>
  <c r="AO93"/>
  <c r="AO94"/>
  <c r="AO95"/>
  <c r="AO96"/>
  <c r="AO97"/>
  <c r="AO98"/>
  <c r="AO99"/>
  <c r="AO100"/>
  <c r="AO101"/>
  <c r="AO102"/>
  <c r="AO103"/>
  <c r="AO104"/>
  <c r="AO105"/>
  <c r="AO106"/>
  <c r="AO107"/>
  <c r="AO108"/>
  <c r="AO109"/>
  <c r="AO110"/>
  <c r="AO111"/>
  <c r="AO112"/>
  <c r="AO113"/>
  <c r="AO114"/>
  <c r="AO115"/>
  <c r="AO116"/>
  <c r="AO117"/>
  <c r="AO118"/>
  <c r="AO119"/>
  <c r="AO120"/>
  <c r="AO121"/>
  <c r="AO122"/>
  <c r="AO123"/>
  <c r="AO124"/>
  <c r="AO125"/>
  <c r="AO126"/>
  <c r="AO127"/>
  <c r="AO128"/>
  <c r="AO129"/>
  <c r="AO130"/>
  <c r="AO131"/>
  <c r="AO132"/>
  <c r="AO133"/>
  <c r="AO134"/>
  <c r="AO135"/>
  <c r="AO136"/>
  <c r="AO137"/>
  <c r="AO138"/>
  <c r="AO139"/>
  <c r="AO140"/>
  <c r="AN4"/>
  <c r="AN5"/>
  <c r="AN6"/>
  <c r="AN7"/>
  <c r="AN8"/>
  <c r="AN9"/>
  <c r="AN10"/>
  <c r="AN11"/>
  <c r="AN12"/>
  <c r="AN13"/>
  <c r="AN14"/>
  <c r="AN15"/>
  <c r="AN16"/>
  <c r="AN17"/>
  <c r="AN18"/>
  <c r="AN19"/>
  <c r="AN20"/>
  <c r="AN21"/>
  <c r="AN22"/>
  <c r="AN23"/>
  <c r="AN24"/>
  <c r="AN25"/>
  <c r="AN26"/>
  <c r="AN27"/>
  <c r="AN28"/>
  <c r="AN29"/>
  <c r="AN30"/>
  <c r="AN31"/>
  <c r="AN32"/>
  <c r="AN33"/>
  <c r="AN34"/>
  <c r="AN35"/>
  <c r="AN36"/>
  <c r="AN37"/>
  <c r="AN38"/>
  <c r="AN39"/>
  <c r="AN40"/>
  <c r="AN41"/>
  <c r="AN42"/>
  <c r="AN43"/>
  <c r="AN44"/>
  <c r="AN45"/>
  <c r="AN46"/>
  <c r="AN47"/>
  <c r="AN48"/>
  <c r="AN49"/>
  <c r="AN50"/>
  <c r="AN51"/>
  <c r="AN52"/>
  <c r="AN53"/>
  <c r="AN54"/>
  <c r="AN55"/>
  <c r="AN56"/>
  <c r="AN57"/>
  <c r="AN58"/>
  <c r="AN59"/>
  <c r="AN60"/>
  <c r="AN61"/>
  <c r="AN62"/>
  <c r="AN63"/>
  <c r="AN64"/>
  <c r="AN65"/>
  <c r="AN66"/>
  <c r="AN67"/>
  <c r="AN68"/>
  <c r="AN69"/>
  <c r="AN70"/>
  <c r="AN71"/>
  <c r="AN72"/>
  <c r="AN73"/>
  <c r="AN74"/>
  <c r="AN75"/>
  <c r="AN76"/>
  <c r="AN77"/>
  <c r="AN78"/>
  <c r="AN79"/>
  <c r="AN80"/>
  <c r="AN81"/>
  <c r="AN82"/>
  <c r="AN83"/>
  <c r="AN84"/>
  <c r="AN85"/>
  <c r="AN86"/>
  <c r="AN87"/>
  <c r="AN88"/>
  <c r="AN89"/>
  <c r="AN90"/>
  <c r="AN91"/>
  <c r="AN92"/>
  <c r="AN93"/>
  <c r="AN94"/>
  <c r="AN95"/>
  <c r="AN96"/>
  <c r="AN97"/>
  <c r="AN98"/>
  <c r="AN99"/>
  <c r="AN100"/>
  <c r="AN101"/>
  <c r="AN102"/>
  <c r="AN103"/>
  <c r="AN104"/>
  <c r="AN105"/>
  <c r="AN106"/>
  <c r="AN107"/>
  <c r="AN108"/>
  <c r="AN109"/>
  <c r="AN110"/>
  <c r="AN111"/>
  <c r="AN112"/>
  <c r="AN113"/>
  <c r="AN114"/>
  <c r="AN115"/>
  <c r="AN116"/>
  <c r="AN117"/>
  <c r="AN118"/>
  <c r="AN119"/>
  <c r="AN120"/>
  <c r="AN121"/>
  <c r="AN122"/>
  <c r="AN123"/>
  <c r="AN124"/>
  <c r="AN125"/>
  <c r="AN126"/>
  <c r="AN127"/>
  <c r="AN128"/>
  <c r="AN129"/>
  <c r="AN130"/>
  <c r="AN131"/>
  <c r="AN132"/>
  <c r="AN133"/>
  <c r="AN134"/>
  <c r="AN135"/>
  <c r="AN136"/>
  <c r="AN137"/>
  <c r="AN138"/>
  <c r="AN139"/>
  <c r="AN140"/>
  <c r="AM4"/>
  <c r="AM5"/>
  <c r="AM6"/>
  <c r="AM7"/>
  <c r="AM8"/>
  <c r="AM9"/>
  <c r="AM10"/>
  <c r="AM11"/>
  <c r="AM12"/>
  <c r="AM13"/>
  <c r="AM14"/>
  <c r="AM15"/>
  <c r="AM16"/>
  <c r="AM17"/>
  <c r="AM18"/>
  <c r="AM19"/>
  <c r="AM20"/>
  <c r="AM21"/>
  <c r="AM22"/>
  <c r="AM23"/>
  <c r="AM24"/>
  <c r="AM25"/>
  <c r="AM26"/>
  <c r="AM27"/>
  <c r="AM28"/>
  <c r="AM29"/>
  <c r="AM30"/>
  <c r="AM31"/>
  <c r="AM32"/>
  <c r="AM33"/>
  <c r="AM34"/>
  <c r="AM35"/>
  <c r="AM36"/>
  <c r="AM37"/>
  <c r="AM38"/>
  <c r="AM39"/>
  <c r="AM40"/>
  <c r="AM41"/>
  <c r="AM42"/>
  <c r="AM43"/>
  <c r="AM44"/>
  <c r="AM45"/>
  <c r="AM46"/>
  <c r="AM47"/>
  <c r="AM48"/>
  <c r="AM49"/>
  <c r="AM50"/>
  <c r="AM51"/>
  <c r="AM52"/>
  <c r="AM53"/>
  <c r="AM54"/>
  <c r="AM55"/>
  <c r="AM56"/>
  <c r="AM57"/>
  <c r="AM58"/>
  <c r="AM59"/>
  <c r="AM60"/>
  <c r="AM61"/>
  <c r="AM62"/>
  <c r="AM63"/>
  <c r="AM64"/>
  <c r="AM65"/>
  <c r="AM66"/>
  <c r="AM67"/>
  <c r="AM68"/>
  <c r="AM69"/>
  <c r="AM70"/>
  <c r="AM71"/>
  <c r="AM72"/>
  <c r="AM73"/>
  <c r="AM74"/>
  <c r="AM75"/>
  <c r="AM76"/>
  <c r="AM77"/>
  <c r="AM78"/>
  <c r="AM79"/>
  <c r="AM80"/>
  <c r="AM81"/>
  <c r="AM82"/>
  <c r="AM83"/>
  <c r="AM84"/>
  <c r="AM85"/>
  <c r="AM86"/>
  <c r="AM87"/>
  <c r="AM88"/>
  <c r="AM89"/>
  <c r="AM90"/>
  <c r="AM91"/>
  <c r="AM92"/>
  <c r="AM93"/>
  <c r="AM94"/>
  <c r="AM95"/>
  <c r="AM96"/>
  <c r="AM97"/>
  <c r="AM98"/>
  <c r="AM99"/>
  <c r="AM100"/>
  <c r="AM101"/>
  <c r="AM102"/>
  <c r="AM103"/>
  <c r="AM104"/>
  <c r="AM105"/>
  <c r="AM106"/>
  <c r="AM107"/>
  <c r="AM108"/>
  <c r="AM109"/>
  <c r="AM110"/>
  <c r="AM111"/>
  <c r="AM112"/>
  <c r="AM113"/>
  <c r="AM114"/>
  <c r="AM115"/>
  <c r="AM116"/>
  <c r="AM117"/>
  <c r="AM118"/>
  <c r="AM119"/>
  <c r="AM120"/>
  <c r="AM121"/>
  <c r="AM122"/>
  <c r="AM123"/>
  <c r="AM124"/>
  <c r="AM125"/>
  <c r="AM126"/>
  <c r="AM127"/>
  <c r="AM128"/>
  <c r="AM129"/>
  <c r="AM130"/>
  <c r="AM131"/>
  <c r="AM132"/>
  <c r="AM133"/>
  <c r="AM134"/>
  <c r="AM135"/>
  <c r="AM136"/>
  <c r="AM137"/>
  <c r="AM138"/>
  <c r="AM139"/>
  <c r="AM140"/>
  <c r="AL4"/>
  <c r="AL5"/>
  <c r="AL6"/>
  <c r="AL7"/>
  <c r="AL8"/>
  <c r="AL9"/>
  <c r="AL10"/>
  <c r="AL11"/>
  <c r="AL12"/>
  <c r="AL13"/>
  <c r="AL14"/>
  <c r="AL15"/>
  <c r="AL16"/>
  <c r="AL17"/>
  <c r="AL18"/>
  <c r="AL19"/>
  <c r="AL20"/>
  <c r="AL21"/>
  <c r="AL22"/>
  <c r="AL23"/>
  <c r="AL24"/>
  <c r="AL25"/>
  <c r="AL26"/>
  <c r="AL27"/>
  <c r="AL28"/>
  <c r="AL29"/>
  <c r="AL30"/>
  <c r="AL31"/>
  <c r="AL32"/>
  <c r="AL33"/>
  <c r="AL34"/>
  <c r="AL35"/>
  <c r="AL36"/>
  <c r="AL37"/>
  <c r="AL38"/>
  <c r="AL39"/>
  <c r="AL40"/>
  <c r="AL41"/>
  <c r="AL42"/>
  <c r="AL43"/>
  <c r="AL44"/>
  <c r="AL45"/>
  <c r="AL46"/>
  <c r="AL47"/>
  <c r="AL48"/>
  <c r="AL49"/>
  <c r="AL50"/>
  <c r="AL51"/>
  <c r="AL52"/>
  <c r="AL53"/>
  <c r="AL54"/>
  <c r="AL55"/>
  <c r="AL56"/>
  <c r="AL57"/>
  <c r="AL58"/>
  <c r="AL59"/>
  <c r="AL60"/>
  <c r="AL61"/>
  <c r="AL62"/>
  <c r="AL63"/>
  <c r="AL64"/>
  <c r="AL65"/>
  <c r="AL66"/>
  <c r="AL67"/>
  <c r="AL68"/>
  <c r="AL69"/>
  <c r="AL70"/>
  <c r="AL71"/>
  <c r="AL72"/>
  <c r="AL73"/>
  <c r="AL74"/>
  <c r="AL75"/>
  <c r="AL76"/>
  <c r="AL77"/>
  <c r="AL78"/>
  <c r="AL79"/>
  <c r="AL80"/>
  <c r="AL81"/>
  <c r="AL82"/>
  <c r="AL83"/>
  <c r="AL84"/>
  <c r="AL85"/>
  <c r="AL86"/>
  <c r="AL87"/>
  <c r="AL88"/>
  <c r="AL89"/>
  <c r="AL90"/>
  <c r="AL91"/>
  <c r="AL92"/>
  <c r="AL93"/>
  <c r="AL94"/>
  <c r="AL95"/>
  <c r="AL96"/>
  <c r="AL97"/>
  <c r="AL98"/>
  <c r="AL99"/>
  <c r="AL100"/>
  <c r="AL101"/>
  <c r="AL102"/>
  <c r="AL103"/>
  <c r="AL104"/>
  <c r="AL105"/>
  <c r="AL106"/>
  <c r="AL107"/>
  <c r="AL108"/>
  <c r="AL109"/>
  <c r="AL110"/>
  <c r="AL111"/>
  <c r="AL112"/>
  <c r="AL113"/>
  <c r="AL114"/>
  <c r="AL115"/>
  <c r="AL116"/>
  <c r="AL117"/>
  <c r="AL118"/>
  <c r="AL119"/>
  <c r="AL120"/>
  <c r="AL121"/>
  <c r="AL122"/>
  <c r="AL123"/>
  <c r="AL124"/>
  <c r="AL125"/>
  <c r="AL126"/>
  <c r="AL127"/>
  <c r="AL128"/>
  <c r="AL129"/>
  <c r="AL130"/>
  <c r="AL131"/>
  <c r="AL132"/>
  <c r="AL133"/>
  <c r="AL134"/>
  <c r="AL135"/>
  <c r="AL136"/>
  <c r="AL137"/>
  <c r="AL138"/>
  <c r="AL139"/>
  <c r="AL140"/>
  <c r="AK4"/>
  <c r="AK5"/>
  <c r="AK6"/>
  <c r="AK7"/>
  <c r="AK8"/>
  <c r="AK9"/>
  <c r="AK10"/>
  <c r="AK11"/>
  <c r="AK12"/>
  <c r="AK13"/>
  <c r="AK14"/>
  <c r="AK15"/>
  <c r="AK16"/>
  <c r="AK17"/>
  <c r="AK18"/>
  <c r="AK19"/>
  <c r="AK20"/>
  <c r="AK21"/>
  <c r="AK22"/>
  <c r="AK23"/>
  <c r="AK24"/>
  <c r="AK25"/>
  <c r="AK26"/>
  <c r="AK27"/>
  <c r="AK28"/>
  <c r="AK29"/>
  <c r="AK30"/>
  <c r="AK31"/>
  <c r="AK32"/>
  <c r="AK33"/>
  <c r="AK34"/>
  <c r="AK35"/>
  <c r="AK36"/>
  <c r="AK37"/>
  <c r="AK38"/>
  <c r="AK39"/>
  <c r="AK40"/>
  <c r="AK41"/>
  <c r="AK42"/>
  <c r="AK43"/>
  <c r="AK44"/>
  <c r="AK45"/>
  <c r="AK46"/>
  <c r="AK47"/>
  <c r="AK48"/>
  <c r="AK49"/>
  <c r="AK50"/>
  <c r="AK51"/>
  <c r="AK52"/>
  <c r="AK53"/>
  <c r="AK54"/>
  <c r="AK55"/>
  <c r="AK56"/>
  <c r="AK57"/>
  <c r="AK58"/>
  <c r="AK59"/>
  <c r="AK60"/>
  <c r="AK61"/>
  <c r="AK62"/>
  <c r="AK63"/>
  <c r="AK64"/>
  <c r="AK65"/>
  <c r="AK66"/>
  <c r="AK67"/>
  <c r="AK68"/>
  <c r="AK69"/>
  <c r="AK70"/>
  <c r="AK71"/>
  <c r="AK72"/>
  <c r="AK73"/>
  <c r="AK74"/>
  <c r="AK75"/>
  <c r="AK76"/>
  <c r="AK77"/>
  <c r="AK78"/>
  <c r="AK79"/>
  <c r="AK80"/>
  <c r="AK81"/>
  <c r="AK82"/>
  <c r="AK83"/>
  <c r="AK84"/>
  <c r="AK85"/>
  <c r="AK86"/>
  <c r="AK87"/>
  <c r="AK88"/>
  <c r="AK89"/>
  <c r="AK90"/>
  <c r="AK91"/>
  <c r="AK92"/>
  <c r="AK93"/>
  <c r="AK94"/>
  <c r="AK95"/>
  <c r="AK96"/>
  <c r="AK97"/>
  <c r="AK98"/>
  <c r="AK99"/>
  <c r="AK100"/>
  <c r="AK101"/>
  <c r="AK102"/>
  <c r="AK103"/>
  <c r="AK104"/>
  <c r="AK105"/>
  <c r="AK106"/>
  <c r="AK107"/>
  <c r="AK108"/>
  <c r="AK109"/>
  <c r="AK110"/>
  <c r="AK111"/>
  <c r="AK112"/>
  <c r="AK113"/>
  <c r="AK114"/>
  <c r="AK115"/>
  <c r="AK116"/>
  <c r="AK117"/>
  <c r="AK118"/>
  <c r="AK119"/>
  <c r="AK120"/>
  <c r="AK121"/>
  <c r="AK122"/>
  <c r="AK123"/>
  <c r="AK124"/>
  <c r="AK125"/>
  <c r="AK126"/>
  <c r="AK127"/>
  <c r="AK128"/>
  <c r="AK129"/>
  <c r="AK130"/>
  <c r="AK131"/>
  <c r="AK132"/>
  <c r="AK133"/>
  <c r="AK134"/>
  <c r="AK135"/>
  <c r="AK136"/>
  <c r="AK137"/>
  <c r="AK138"/>
  <c r="AK139"/>
  <c r="AK140"/>
  <c r="AJ4"/>
  <c r="AJ5"/>
  <c r="AJ6"/>
  <c r="AJ7"/>
  <c r="AJ8"/>
  <c r="AJ9"/>
  <c r="AJ10"/>
  <c r="AJ11"/>
  <c r="AJ12"/>
  <c r="AJ13"/>
  <c r="AJ14"/>
  <c r="AJ15"/>
  <c r="AJ16"/>
  <c r="AJ17"/>
  <c r="AJ18"/>
  <c r="AJ19"/>
  <c r="AJ20"/>
  <c r="AJ21"/>
  <c r="AJ22"/>
  <c r="AJ23"/>
  <c r="AJ24"/>
  <c r="AJ25"/>
  <c r="AJ26"/>
  <c r="AJ27"/>
  <c r="AJ28"/>
  <c r="AJ29"/>
  <c r="AJ30"/>
  <c r="AJ31"/>
  <c r="AJ32"/>
  <c r="AJ33"/>
  <c r="AJ34"/>
  <c r="AJ35"/>
  <c r="AJ36"/>
  <c r="AJ37"/>
  <c r="AJ38"/>
  <c r="AJ39"/>
  <c r="AJ40"/>
  <c r="AJ41"/>
  <c r="AJ42"/>
  <c r="AJ43"/>
  <c r="AJ44"/>
  <c r="AJ45"/>
  <c r="AJ46"/>
  <c r="AJ47"/>
  <c r="AJ48"/>
  <c r="AJ49"/>
  <c r="AJ50"/>
  <c r="AJ51"/>
  <c r="AJ52"/>
  <c r="AJ53"/>
  <c r="AJ54"/>
  <c r="AJ55"/>
  <c r="AJ56"/>
  <c r="AJ57"/>
  <c r="AJ58"/>
  <c r="AJ59"/>
  <c r="AJ60"/>
  <c r="AJ61"/>
  <c r="AJ62"/>
  <c r="AJ63"/>
  <c r="AJ64"/>
  <c r="AJ65"/>
  <c r="AJ66"/>
  <c r="AJ67"/>
  <c r="AJ68"/>
  <c r="AJ69"/>
  <c r="AJ70"/>
  <c r="AJ71"/>
  <c r="AJ72"/>
  <c r="AJ73"/>
  <c r="AJ74"/>
  <c r="AJ75"/>
  <c r="AJ76"/>
  <c r="AJ77"/>
  <c r="AJ78"/>
  <c r="AJ79"/>
  <c r="AJ80"/>
  <c r="AJ81"/>
  <c r="AJ82"/>
  <c r="AJ83"/>
  <c r="AJ84"/>
  <c r="AJ85"/>
  <c r="AJ86"/>
  <c r="AJ87"/>
  <c r="AJ88"/>
  <c r="AJ89"/>
  <c r="AJ90"/>
  <c r="AJ91"/>
  <c r="AJ92"/>
  <c r="AJ93"/>
  <c r="AJ94"/>
  <c r="AJ95"/>
  <c r="AJ96"/>
  <c r="AJ97"/>
  <c r="AJ98"/>
  <c r="AJ99"/>
  <c r="AJ100"/>
  <c r="AJ101"/>
  <c r="AJ102"/>
  <c r="AJ103"/>
  <c r="AJ104"/>
  <c r="AJ105"/>
  <c r="AJ106"/>
  <c r="AJ107"/>
  <c r="AJ108"/>
  <c r="AJ109"/>
  <c r="AJ110"/>
  <c r="AJ111"/>
  <c r="AJ112"/>
  <c r="AJ113"/>
  <c r="AJ114"/>
  <c r="AJ115"/>
  <c r="AJ116"/>
  <c r="AJ117"/>
  <c r="AJ118"/>
  <c r="AJ119"/>
  <c r="AJ120"/>
  <c r="AJ121"/>
  <c r="AJ122"/>
  <c r="AJ123"/>
  <c r="AJ124"/>
  <c r="AJ125"/>
  <c r="AJ126"/>
  <c r="AJ127"/>
  <c r="AJ128"/>
  <c r="AJ129"/>
  <c r="AJ130"/>
  <c r="AJ131"/>
  <c r="AJ132"/>
  <c r="AJ133"/>
  <c r="AJ134"/>
  <c r="AJ135"/>
  <c r="AJ136"/>
  <c r="AJ137"/>
  <c r="AJ138"/>
  <c r="AJ139"/>
  <c r="AJ140"/>
  <c r="AI4"/>
  <c r="AI5"/>
  <c r="AI6"/>
  <c r="AI7"/>
  <c r="AI8"/>
  <c r="AI9"/>
  <c r="AI10"/>
  <c r="AI11"/>
  <c r="AI12"/>
  <c r="AI13"/>
  <c r="AI14"/>
  <c r="AI15"/>
  <c r="AI16"/>
  <c r="AI17"/>
  <c r="AI18"/>
  <c r="AI19"/>
  <c r="AI20"/>
  <c r="AI21"/>
  <c r="AI22"/>
  <c r="AI23"/>
  <c r="AI24"/>
  <c r="AI25"/>
  <c r="AI26"/>
  <c r="AI27"/>
  <c r="AI28"/>
  <c r="AI29"/>
  <c r="AI30"/>
  <c r="AI31"/>
  <c r="AI32"/>
  <c r="AI33"/>
  <c r="AI34"/>
  <c r="AI35"/>
  <c r="AI36"/>
  <c r="AI37"/>
  <c r="AI38"/>
  <c r="AI39"/>
  <c r="AI40"/>
  <c r="AI41"/>
  <c r="AI42"/>
  <c r="AI43"/>
  <c r="AI44"/>
  <c r="AI45"/>
  <c r="AI46"/>
  <c r="AI47"/>
  <c r="AI48"/>
  <c r="AI49"/>
  <c r="AI50"/>
  <c r="AI51"/>
  <c r="AI52"/>
  <c r="AI53"/>
  <c r="AI54"/>
  <c r="AI55"/>
  <c r="AI56"/>
  <c r="AI57"/>
  <c r="AI58"/>
  <c r="AI59"/>
  <c r="AI60"/>
  <c r="AI61"/>
  <c r="AI62"/>
  <c r="AI63"/>
  <c r="AI64"/>
  <c r="AI65"/>
  <c r="AI66"/>
  <c r="AI67"/>
  <c r="AI68"/>
  <c r="AI69"/>
  <c r="AI70"/>
  <c r="AI71"/>
  <c r="AI72"/>
  <c r="AI73"/>
  <c r="AI74"/>
  <c r="AI75"/>
  <c r="AI76"/>
  <c r="AI77"/>
  <c r="AI78"/>
  <c r="AI79"/>
  <c r="AI80"/>
  <c r="AI81"/>
  <c r="AI82"/>
  <c r="AI83"/>
  <c r="AI84"/>
  <c r="AI85"/>
  <c r="AI86"/>
  <c r="AI87"/>
  <c r="AI88"/>
  <c r="AI89"/>
  <c r="AI90"/>
  <c r="AI91"/>
  <c r="AI92"/>
  <c r="AI93"/>
  <c r="AI94"/>
  <c r="AI95"/>
  <c r="AI96"/>
  <c r="AI97"/>
  <c r="AI98"/>
  <c r="AI99"/>
  <c r="AI100"/>
  <c r="AI101"/>
  <c r="AI102"/>
  <c r="AI103"/>
  <c r="AI104"/>
  <c r="AI105"/>
  <c r="AI106"/>
  <c r="AI107"/>
  <c r="AI108"/>
  <c r="AI109"/>
  <c r="AI110"/>
  <c r="AI111"/>
  <c r="AI112"/>
  <c r="AI113"/>
  <c r="AI114"/>
  <c r="AI115"/>
  <c r="AI116"/>
  <c r="AI117"/>
  <c r="AI118"/>
  <c r="AI119"/>
  <c r="AI120"/>
  <c r="AI121"/>
  <c r="AI122"/>
  <c r="AI123"/>
  <c r="AI124"/>
  <c r="AI125"/>
  <c r="AI126"/>
  <c r="AI127"/>
  <c r="AI128"/>
  <c r="AI129"/>
  <c r="AI130"/>
  <c r="AI131"/>
  <c r="AI132"/>
  <c r="AI133"/>
  <c r="AI134"/>
  <c r="AI135"/>
  <c r="AI136"/>
  <c r="AI137"/>
  <c r="AI138"/>
  <c r="AI139"/>
  <c r="AI140"/>
  <c r="AK3"/>
  <c r="AL3"/>
  <c r="AM3"/>
  <c r="AN3"/>
  <c r="AO3"/>
  <c r="AP3"/>
  <c r="AQ3"/>
  <c r="AR3"/>
  <c r="AS3"/>
  <c r="AT3"/>
  <c r="AV3"/>
  <c r="AW3"/>
  <c r="AZ3"/>
  <c r="BA3"/>
  <c r="BB3"/>
  <c r="BC3"/>
  <c r="AJ3"/>
  <c r="AI3"/>
  <c r="AF4"/>
  <c r="AF5"/>
  <c r="AF6"/>
  <c r="AF7"/>
  <c r="AF8"/>
  <c r="AF9"/>
  <c r="AF10"/>
  <c r="AF11"/>
  <c r="AF12"/>
  <c r="AF13"/>
  <c r="AF14"/>
  <c r="AF15"/>
  <c r="AF16"/>
  <c r="AF17"/>
  <c r="AF18"/>
  <c r="AF19"/>
  <c r="AF20"/>
  <c r="AF21"/>
  <c r="AF22"/>
  <c r="AF23"/>
  <c r="AF24"/>
  <c r="AF25"/>
  <c r="AF26"/>
  <c r="AF27"/>
  <c r="AF28"/>
  <c r="AF29"/>
  <c r="AF30"/>
  <c r="AF31"/>
  <c r="AF32"/>
  <c r="AF33"/>
  <c r="AF34"/>
  <c r="AF35"/>
  <c r="AF36"/>
  <c r="AF37"/>
  <c r="AF38"/>
  <c r="AF39"/>
  <c r="AF40"/>
  <c r="AF41"/>
  <c r="AF42"/>
  <c r="AF43"/>
  <c r="AF44"/>
  <c r="AF45"/>
  <c r="AF46"/>
  <c r="AF47"/>
  <c r="AF48"/>
  <c r="AF49"/>
  <c r="AF50"/>
  <c r="AF51"/>
  <c r="AF52"/>
  <c r="AF53"/>
  <c r="AF54"/>
  <c r="AF55"/>
  <c r="AF56"/>
  <c r="AF57"/>
  <c r="AF58"/>
  <c r="AF59"/>
  <c r="AF60"/>
  <c r="AF61"/>
  <c r="AF62"/>
  <c r="AF63"/>
  <c r="AF64"/>
  <c r="AF65"/>
  <c r="AF66"/>
  <c r="AF67"/>
  <c r="AF68"/>
  <c r="AF69"/>
  <c r="AF70"/>
  <c r="AF71"/>
  <c r="AF72"/>
  <c r="AF73"/>
  <c r="AF74"/>
  <c r="AF75"/>
  <c r="AF76"/>
  <c r="AF77"/>
  <c r="AF78"/>
  <c r="AF79"/>
  <c r="AF80"/>
  <c r="AF81"/>
  <c r="AF82"/>
  <c r="AF83"/>
  <c r="AF84"/>
  <c r="AF85"/>
  <c r="AF86"/>
  <c r="AF87"/>
  <c r="AF88"/>
  <c r="AF89"/>
  <c r="AF90"/>
  <c r="AF91"/>
  <c r="AF92"/>
  <c r="AF93"/>
  <c r="AF94"/>
  <c r="AF95"/>
  <c r="AF96"/>
  <c r="AF97"/>
  <c r="AF98"/>
  <c r="AF99"/>
  <c r="AF100"/>
  <c r="AF101"/>
  <c r="AF102"/>
  <c r="AF103"/>
  <c r="AF104"/>
  <c r="AF105"/>
  <c r="AF106"/>
  <c r="AF107"/>
  <c r="AF108"/>
  <c r="AF109"/>
  <c r="AF110"/>
  <c r="AF111"/>
  <c r="AF112"/>
  <c r="AF113"/>
  <c r="AF114"/>
  <c r="AF115"/>
  <c r="AF116"/>
  <c r="AF117"/>
  <c r="AF118"/>
  <c r="AF119"/>
  <c r="AF120"/>
  <c r="AF121"/>
  <c r="AF122"/>
  <c r="AF123"/>
  <c r="AF124"/>
  <c r="AF125"/>
  <c r="AF126"/>
  <c r="AF127"/>
  <c r="AF128"/>
  <c r="AF129"/>
  <c r="AF130"/>
  <c r="AF131"/>
  <c r="AF132"/>
  <c r="AF133"/>
  <c r="AF134"/>
  <c r="AF135"/>
  <c r="AF136"/>
  <c r="AF137"/>
  <c r="AF138"/>
  <c r="AF139"/>
  <c r="AF140"/>
  <c r="AE4"/>
  <c r="AE5"/>
  <c r="AE6"/>
  <c r="AE7"/>
  <c r="AE8"/>
  <c r="AE9"/>
  <c r="AE10"/>
  <c r="AE11"/>
  <c r="AE12"/>
  <c r="AE13"/>
  <c r="AE14"/>
  <c r="AE15"/>
  <c r="AE16"/>
  <c r="AE17"/>
  <c r="AE18"/>
  <c r="AE19"/>
  <c r="AE20"/>
  <c r="AE21"/>
  <c r="AE22"/>
  <c r="AE23"/>
  <c r="AE24"/>
  <c r="AE25"/>
  <c r="AE26"/>
  <c r="AE27"/>
  <c r="AE28"/>
  <c r="AE29"/>
  <c r="AE30"/>
  <c r="AE31"/>
  <c r="AE32"/>
  <c r="AE33"/>
  <c r="AE34"/>
  <c r="AE35"/>
  <c r="AE36"/>
  <c r="AE37"/>
  <c r="AE38"/>
  <c r="AE39"/>
  <c r="AE40"/>
  <c r="AE41"/>
  <c r="AE42"/>
  <c r="AE43"/>
  <c r="AE44"/>
  <c r="AE45"/>
  <c r="AE46"/>
  <c r="AE47"/>
  <c r="AE48"/>
  <c r="AE49"/>
  <c r="AE50"/>
  <c r="AE51"/>
  <c r="AE52"/>
  <c r="AE53"/>
  <c r="AE54"/>
  <c r="AE55"/>
  <c r="AE56"/>
  <c r="AE57"/>
  <c r="AE58"/>
  <c r="AE59"/>
  <c r="AE60"/>
  <c r="AE61"/>
  <c r="AE62"/>
  <c r="AE63"/>
  <c r="AE64"/>
  <c r="AE65"/>
  <c r="AE66"/>
  <c r="AE67"/>
  <c r="AE68"/>
  <c r="AE69"/>
  <c r="AE70"/>
  <c r="AE71"/>
  <c r="AE72"/>
  <c r="AE73"/>
  <c r="AE74"/>
  <c r="AE75"/>
  <c r="AE76"/>
  <c r="AE77"/>
  <c r="AE78"/>
  <c r="AE79"/>
  <c r="AE80"/>
  <c r="AE81"/>
  <c r="AE82"/>
  <c r="AE83"/>
  <c r="AE84"/>
  <c r="AE85"/>
  <c r="AE86"/>
  <c r="AE87"/>
  <c r="AE88"/>
  <c r="AE89"/>
  <c r="AE90"/>
  <c r="AE91"/>
  <c r="AE92"/>
  <c r="AE93"/>
  <c r="AE94"/>
  <c r="AE95"/>
  <c r="AE96"/>
  <c r="AE97"/>
  <c r="AE98"/>
  <c r="AE99"/>
  <c r="AE100"/>
  <c r="AE101"/>
  <c r="AE102"/>
  <c r="AE103"/>
  <c r="AE104"/>
  <c r="AE105"/>
  <c r="AE106"/>
  <c r="AE107"/>
  <c r="AE108"/>
  <c r="AE109"/>
  <c r="AE110"/>
  <c r="AE111"/>
  <c r="AE112"/>
  <c r="AE113"/>
  <c r="AE114"/>
  <c r="AE115"/>
  <c r="AE116"/>
  <c r="AE117"/>
  <c r="AE118"/>
  <c r="AE119"/>
  <c r="AE120"/>
  <c r="AE121"/>
  <c r="AE122"/>
  <c r="AE123"/>
  <c r="AE124"/>
  <c r="AE125"/>
  <c r="AE126"/>
  <c r="AE127"/>
  <c r="AE128"/>
  <c r="AE129"/>
  <c r="AE130"/>
  <c r="AE131"/>
  <c r="AE132"/>
  <c r="AE133"/>
  <c r="AE134"/>
  <c r="AE135"/>
  <c r="AE136"/>
  <c r="AE137"/>
  <c r="AE138"/>
  <c r="AE139"/>
  <c r="AE140"/>
  <c r="AB4"/>
  <c r="AB5"/>
  <c r="AB6"/>
  <c r="AB7"/>
  <c r="AB8"/>
  <c r="AB9"/>
  <c r="AB10"/>
  <c r="AB11"/>
  <c r="AB12"/>
  <c r="AB13"/>
  <c r="AB14"/>
  <c r="AB15"/>
  <c r="AB16"/>
  <c r="AB17"/>
  <c r="AB18"/>
  <c r="AB19"/>
  <c r="AB20"/>
  <c r="AB21"/>
  <c r="AB22"/>
  <c r="AB23"/>
  <c r="AB24"/>
  <c r="AB25"/>
  <c r="AB26"/>
  <c r="AB27"/>
  <c r="AB28"/>
  <c r="AB29"/>
  <c r="AB30"/>
  <c r="AB31"/>
  <c r="AB32"/>
  <c r="AB33"/>
  <c r="AB34"/>
  <c r="AB35"/>
  <c r="AB36"/>
  <c r="AB37"/>
  <c r="AB38"/>
  <c r="AB39"/>
  <c r="AB40"/>
  <c r="AB41"/>
  <c r="AB42"/>
  <c r="AB43"/>
  <c r="AB44"/>
  <c r="AB45"/>
  <c r="AB46"/>
  <c r="AB47"/>
  <c r="AB48"/>
  <c r="AB49"/>
  <c r="AB50"/>
  <c r="AB51"/>
  <c r="AB52"/>
  <c r="AB53"/>
  <c r="AB54"/>
  <c r="AB55"/>
  <c r="AB56"/>
  <c r="AB57"/>
  <c r="AB58"/>
  <c r="AB59"/>
  <c r="AB60"/>
  <c r="AB61"/>
  <c r="AB62"/>
  <c r="AB63"/>
  <c r="AB64"/>
  <c r="AB65"/>
  <c r="AB66"/>
  <c r="AB67"/>
  <c r="AB68"/>
  <c r="AB69"/>
  <c r="AB70"/>
  <c r="AB71"/>
  <c r="AB72"/>
  <c r="AB73"/>
  <c r="AB74"/>
  <c r="AB75"/>
  <c r="AB76"/>
  <c r="AB77"/>
  <c r="AB78"/>
  <c r="AB79"/>
  <c r="AB80"/>
  <c r="AB81"/>
  <c r="AB82"/>
  <c r="AB83"/>
  <c r="AB84"/>
  <c r="AB85"/>
  <c r="AB86"/>
  <c r="AB87"/>
  <c r="AB88"/>
  <c r="AB89"/>
  <c r="AB90"/>
  <c r="AB91"/>
  <c r="AB92"/>
  <c r="AB93"/>
  <c r="AB94"/>
  <c r="AB95"/>
  <c r="AB96"/>
  <c r="AB97"/>
  <c r="AB98"/>
  <c r="AB99"/>
  <c r="AB100"/>
  <c r="AB101"/>
  <c r="AB102"/>
  <c r="AB103"/>
  <c r="AB104"/>
  <c r="AB105"/>
  <c r="AB106"/>
  <c r="AB107"/>
  <c r="AB108"/>
  <c r="AB109"/>
  <c r="AB110"/>
  <c r="AB111"/>
  <c r="AB112"/>
  <c r="AB113"/>
  <c r="AB114"/>
  <c r="AB115"/>
  <c r="AB116"/>
  <c r="AB117"/>
  <c r="AB118"/>
  <c r="AB119"/>
  <c r="AB120"/>
  <c r="AB121"/>
  <c r="AB122"/>
  <c r="AB123"/>
  <c r="AB124"/>
  <c r="AB125"/>
  <c r="AB126"/>
  <c r="AB127"/>
  <c r="AB128"/>
  <c r="AB129"/>
  <c r="AB130"/>
  <c r="AB131"/>
  <c r="AB132"/>
  <c r="AB133"/>
  <c r="AB134"/>
  <c r="AB135"/>
  <c r="AB136"/>
  <c r="AB137"/>
  <c r="AB138"/>
  <c r="AB139"/>
  <c r="AB140"/>
  <c r="AD4"/>
  <c r="AD5"/>
  <c r="AD6"/>
  <c r="AD7"/>
  <c r="AD8"/>
  <c r="AD9"/>
  <c r="AD10"/>
  <c r="AD11"/>
  <c r="AD12"/>
  <c r="AD13"/>
  <c r="AD14"/>
  <c r="AD15"/>
  <c r="AD16"/>
  <c r="AD17"/>
  <c r="AD18"/>
  <c r="AD19"/>
  <c r="AD20"/>
  <c r="AD21"/>
  <c r="AD22"/>
  <c r="AD23"/>
  <c r="AD24"/>
  <c r="AD25"/>
  <c r="AD26"/>
  <c r="AD27"/>
  <c r="AD28"/>
  <c r="AD29"/>
  <c r="AD30"/>
  <c r="AD31"/>
  <c r="AD32"/>
  <c r="AD33"/>
  <c r="AD34"/>
  <c r="AD35"/>
  <c r="AD36"/>
  <c r="AD37"/>
  <c r="AD38"/>
  <c r="AD39"/>
  <c r="AD40"/>
  <c r="AD41"/>
  <c r="AD42"/>
  <c r="AD43"/>
  <c r="AD44"/>
  <c r="AD45"/>
  <c r="AD46"/>
  <c r="AD47"/>
  <c r="AD48"/>
  <c r="AD49"/>
  <c r="AD50"/>
  <c r="AD51"/>
  <c r="AD52"/>
  <c r="AD53"/>
  <c r="AD54"/>
  <c r="AD55"/>
  <c r="AD56"/>
  <c r="AD57"/>
  <c r="AD58"/>
  <c r="AD59"/>
  <c r="AD60"/>
  <c r="AD61"/>
  <c r="AD62"/>
  <c r="AD63"/>
  <c r="AD64"/>
  <c r="AD65"/>
  <c r="AD66"/>
  <c r="AD67"/>
  <c r="AD68"/>
  <c r="AD69"/>
  <c r="AD70"/>
  <c r="AD71"/>
  <c r="AD72"/>
  <c r="AD73"/>
  <c r="AD74"/>
  <c r="AD75"/>
  <c r="AD76"/>
  <c r="AD77"/>
  <c r="AD78"/>
  <c r="AD79"/>
  <c r="AD80"/>
  <c r="AD81"/>
  <c r="AD82"/>
  <c r="AD83"/>
  <c r="AD84"/>
  <c r="AD85"/>
  <c r="AD86"/>
  <c r="AD87"/>
  <c r="AD88"/>
  <c r="AD89"/>
  <c r="AD90"/>
  <c r="AD91"/>
  <c r="AD92"/>
  <c r="AD93"/>
  <c r="AD94"/>
  <c r="AD95"/>
  <c r="AD96"/>
  <c r="AD97"/>
  <c r="AD98"/>
  <c r="AD99"/>
  <c r="AD100"/>
  <c r="AD101"/>
  <c r="AD102"/>
  <c r="AD103"/>
  <c r="AD104"/>
  <c r="AD105"/>
  <c r="AD106"/>
  <c r="AD107"/>
  <c r="AD108"/>
  <c r="AD109"/>
  <c r="AD110"/>
  <c r="AD111"/>
  <c r="AD112"/>
  <c r="AD113"/>
  <c r="AD114"/>
  <c r="AD115"/>
  <c r="AD116"/>
  <c r="AD117"/>
  <c r="AD118"/>
  <c r="AD119"/>
  <c r="AD120"/>
  <c r="AD121"/>
  <c r="AD122"/>
  <c r="AD123"/>
  <c r="AD124"/>
  <c r="AD125"/>
  <c r="AD126"/>
  <c r="AD127"/>
  <c r="AD128"/>
  <c r="AD129"/>
  <c r="AD130"/>
  <c r="AD131"/>
  <c r="AD132"/>
  <c r="AD133"/>
  <c r="AD134"/>
  <c r="AD135"/>
  <c r="AD136"/>
  <c r="AD137"/>
  <c r="AD138"/>
  <c r="AD139"/>
  <c r="AD140"/>
  <c r="AC4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6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8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99"/>
  <c r="AC100"/>
  <c r="AC101"/>
  <c r="AC102"/>
  <c r="AC103"/>
  <c r="AC104"/>
  <c r="AC105"/>
  <c r="AC106"/>
  <c r="AC107"/>
  <c r="AC108"/>
  <c r="AC109"/>
  <c r="AC110"/>
  <c r="AC111"/>
  <c r="AC112"/>
  <c r="AC113"/>
  <c r="AC114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C135"/>
  <c r="AC136"/>
  <c r="AC137"/>
  <c r="AC138"/>
  <c r="AC139"/>
  <c r="AC140"/>
  <c r="AC4" i="2"/>
  <c r="AC5"/>
  <c r="AC6"/>
  <c r="AC7"/>
  <c r="AC8"/>
  <c r="AC9"/>
  <c r="AC10"/>
  <c r="AC11"/>
  <c r="AC12"/>
  <c r="AC13"/>
  <c r="AC14"/>
  <c r="AC15"/>
  <c r="AC16"/>
  <c r="AC17"/>
  <c r="AC18"/>
  <c r="AC19"/>
  <c r="AC20"/>
  <c r="AC21"/>
  <c r="AC22"/>
  <c r="AC23"/>
  <c r="AC24"/>
  <c r="AC25"/>
  <c r="AC26"/>
  <c r="AC27"/>
  <c r="AC28"/>
  <c r="AC29"/>
  <c r="AC30"/>
  <c r="AC31"/>
  <c r="AC32"/>
  <c r="AC33"/>
  <c r="AC34"/>
  <c r="AC35"/>
  <c r="AC36"/>
  <c r="AC37"/>
  <c r="AC38"/>
  <c r="AC39"/>
  <c r="AC40"/>
  <c r="AC41"/>
  <c r="AC42"/>
  <c r="AC43"/>
  <c r="AC44"/>
  <c r="AC45"/>
  <c r="AC46"/>
  <c r="AC47"/>
  <c r="AC48"/>
  <c r="AC49"/>
  <c r="AC50"/>
  <c r="AC51"/>
  <c r="AC52"/>
  <c r="AC53"/>
  <c r="AC54"/>
  <c r="AC55"/>
  <c r="AC57"/>
  <c r="AC58"/>
  <c r="AC59"/>
  <c r="AC60"/>
  <c r="AC61"/>
  <c r="AC62"/>
  <c r="AC63"/>
  <c r="AC64"/>
  <c r="AC65"/>
  <c r="AC66"/>
  <c r="AC67"/>
  <c r="AC68"/>
  <c r="AC69"/>
  <c r="AC70"/>
  <c r="AC71"/>
  <c r="AC72"/>
  <c r="AC73"/>
  <c r="AC74"/>
  <c r="AC75"/>
  <c r="AC76"/>
  <c r="AC77"/>
  <c r="AC79"/>
  <c r="AC80"/>
  <c r="AC81"/>
  <c r="AC82"/>
  <c r="AC83"/>
  <c r="AC84"/>
  <c r="AC85"/>
  <c r="AC86"/>
  <c r="AC87"/>
  <c r="AC88"/>
  <c r="AC89"/>
  <c r="AC90"/>
  <c r="AC91"/>
  <c r="AC92"/>
  <c r="AC93"/>
  <c r="AC94"/>
  <c r="AC95"/>
  <c r="AC96"/>
  <c r="AC97"/>
  <c r="AC98"/>
  <c r="AC100"/>
  <c r="AC101"/>
  <c r="AC102"/>
  <c r="AC105"/>
  <c r="AC107"/>
  <c r="AC108"/>
  <c r="AC109"/>
  <c r="AC110"/>
  <c r="AC111"/>
  <c r="AC112"/>
  <c r="AC115"/>
  <c r="AC116"/>
  <c r="AC117"/>
  <c r="AC118"/>
  <c r="AC119"/>
  <c r="AC120"/>
  <c r="AC121"/>
  <c r="AC122"/>
  <c r="AC123"/>
  <c r="AC124"/>
  <c r="AC125"/>
  <c r="AC126"/>
  <c r="AC127"/>
  <c r="AC128"/>
  <c r="AC129"/>
  <c r="AC130"/>
  <c r="AC131"/>
  <c r="AC132"/>
  <c r="AC133"/>
  <c r="AC134"/>
  <c r="AC135"/>
  <c r="AC136"/>
  <c r="AC137"/>
  <c r="AC138"/>
  <c r="AC139"/>
  <c r="AC140"/>
  <c r="AC141"/>
  <c r="AC142"/>
  <c r="AC143"/>
  <c r="AC144"/>
  <c r="AC145"/>
  <c r="AC146"/>
  <c r="AC147"/>
  <c r="AC148"/>
  <c r="AC149"/>
  <c r="AC150"/>
  <c r="AC151"/>
  <c r="AC152"/>
  <c r="AC153"/>
  <c r="AC154"/>
  <c r="AC155"/>
  <c r="AC156"/>
  <c r="AC157"/>
  <c r="AC158"/>
  <c r="AC159"/>
  <c r="AC160"/>
  <c r="AC223"/>
  <c r="AC224"/>
  <c r="AC225"/>
  <c r="AC226"/>
  <c r="AC227"/>
  <c r="AC228"/>
  <c r="AC229"/>
  <c r="AC230"/>
  <c r="AC231"/>
  <c r="AC232"/>
  <c r="AC233"/>
  <c r="AC234"/>
  <c r="AC235"/>
  <c r="AC236"/>
  <c r="AC237"/>
  <c r="AC238"/>
  <c r="AC239"/>
  <c r="AC240"/>
  <c r="AC241"/>
  <c r="AC242"/>
  <c r="AC243"/>
  <c r="AC244"/>
  <c r="AC245"/>
  <c r="AC246"/>
  <c r="AC247"/>
  <c r="AC248"/>
  <c r="AC249"/>
  <c r="AC250"/>
  <c r="AC251"/>
  <c r="AC252"/>
  <c r="AC253"/>
  <c r="AC254"/>
  <c r="AC255"/>
  <c r="AC256"/>
  <c r="AC257"/>
  <c r="AC258"/>
  <c r="AC259"/>
  <c r="AC260"/>
  <c r="AC261"/>
  <c r="AC262"/>
  <c r="AC263"/>
  <c r="AC264"/>
  <c r="AC265"/>
  <c r="AC266"/>
  <c r="AC267"/>
  <c r="AC268"/>
  <c r="AC269"/>
  <c r="AC270"/>
  <c r="AC271"/>
  <c r="AC272"/>
  <c r="AC273"/>
  <c r="AC274"/>
  <c r="AC275"/>
  <c r="AC276"/>
  <c r="AC277"/>
  <c r="AC278"/>
  <c r="AC279"/>
  <c r="AC280"/>
  <c r="AC281"/>
  <c r="AC282"/>
  <c r="AC283"/>
  <c r="AC284"/>
  <c r="AC285"/>
  <c r="AC286"/>
  <c r="AC287"/>
  <c r="AC288"/>
  <c r="AC289"/>
  <c r="AC290"/>
  <c r="AC291"/>
  <c r="AC292"/>
  <c r="AC293"/>
  <c r="AC294"/>
  <c r="AC295"/>
  <c r="AC296"/>
  <c r="AC297"/>
  <c r="AC298"/>
  <c r="AD3" i="3"/>
  <c r="AC3"/>
  <c r="AD4" i="6"/>
  <c r="AE3" i="4"/>
  <c r="AF3"/>
  <c r="AD3"/>
  <c r="AC3"/>
  <c r="AB3"/>
  <c r="BH184" l="1"/>
  <c r="BH183"/>
  <c r="AH184" i="3"/>
  <c r="AH183"/>
  <c r="BF182" i="4"/>
  <c r="BF181"/>
  <c r="BG181"/>
  <c r="BG182"/>
  <c r="AH181" i="3"/>
  <c r="AH182"/>
  <c r="BH182" i="4"/>
  <c r="BH181"/>
  <c r="BE182" i="6"/>
  <c r="BE183"/>
  <c r="BE181" i="4"/>
  <c r="BE182"/>
  <c r="BI181"/>
  <c r="BI182"/>
  <c r="BG179"/>
  <c r="BG177"/>
  <c r="BG178"/>
  <c r="BG180"/>
  <c r="BF180"/>
  <c r="BF178"/>
  <c r="BF179"/>
  <c r="BF177"/>
  <c r="BI178"/>
  <c r="BI177"/>
  <c r="BI180"/>
  <c r="BI179"/>
  <c r="BH179"/>
  <c r="BH177"/>
  <c r="BH178"/>
  <c r="BH180"/>
  <c r="BE180" i="6"/>
  <c r="BE178"/>
  <c r="BE179"/>
  <c r="BE181"/>
  <c r="BE177" i="4"/>
  <c r="BE180"/>
  <c r="BE179"/>
  <c r="BE178"/>
  <c r="AH176" i="3"/>
  <c r="AH177"/>
  <c r="AH179"/>
  <c r="AH178"/>
  <c r="AH180"/>
  <c r="BE177" i="6"/>
  <c r="BG176" i="4"/>
  <c r="BH176"/>
  <c r="BF176"/>
  <c r="BI176"/>
  <c r="BE176"/>
  <c r="AH175" i="3"/>
  <c r="AH174"/>
  <c r="AH173"/>
  <c r="BE174" i="6"/>
  <c r="BE176"/>
  <c r="BE175"/>
  <c r="BI175" i="4"/>
  <c r="BI174"/>
  <c r="BI173"/>
  <c r="BG174"/>
  <c r="BG173"/>
  <c r="BG175"/>
  <c r="BF173"/>
  <c r="BF175"/>
  <c r="BF174"/>
  <c r="BE175"/>
  <c r="BE174"/>
  <c r="BE173"/>
  <c r="BH174"/>
  <c r="BH173"/>
  <c r="BH175"/>
  <c r="AH171" i="3"/>
  <c r="AH172"/>
  <c r="BE173" i="6"/>
  <c r="BE172"/>
  <c r="BH172" i="4"/>
  <c r="BH171"/>
  <c r="BG171"/>
  <c r="BG172"/>
  <c r="BI172"/>
  <c r="BI171"/>
  <c r="BF171"/>
  <c r="BF172"/>
  <c r="BE172"/>
  <c r="BE171"/>
  <c r="AH166" i="3"/>
  <c r="AH170"/>
  <c r="AH169"/>
  <c r="AH167"/>
  <c r="AH168"/>
  <c r="BE171" i="6"/>
  <c r="BE170"/>
  <c r="BE169"/>
  <c r="BE168"/>
  <c r="BI170" i="4"/>
  <c r="BI169"/>
  <c r="BI168"/>
  <c r="BI167"/>
  <c r="BG170"/>
  <c r="BG169"/>
  <c r="BG168"/>
  <c r="BG167"/>
  <c r="BH167"/>
  <c r="BH168"/>
  <c r="BH169"/>
  <c r="BH170"/>
  <c r="BF169"/>
  <c r="BF168"/>
  <c r="BF167"/>
  <c r="BF170"/>
  <c r="BE170"/>
  <c r="BE169"/>
  <c r="BE168"/>
  <c r="BE167"/>
  <c r="BE167" i="6"/>
  <c r="BI166" i="4"/>
  <c r="BG166"/>
  <c r="BF166"/>
  <c r="BH166"/>
  <c r="BE166"/>
  <c r="AH163" i="3"/>
  <c r="AH164"/>
  <c r="AH165"/>
  <c r="BE166" i="6"/>
  <c r="BE165"/>
  <c r="BE164"/>
  <c r="BF163" i="4"/>
  <c r="BF165"/>
  <c r="BF164"/>
  <c r="BG164"/>
  <c r="BG163"/>
  <c r="BG165"/>
  <c r="BI164"/>
  <c r="BI163"/>
  <c r="BI165"/>
  <c r="BH165"/>
  <c r="BH163"/>
  <c r="BH164"/>
  <c r="BE164"/>
  <c r="BE165"/>
  <c r="BE163"/>
  <c r="BE163" i="6"/>
  <c r="BE162"/>
  <c r="BI161" i="4"/>
  <c r="BI162"/>
  <c r="BH161"/>
  <c r="BH162"/>
  <c r="BG162"/>
  <c r="BG161"/>
  <c r="BF161"/>
  <c r="BF162"/>
  <c r="BE161"/>
  <c r="BE162"/>
  <c r="AH162" i="3"/>
  <c r="AH161"/>
  <c r="D301" i="2"/>
  <c r="BG159" i="4"/>
  <c r="BG160"/>
  <c r="BI160"/>
  <c r="BI159"/>
  <c r="BE160" i="6"/>
  <c r="BE161"/>
  <c r="AH159" i="3"/>
  <c r="AH160"/>
  <c r="BH159" i="4"/>
  <c r="BH160"/>
  <c r="BE160"/>
  <c r="BE159"/>
  <c r="BF159"/>
  <c r="BF160"/>
  <c r="BI149"/>
  <c r="AH148" i="3"/>
  <c r="BH146" i="4"/>
  <c r="BE143" i="6"/>
  <c r="BG154" i="4"/>
  <c r="BF149"/>
  <c r="BH152"/>
  <c r="AH158" i="3"/>
  <c r="AH150"/>
  <c r="AH149"/>
  <c r="AH142"/>
  <c r="AH153"/>
  <c r="AH144"/>
  <c r="AH145"/>
  <c r="AH8"/>
  <c r="AH143"/>
  <c r="AH9"/>
  <c r="AH146"/>
  <c r="AH43"/>
  <c r="AH63"/>
  <c r="AH147"/>
  <c r="AH67"/>
  <c r="AH82"/>
  <c r="AH140"/>
  <c r="AH152"/>
  <c r="AH151"/>
  <c r="AH122"/>
  <c r="AH154"/>
  <c r="AH127"/>
  <c r="AH155"/>
  <c r="AH136"/>
  <c r="AH156"/>
  <c r="AH138"/>
  <c r="AH157"/>
  <c r="AH141"/>
  <c r="BE154" i="6"/>
  <c r="BE159"/>
  <c r="BE144"/>
  <c r="BE142"/>
  <c r="BE158"/>
  <c r="BE153"/>
  <c r="BE155"/>
  <c r="BE146"/>
  <c r="BE156"/>
  <c r="BE157"/>
  <c r="BE145"/>
  <c r="BE147"/>
  <c r="BE148"/>
  <c r="BE149"/>
  <c r="BE150"/>
  <c r="BE151"/>
  <c r="BE152"/>
  <c r="BE141" i="4"/>
  <c r="BE157"/>
  <c r="BF158"/>
  <c r="BI154"/>
  <c r="BE153"/>
  <c r="BE150"/>
  <c r="BG148"/>
  <c r="BH158"/>
  <c r="BE155"/>
  <c r="BG150"/>
  <c r="BH156"/>
  <c r="BG147"/>
  <c r="BE145"/>
  <c r="BE158"/>
  <c r="BF145"/>
  <c r="BI150"/>
  <c r="BH155"/>
  <c r="BF153"/>
  <c r="BE142"/>
  <c r="BF147"/>
  <c r="BG153"/>
  <c r="BE151"/>
  <c r="BI148"/>
  <c r="BF150"/>
  <c r="BF155"/>
  <c r="BG155"/>
  <c r="BE143"/>
  <c r="BI147"/>
  <c r="BG145"/>
  <c r="BG158"/>
  <c r="BI152"/>
  <c r="BH145"/>
  <c r="BF143"/>
  <c r="BH151"/>
  <c r="BH153"/>
  <c r="BG142"/>
  <c r="BI144"/>
  <c r="BH147"/>
  <c r="BI153"/>
  <c r="BG151"/>
  <c r="BH150"/>
  <c r="BI155"/>
  <c r="BF142"/>
  <c r="BF154"/>
  <c r="BI143"/>
  <c r="BI145"/>
  <c r="BI158"/>
  <c r="BE156"/>
  <c r="BH142"/>
  <c r="BH143"/>
  <c r="BH154"/>
  <c r="BE144"/>
  <c r="BF151"/>
  <c r="BI142"/>
  <c r="BI151"/>
  <c r="BE152"/>
  <c r="BE149"/>
  <c r="BG143"/>
  <c r="BF148"/>
  <c r="BE154"/>
  <c r="BF157"/>
  <c r="BG146"/>
  <c r="BE146"/>
  <c r="BF152"/>
  <c r="BG156"/>
  <c r="BF144"/>
  <c r="BF141"/>
  <c r="BI146"/>
  <c r="BF146"/>
  <c r="BG152"/>
  <c r="BG149"/>
  <c r="BG144"/>
  <c r="BH148"/>
  <c r="BH157"/>
  <c r="BE148"/>
  <c r="BI141"/>
  <c r="BI157"/>
  <c r="BG141"/>
  <c r="BG157"/>
  <c r="BH149"/>
  <c r="BI156"/>
  <c r="BH144"/>
  <c r="BH141"/>
  <c r="BF156"/>
  <c r="BE147"/>
  <c r="AH123" i="3"/>
  <c r="AH51"/>
  <c r="AH103"/>
  <c r="AH42"/>
  <c r="AH99"/>
  <c r="AH27"/>
  <c r="AH83"/>
  <c r="AH11"/>
  <c r="AH91"/>
  <c r="AH31"/>
  <c r="AH137"/>
  <c r="AH102"/>
  <c r="AH66"/>
  <c r="AH30"/>
  <c r="AH139"/>
  <c r="AH104"/>
  <c r="AH70"/>
  <c r="AH34"/>
  <c r="AH105"/>
  <c r="AH71"/>
  <c r="AH35"/>
  <c r="AH106"/>
  <c r="AH72"/>
  <c r="AH38"/>
  <c r="AH107"/>
  <c r="AH73"/>
  <c r="AH39"/>
  <c r="AH114"/>
  <c r="AH74"/>
  <c r="AH40"/>
  <c r="AH6"/>
  <c r="AH115"/>
  <c r="AH75"/>
  <c r="AH41"/>
  <c r="AH7"/>
  <c r="AH126"/>
  <c r="AH90"/>
  <c r="AH50"/>
  <c r="AH10"/>
  <c r="AH130"/>
  <c r="AH94"/>
  <c r="AH58"/>
  <c r="AH18"/>
  <c r="AH134"/>
  <c r="AH95"/>
  <c r="AH59"/>
  <c r="AH19"/>
  <c r="AH135"/>
  <c r="AH98"/>
  <c r="AH62"/>
  <c r="AH26"/>
  <c r="D307" i="2"/>
  <c r="BE3" i="4"/>
  <c r="AH131" i="3"/>
  <c r="AH84"/>
  <c r="D304" i="2"/>
  <c r="BE133" i="6"/>
  <c r="BE117"/>
  <c r="BE101"/>
  <c r="BE85"/>
  <c r="BE69"/>
  <c r="BE53"/>
  <c r="BE37"/>
  <c r="BE21"/>
  <c r="BE5"/>
  <c r="BE141"/>
  <c r="BE125"/>
  <c r="BE109"/>
  <c r="BE93"/>
  <c r="BE77"/>
  <c r="BE61"/>
  <c r="BE45"/>
  <c r="BE29"/>
  <c r="BE13"/>
  <c r="BI11" i="4"/>
  <c r="AH132" i="3"/>
  <c r="AH116"/>
  <c r="AH100"/>
  <c r="AH68"/>
  <c r="AH52"/>
  <c r="AH36"/>
  <c r="AH20"/>
  <c r="AH4"/>
  <c r="AH133"/>
  <c r="AH117"/>
  <c r="AH101"/>
  <c r="AH85"/>
  <c r="AH69"/>
  <c r="AH53"/>
  <c r="AH37"/>
  <c r="AH21"/>
  <c r="AH5"/>
  <c r="AH118"/>
  <c r="AH86"/>
  <c r="AH54"/>
  <c r="AH22"/>
  <c r="AH119"/>
  <c r="AH87"/>
  <c r="AH55"/>
  <c r="AH23"/>
  <c r="AH120"/>
  <c r="AH88"/>
  <c r="AH56"/>
  <c r="AH24"/>
  <c r="AH121"/>
  <c r="AH89"/>
  <c r="AH57"/>
  <c r="AH25"/>
  <c r="AH124"/>
  <c r="AH108"/>
  <c r="AH92"/>
  <c r="AH76"/>
  <c r="AH60"/>
  <c r="AH44"/>
  <c r="AH28"/>
  <c r="AH12"/>
  <c r="AH125"/>
  <c r="AH109"/>
  <c r="AH93"/>
  <c r="AH77"/>
  <c r="AH61"/>
  <c r="AH45"/>
  <c r="AH29"/>
  <c r="AH13"/>
  <c r="AH110"/>
  <c r="AH78"/>
  <c r="AH46"/>
  <c r="AH14"/>
  <c r="AH111"/>
  <c r="AH79"/>
  <c r="AH47"/>
  <c r="AH15"/>
  <c r="AH128"/>
  <c r="AH112"/>
  <c r="AH96"/>
  <c r="AH80"/>
  <c r="AH64"/>
  <c r="AH48"/>
  <c r="AH32"/>
  <c r="AH16"/>
  <c r="AH129"/>
  <c r="AH113"/>
  <c r="AH97"/>
  <c r="AH81"/>
  <c r="AH65"/>
  <c r="AH49"/>
  <c r="AH33"/>
  <c r="AH17"/>
  <c r="D302" i="2"/>
  <c r="D303"/>
  <c r="D306"/>
  <c r="D305"/>
  <c r="BH125" i="4"/>
  <c r="BG3"/>
  <c r="BI3"/>
  <c r="BH3"/>
  <c r="BH71"/>
  <c r="BF127"/>
  <c r="BF95"/>
  <c r="BF63"/>
  <c r="BF31"/>
  <c r="BG118"/>
  <c r="BG102"/>
  <c r="BG78"/>
  <c r="BG62"/>
  <c r="BG38"/>
  <c r="BE109"/>
  <c r="BE77"/>
  <c r="BE45"/>
  <c r="BE21"/>
  <c r="BH132"/>
  <c r="BH100"/>
  <c r="BH68"/>
  <c r="BH44"/>
  <c r="BH12"/>
  <c r="BI139"/>
  <c r="BI115"/>
  <c r="BI67"/>
  <c r="BI43"/>
  <c r="BI19"/>
  <c r="BF134"/>
  <c r="BF126"/>
  <c r="BF118"/>
  <c r="BF110"/>
  <c r="BF102"/>
  <c r="BG53"/>
  <c r="BF135"/>
  <c r="BF103"/>
  <c r="BF71"/>
  <c r="BF39"/>
  <c r="BF15"/>
  <c r="BG126"/>
  <c r="BG110"/>
  <c r="BG86"/>
  <c r="BG70"/>
  <c r="BG54"/>
  <c r="BG46"/>
  <c r="BG30"/>
  <c r="BG22"/>
  <c r="BG14"/>
  <c r="BG6"/>
  <c r="BE117"/>
  <c r="BE93"/>
  <c r="BE53"/>
  <c r="BE13"/>
  <c r="BH140"/>
  <c r="BH108"/>
  <c r="BH84"/>
  <c r="BH52"/>
  <c r="BH20"/>
  <c r="BI131"/>
  <c r="BI99"/>
  <c r="BI75"/>
  <c r="BI51"/>
  <c r="BI35"/>
  <c r="BE4" i="6"/>
  <c r="BE26"/>
  <c r="BE34"/>
  <c r="BE58"/>
  <c r="BE66"/>
  <c r="BE122"/>
  <c r="BE130"/>
  <c r="BE90"/>
  <c r="BE98"/>
  <c r="BF111" i="4"/>
  <c r="BF79"/>
  <c r="BF55"/>
  <c r="BF23"/>
  <c r="BE133"/>
  <c r="BE101"/>
  <c r="BE69"/>
  <c r="BE61"/>
  <c r="BE29"/>
  <c r="BH124"/>
  <c r="BH92"/>
  <c r="BH60"/>
  <c r="BH28"/>
  <c r="BH4"/>
  <c r="BI123"/>
  <c r="BI107"/>
  <c r="BI83"/>
  <c r="BI59"/>
  <c r="BI27"/>
  <c r="AH3" i="3"/>
  <c r="BF119" i="4"/>
  <c r="BF87"/>
  <c r="BF47"/>
  <c r="BF7"/>
  <c r="BG134"/>
  <c r="BG94"/>
  <c r="BE125"/>
  <c r="BE85"/>
  <c r="BE37"/>
  <c r="BE5"/>
  <c r="BH116"/>
  <c r="BH76"/>
  <c r="BH36"/>
  <c r="BI91"/>
  <c r="BF3"/>
  <c r="BE65"/>
  <c r="BF133"/>
  <c r="BF125"/>
  <c r="BF117"/>
  <c r="BF109"/>
  <c r="BF101"/>
  <c r="BF93"/>
  <c r="BF85"/>
  <c r="BF77"/>
  <c r="BF69"/>
  <c r="BF61"/>
  <c r="BF53"/>
  <c r="BF45"/>
  <c r="BF37"/>
  <c r="BF29"/>
  <c r="BF21"/>
  <c r="BF13"/>
  <c r="BF5"/>
  <c r="BG140"/>
  <c r="BG132"/>
  <c r="BG124"/>
  <c r="BG116"/>
  <c r="BG108"/>
  <c r="BG100"/>
  <c r="BG92"/>
  <c r="BG84"/>
  <c r="BG76"/>
  <c r="BG68"/>
  <c r="BG60"/>
  <c r="BG52"/>
  <c r="BG44"/>
  <c r="BG36"/>
  <c r="BG28"/>
  <c r="BG20"/>
  <c r="BG12"/>
  <c r="BG4"/>
  <c r="BE139"/>
  <c r="BE131"/>
  <c r="BE123"/>
  <c r="BE115"/>
  <c r="BE107"/>
  <c r="BE99"/>
  <c r="BE91"/>
  <c r="BE83"/>
  <c r="BE75"/>
  <c r="BE67"/>
  <c r="BE59"/>
  <c r="BE51"/>
  <c r="BE43"/>
  <c r="BE35"/>
  <c r="BE27"/>
  <c r="BE19"/>
  <c r="BE11"/>
  <c r="BH138"/>
  <c r="BH130"/>
  <c r="BH122"/>
  <c r="BH114"/>
  <c r="BH106"/>
  <c r="BH98"/>
  <c r="BH90"/>
  <c r="BH82"/>
  <c r="BH74"/>
  <c r="BH66"/>
  <c r="BH58"/>
  <c r="BH50"/>
  <c r="BH42"/>
  <c r="BH34"/>
  <c r="BH26"/>
  <c r="BH18"/>
  <c r="BH10"/>
  <c r="BI137"/>
  <c r="BI129"/>
  <c r="BI121"/>
  <c r="BI113"/>
  <c r="BI105"/>
  <c r="BI97"/>
  <c r="BI89"/>
  <c r="BI81"/>
  <c r="BI73"/>
  <c r="BI65"/>
  <c r="BI57"/>
  <c r="BI49"/>
  <c r="BI41"/>
  <c r="BI25"/>
  <c r="BF140"/>
  <c r="BF132"/>
  <c r="BF124"/>
  <c r="BF116"/>
  <c r="BF108"/>
  <c r="BF100"/>
  <c r="BF92"/>
  <c r="BF84"/>
  <c r="BF76"/>
  <c r="BF68"/>
  <c r="BF60"/>
  <c r="BF52"/>
  <c r="BF44"/>
  <c r="BF36"/>
  <c r="BF28"/>
  <c r="BF20"/>
  <c r="BF12"/>
  <c r="BF4"/>
  <c r="BG139"/>
  <c r="BG131"/>
  <c r="BG123"/>
  <c r="BG115"/>
  <c r="BG107"/>
  <c r="BG99"/>
  <c r="BG91"/>
  <c r="BG83"/>
  <c r="BG75"/>
  <c r="BG67"/>
  <c r="BG59"/>
  <c r="BG51"/>
  <c r="BG43"/>
  <c r="BG35"/>
  <c r="BG27"/>
  <c r="BG19"/>
  <c r="BG11"/>
  <c r="BE138"/>
  <c r="BE130"/>
  <c r="BE122"/>
  <c r="BE114"/>
  <c r="BE106"/>
  <c r="BE98"/>
  <c r="BE90"/>
  <c r="BE82"/>
  <c r="BE74"/>
  <c r="BE66"/>
  <c r="BE58"/>
  <c r="BE50"/>
  <c r="BE42"/>
  <c r="BE34"/>
  <c r="BE26"/>
  <c r="BE18"/>
  <c r="BE10"/>
  <c r="BH137"/>
  <c r="BF139"/>
  <c r="BF131"/>
  <c r="BF123"/>
  <c r="BF115"/>
  <c r="BF107"/>
  <c r="BF99"/>
  <c r="BF91"/>
  <c r="BF83"/>
  <c r="BF75"/>
  <c r="BF67"/>
  <c r="BF59"/>
  <c r="BF51"/>
  <c r="BF43"/>
  <c r="BF35"/>
  <c r="BF27"/>
  <c r="BF19"/>
  <c r="BF11"/>
  <c r="BG138"/>
  <c r="BG130"/>
  <c r="BG122"/>
  <c r="BG114"/>
  <c r="BG106"/>
  <c r="BG98"/>
  <c r="BG90"/>
  <c r="BG82"/>
  <c r="BG74"/>
  <c r="BG66"/>
  <c r="BG58"/>
  <c r="BG50"/>
  <c r="BG42"/>
  <c r="BG34"/>
  <c r="BG26"/>
  <c r="BG18"/>
  <c r="BG10"/>
  <c r="BE137"/>
  <c r="BE129"/>
  <c r="BE121"/>
  <c r="BE113"/>
  <c r="BE105"/>
  <c r="BE97"/>
  <c r="BE89"/>
  <c r="BE81"/>
  <c r="BE73"/>
  <c r="BE57"/>
  <c r="BE49"/>
  <c r="BE41"/>
  <c r="BE33"/>
  <c r="BE25"/>
  <c r="BE17"/>
  <c r="BE9"/>
  <c r="BH136"/>
  <c r="BH128"/>
  <c r="BH120"/>
  <c r="BH112"/>
  <c r="BH104"/>
  <c r="BH96"/>
  <c r="BH88"/>
  <c r="BH80"/>
  <c r="BH72"/>
  <c r="BH64"/>
  <c r="BH56"/>
  <c r="BH48"/>
  <c r="BH40"/>
  <c r="BH32"/>
  <c r="BH24"/>
  <c r="BH16"/>
  <c r="BH8"/>
  <c r="BF137"/>
  <c r="BF129"/>
  <c r="BF121"/>
  <c r="BF113"/>
  <c r="BF105"/>
  <c r="BF97"/>
  <c r="BF89"/>
  <c r="BF81"/>
  <c r="BF73"/>
  <c r="BF65"/>
  <c r="BF57"/>
  <c r="BF49"/>
  <c r="BF41"/>
  <c r="BF33"/>
  <c r="BF25"/>
  <c r="BF17"/>
  <c r="BF9"/>
  <c r="BG80"/>
  <c r="BF94"/>
  <c r="BF86"/>
  <c r="BF78"/>
  <c r="BF70"/>
  <c r="BF62"/>
  <c r="BF54"/>
  <c r="BF46"/>
  <c r="BF38"/>
  <c r="BF30"/>
  <c r="BF22"/>
  <c r="BF14"/>
  <c r="BF6"/>
  <c r="BG133"/>
  <c r="BG125"/>
  <c r="BG117"/>
  <c r="BG109"/>
  <c r="BG101"/>
  <c r="BG93"/>
  <c r="BG85"/>
  <c r="BG77"/>
  <c r="BG69"/>
  <c r="BG61"/>
  <c r="BG45"/>
  <c r="BG37"/>
  <c r="BG29"/>
  <c r="BG21"/>
  <c r="BG13"/>
  <c r="BG5"/>
  <c r="BE140"/>
  <c r="BE132"/>
  <c r="BE124"/>
  <c r="BE116"/>
  <c r="BE108"/>
  <c r="BE100"/>
  <c r="BE92"/>
  <c r="BE84"/>
  <c r="BE76"/>
  <c r="BE68"/>
  <c r="BE60"/>
  <c r="BE52"/>
  <c r="BE44"/>
  <c r="BE36"/>
  <c r="BE28"/>
  <c r="BE20"/>
  <c r="BE12"/>
  <c r="BE4"/>
  <c r="BH139"/>
  <c r="BH131"/>
  <c r="BH123"/>
  <c r="BH115"/>
  <c r="BH107"/>
  <c r="BH99"/>
  <c r="BH91"/>
  <c r="BH83"/>
  <c r="BH75"/>
  <c r="BH67"/>
  <c r="BH59"/>
  <c r="BH51"/>
  <c r="BH43"/>
  <c r="BH35"/>
  <c r="BH27"/>
  <c r="BH19"/>
  <c r="BH11"/>
  <c r="BI138"/>
  <c r="BI130"/>
  <c r="BI122"/>
  <c r="BI114"/>
  <c r="BI106"/>
  <c r="BI98"/>
  <c r="BI90"/>
  <c r="BI82"/>
  <c r="BI74"/>
  <c r="BI66"/>
  <c r="BI58"/>
  <c r="BI50"/>
  <c r="BI42"/>
  <c r="BI34"/>
  <c r="BI26"/>
  <c r="BI18"/>
  <c r="BI10"/>
  <c r="BF138"/>
  <c r="BF130"/>
  <c r="BF122"/>
  <c r="BF114"/>
  <c r="BF106"/>
  <c r="BF98"/>
  <c r="BF90"/>
  <c r="BF82"/>
  <c r="BF74"/>
  <c r="BF66"/>
  <c r="BF58"/>
  <c r="BF50"/>
  <c r="BF42"/>
  <c r="BF34"/>
  <c r="BF26"/>
  <c r="BF18"/>
  <c r="BF10"/>
  <c r="BG137"/>
  <c r="BG129"/>
  <c r="BG121"/>
  <c r="BG113"/>
  <c r="BG105"/>
  <c r="BG97"/>
  <c r="BG89"/>
  <c r="BG81"/>
  <c r="BG73"/>
  <c r="BG65"/>
  <c r="BG57"/>
  <c r="BG49"/>
  <c r="BG41"/>
  <c r="BG33"/>
  <c r="BG25"/>
  <c r="BG17"/>
  <c r="BG9"/>
  <c r="BE136"/>
  <c r="BE128"/>
  <c r="BE120"/>
  <c r="BE112"/>
  <c r="BE104"/>
  <c r="BE96"/>
  <c r="BE88"/>
  <c r="BE80"/>
  <c r="BE72"/>
  <c r="BE64"/>
  <c r="BE56"/>
  <c r="BE48"/>
  <c r="BE40"/>
  <c r="BE32"/>
  <c r="BE24"/>
  <c r="BE16"/>
  <c r="BE8"/>
  <c r="BG136"/>
  <c r="BG128"/>
  <c r="BG120"/>
  <c r="BG112"/>
  <c r="BG104"/>
  <c r="BG96"/>
  <c r="BG88"/>
  <c r="BG72"/>
  <c r="BG64"/>
  <c r="BG56"/>
  <c r="BG48"/>
  <c r="BG40"/>
  <c r="BG32"/>
  <c r="BG24"/>
  <c r="BG16"/>
  <c r="BG8"/>
  <c r="BE135"/>
  <c r="BE127"/>
  <c r="BE119"/>
  <c r="BE111"/>
  <c r="BE103"/>
  <c r="BE95"/>
  <c r="BE87"/>
  <c r="BE79"/>
  <c r="BE71"/>
  <c r="BE63"/>
  <c r="BE55"/>
  <c r="BE47"/>
  <c r="BE39"/>
  <c r="BE31"/>
  <c r="BE23"/>
  <c r="BE15"/>
  <c r="BE7"/>
  <c r="BH134"/>
  <c r="BH126"/>
  <c r="BH118"/>
  <c r="BH110"/>
  <c r="BH102"/>
  <c r="BH94"/>
  <c r="BH86"/>
  <c r="BH78"/>
  <c r="BH70"/>
  <c r="BH62"/>
  <c r="BH54"/>
  <c r="BH46"/>
  <c r="BH38"/>
  <c r="BH30"/>
  <c r="BH22"/>
  <c r="BH14"/>
  <c r="BH6"/>
  <c r="BI133"/>
  <c r="BI125"/>
  <c r="BI117"/>
  <c r="BI109"/>
  <c r="BI101"/>
  <c r="BI93"/>
  <c r="BI85"/>
  <c r="BI77"/>
  <c r="BI69"/>
  <c r="BI61"/>
  <c r="BI53"/>
  <c r="BI45"/>
  <c r="BI37"/>
  <c r="BF136"/>
  <c r="BF128"/>
  <c r="BF120"/>
  <c r="BF112"/>
  <c r="BF104"/>
  <c r="BF96"/>
  <c r="BF88"/>
  <c r="BF80"/>
  <c r="BF72"/>
  <c r="BF64"/>
  <c r="BF56"/>
  <c r="BF48"/>
  <c r="BF40"/>
  <c r="BF32"/>
  <c r="BF24"/>
  <c r="BF16"/>
  <c r="BF8"/>
  <c r="BG135"/>
  <c r="BG127"/>
  <c r="BG119"/>
  <c r="BG111"/>
  <c r="BG103"/>
  <c r="BG95"/>
  <c r="BG87"/>
  <c r="BG79"/>
  <c r="BG71"/>
  <c r="BG63"/>
  <c r="BG55"/>
  <c r="BG47"/>
  <c r="BG39"/>
  <c r="BG31"/>
  <c r="BG23"/>
  <c r="BG15"/>
  <c r="BG7"/>
  <c r="BE134"/>
  <c r="BE126"/>
  <c r="BE118"/>
  <c r="BE110"/>
  <c r="BE102"/>
  <c r="BE94"/>
  <c r="BE86"/>
  <c r="BE78"/>
  <c r="BE70"/>
  <c r="BE62"/>
  <c r="BE54"/>
  <c r="BE46"/>
  <c r="BE38"/>
  <c r="BE30"/>
  <c r="BE22"/>
  <c r="BE14"/>
  <c r="BE6"/>
  <c r="BH133"/>
  <c r="BH117"/>
  <c r="BH109"/>
  <c r="BH101"/>
  <c r="BH93"/>
  <c r="BH85"/>
  <c r="BH77"/>
  <c r="BH69"/>
  <c r="BH61"/>
  <c r="BH53"/>
  <c r="BH45"/>
  <c r="BH37"/>
  <c r="BH29"/>
  <c r="BH21"/>
  <c r="BH13"/>
  <c r="BH5"/>
  <c r="BI140"/>
  <c r="BI132"/>
  <c r="BI124"/>
  <c r="BI116"/>
  <c r="BI108"/>
  <c r="BI100"/>
  <c r="BI92"/>
  <c r="BI84"/>
  <c r="BI76"/>
  <c r="BI68"/>
  <c r="BI60"/>
  <c r="BI52"/>
  <c r="BI44"/>
  <c r="BI36"/>
  <c r="BI28"/>
  <c r="BI20"/>
  <c r="BI12"/>
  <c r="BI4"/>
  <c r="BH129"/>
  <c r="BH121"/>
  <c r="BH113"/>
  <c r="BH105"/>
  <c r="BH97"/>
  <c r="BH89"/>
  <c r="BH81"/>
  <c r="BH73"/>
  <c r="BH65"/>
  <c r="BH57"/>
  <c r="BH49"/>
  <c r="BH41"/>
  <c r="BH33"/>
  <c r="BH25"/>
  <c r="BH17"/>
  <c r="BH9"/>
  <c r="BI136"/>
  <c r="BI128"/>
  <c r="BI120"/>
  <c r="BI112"/>
  <c r="BI104"/>
  <c r="BI96"/>
  <c r="BI88"/>
  <c r="BI80"/>
  <c r="BI72"/>
  <c r="BI64"/>
  <c r="BI56"/>
  <c r="BI48"/>
  <c r="BI40"/>
  <c r="BI135"/>
  <c r="BI127"/>
  <c r="BI119"/>
  <c r="BI111"/>
  <c r="BI103"/>
  <c r="BI95"/>
  <c r="BI87"/>
  <c r="BI79"/>
  <c r="BI71"/>
  <c r="BI63"/>
  <c r="BI55"/>
  <c r="BI47"/>
  <c r="BI39"/>
  <c r="BI31"/>
  <c r="BI23"/>
  <c r="BI15"/>
  <c r="BI7"/>
  <c r="BH135"/>
  <c r="BH127"/>
  <c r="BH119"/>
  <c r="BH111"/>
  <c r="BH103"/>
  <c r="BH95"/>
  <c r="BH87"/>
  <c r="BH79"/>
  <c r="BH63"/>
  <c r="BH55"/>
  <c r="BH47"/>
  <c r="BH39"/>
  <c r="BH31"/>
  <c r="BH23"/>
  <c r="BH15"/>
  <c r="BH7"/>
  <c r="BI134"/>
  <c r="BI126"/>
  <c r="BI118"/>
  <c r="BI110"/>
  <c r="BI102"/>
  <c r="BI94"/>
  <c r="BI86"/>
  <c r="BI78"/>
  <c r="BI70"/>
  <c r="BI62"/>
  <c r="BI54"/>
  <c r="BI46"/>
  <c r="BI38"/>
  <c r="BI30"/>
  <c r="BI22"/>
  <c r="BI14"/>
  <c r="BI6"/>
  <c r="BE140" i="6"/>
  <c r="BE132"/>
  <c r="BE124"/>
  <c r="BE116"/>
  <c r="BE108"/>
  <c r="BE100"/>
  <c r="BE92"/>
  <c r="BE84"/>
  <c r="BE76"/>
  <c r="BE68"/>
  <c r="BE60"/>
  <c r="BE52"/>
  <c r="BE44"/>
  <c r="BE36"/>
  <c r="BE28"/>
  <c r="BE20"/>
  <c r="BE12"/>
  <c r="BI33" i="4"/>
  <c r="BI17"/>
  <c r="BI9"/>
  <c r="BI32"/>
  <c r="BI24"/>
  <c r="BI16"/>
  <c r="BI8"/>
  <c r="BE137" i="6"/>
  <c r="BE129"/>
  <c r="BE121"/>
  <c r="BE113"/>
  <c r="BE105"/>
  <c r="BE97"/>
  <c r="BE89"/>
  <c r="BE81"/>
  <c r="BE73"/>
  <c r="BE65"/>
  <c r="BE57"/>
  <c r="BE49"/>
  <c r="BE41"/>
  <c r="BE33"/>
  <c r="BE25"/>
  <c r="BE17"/>
  <c r="BE9"/>
  <c r="BI29" i="4"/>
  <c r="BI21"/>
  <c r="BI13"/>
  <c r="BI5"/>
  <c r="BE136" i="6"/>
  <c r="BE128"/>
  <c r="BE120"/>
  <c r="BE112"/>
  <c r="BE104"/>
  <c r="BE96"/>
  <c r="BE88"/>
  <c r="BE80"/>
  <c r="BE72"/>
  <c r="BE64"/>
  <c r="BE56"/>
  <c r="BE48"/>
  <c r="BE40"/>
  <c r="BE32"/>
  <c r="BE24"/>
  <c r="BE16"/>
  <c r="BE8"/>
  <c r="BE139"/>
  <c r="BE131"/>
  <c r="BE123"/>
  <c r="BE115"/>
  <c r="BE107"/>
  <c r="BE99"/>
  <c r="BE91"/>
  <c r="BE83"/>
  <c r="BE75"/>
  <c r="BE67"/>
  <c r="BE59"/>
  <c r="BE51"/>
  <c r="BE43"/>
  <c r="BE35"/>
  <c r="BE27"/>
  <c r="BE19"/>
  <c r="BE11"/>
  <c r="BE138"/>
  <c r="BE114"/>
  <c r="BE106"/>
  <c r="BE82"/>
  <c r="BE74"/>
  <c r="BE50"/>
  <c r="BE42"/>
  <c r="BE18"/>
  <c r="BE10"/>
  <c r="BE135"/>
  <c r="BE127"/>
  <c r="BE119"/>
  <c r="BE111"/>
  <c r="BE103"/>
  <c r="BE95"/>
  <c r="BE87"/>
  <c r="BE79"/>
  <c r="BE71"/>
  <c r="BE63"/>
  <c r="BE55"/>
  <c r="BE47"/>
  <c r="BE39"/>
  <c r="BE31"/>
  <c r="BE23"/>
  <c r="BE15"/>
  <c r="BE7"/>
  <c r="BE134"/>
  <c r="BE126"/>
  <c r="BE118"/>
  <c r="BE110"/>
  <c r="BE102"/>
  <c r="BE94"/>
  <c r="BE86"/>
  <c r="BE78"/>
  <c r="BE70"/>
  <c r="BE62"/>
  <c r="BE54"/>
  <c r="BE46"/>
  <c r="BE38"/>
  <c r="BE30"/>
  <c r="BE22"/>
  <c r="BE14"/>
  <c r="BE6"/>
  <c r="AE182" i="3" l="1"/>
  <c r="AE181"/>
  <c r="AA182" i="4"/>
  <c r="AA181"/>
  <c r="AA176"/>
  <c r="AA177"/>
  <c r="AA178"/>
  <c r="AA179"/>
  <c r="AA180"/>
  <c r="AE176" i="3"/>
  <c r="AE178"/>
  <c r="AE180"/>
  <c r="AE177"/>
  <c r="AE179"/>
  <c r="AA175" i="4"/>
  <c r="AA174"/>
  <c r="AA173"/>
  <c r="AE174" i="3"/>
  <c r="AE173"/>
  <c r="AE175"/>
  <c r="AE171"/>
  <c r="AE172"/>
  <c r="AA172" i="4"/>
  <c r="AA171"/>
  <c r="AE166" i="3"/>
  <c r="AE169"/>
  <c r="AE170"/>
  <c r="AE167"/>
  <c r="AE168"/>
  <c r="AA166" i="4"/>
  <c r="AA170"/>
  <c r="AA169"/>
  <c r="AA167"/>
  <c r="AA168"/>
  <c r="AE163" i="3"/>
  <c r="AE164"/>
  <c r="AE165"/>
  <c r="AA164" i="4"/>
  <c r="AA163"/>
  <c r="AA165"/>
  <c r="AA161"/>
  <c r="AA162"/>
  <c r="AE161" i="3"/>
  <c r="AE162"/>
  <c r="AE160"/>
  <c r="AE159"/>
  <c r="AA159" i="4"/>
  <c r="AA160"/>
  <c r="AE147" i="3"/>
  <c r="AE145"/>
  <c r="AE146"/>
  <c r="AE144"/>
  <c r="AE143"/>
  <c r="AE142"/>
  <c r="AE158"/>
  <c r="AE141"/>
  <c r="AE157"/>
  <c r="AE156"/>
  <c r="AE155"/>
  <c r="AE154"/>
  <c r="AE153"/>
  <c r="AE152"/>
  <c r="AE151"/>
  <c r="AE150"/>
  <c r="AE148"/>
  <c r="AE149"/>
  <c r="AA83" i="4"/>
  <c r="AA148"/>
  <c r="AA147"/>
  <c r="AA145"/>
  <c r="AA146"/>
  <c r="AA144"/>
  <c r="AA143"/>
  <c r="AA142"/>
  <c r="AA158"/>
  <c r="AA141"/>
  <c r="AA157"/>
  <c r="AA156"/>
  <c r="AA155"/>
  <c r="AA154"/>
  <c r="AA153"/>
  <c r="AA152"/>
  <c r="AA151"/>
  <c r="AA150"/>
  <c r="AA149"/>
  <c r="AA117"/>
  <c r="AA4"/>
  <c r="AA12"/>
  <c r="AA51"/>
  <c r="AA74"/>
  <c r="AA22"/>
  <c r="AA135"/>
  <c r="AA109"/>
  <c r="AA56"/>
  <c r="AA77"/>
  <c r="AA99"/>
  <c r="AA24"/>
  <c r="AA128"/>
  <c r="AA3"/>
  <c r="AA100"/>
  <c r="AA7"/>
  <c r="AA80"/>
  <c r="AA115"/>
  <c r="AA20"/>
  <c r="AA90"/>
  <c r="AA48"/>
  <c r="AA101"/>
  <c r="AA103"/>
  <c r="AA89"/>
  <c r="AA107"/>
  <c r="AA61"/>
  <c r="AA32"/>
  <c r="AA19"/>
  <c r="AA53"/>
  <c r="AA87"/>
  <c r="AA73"/>
  <c r="AA91"/>
  <c r="AA78"/>
  <c r="AA49"/>
  <c r="AA5"/>
  <c r="AA8"/>
  <c r="AA21"/>
  <c r="AA6"/>
  <c r="AA25"/>
  <c r="AA43"/>
  <c r="AA62"/>
  <c r="AA33"/>
  <c r="AA86"/>
  <c r="AA120"/>
  <c r="AA9"/>
  <c r="AA11"/>
  <c r="AA14"/>
  <c r="AA114"/>
  <c r="AA116"/>
  <c r="AA70"/>
  <c r="AA104"/>
  <c r="AA122"/>
  <c r="AA60"/>
  <c r="AA127"/>
  <c r="AA98"/>
  <c r="AE19" i="3"/>
  <c r="AE35"/>
  <c r="AE51"/>
  <c r="AE67"/>
  <c r="AE83"/>
  <c r="AE99"/>
  <c r="AE115"/>
  <c r="AE131"/>
  <c r="AE18"/>
  <c r="AE34"/>
  <c r="AE50"/>
  <c r="AE66"/>
  <c r="AE82"/>
  <c r="AE98"/>
  <c r="AE114"/>
  <c r="AE130"/>
  <c r="AE31"/>
  <c r="AE79"/>
  <c r="AE111"/>
  <c r="AE17"/>
  <c r="AE33"/>
  <c r="AE49"/>
  <c r="AE65"/>
  <c r="AE81"/>
  <c r="AE97"/>
  <c r="AE113"/>
  <c r="AE129"/>
  <c r="AE16"/>
  <c r="AE32"/>
  <c r="AE48"/>
  <c r="AE64"/>
  <c r="AE80"/>
  <c r="AE96"/>
  <c r="AE112"/>
  <c r="AE128"/>
  <c r="AE15"/>
  <c r="AE47"/>
  <c r="AE63"/>
  <c r="AE95"/>
  <c r="AE127"/>
  <c r="AE14"/>
  <c r="AE30"/>
  <c r="AE46"/>
  <c r="AE62"/>
  <c r="AE78"/>
  <c r="AE94"/>
  <c r="AE110"/>
  <c r="AE126"/>
  <c r="AE13"/>
  <c r="AE29"/>
  <c r="AE45"/>
  <c r="AE61"/>
  <c r="AE77"/>
  <c r="AE93"/>
  <c r="AE109"/>
  <c r="AE125"/>
  <c r="AE87"/>
  <c r="AE103"/>
  <c r="AE86"/>
  <c r="AE134"/>
  <c r="AE5"/>
  <c r="AE117"/>
  <c r="AE36"/>
  <c r="AE12"/>
  <c r="AE28"/>
  <c r="AE44"/>
  <c r="AE60"/>
  <c r="AE76"/>
  <c r="AE92"/>
  <c r="AE108"/>
  <c r="AE124"/>
  <c r="AE140"/>
  <c r="AE71"/>
  <c r="AE119"/>
  <c r="AE38"/>
  <c r="AE69"/>
  <c r="AE68"/>
  <c r="AE11"/>
  <c r="AE27"/>
  <c r="AE43"/>
  <c r="AE59"/>
  <c r="AE75"/>
  <c r="AE91"/>
  <c r="AE107"/>
  <c r="AE123"/>
  <c r="AE139"/>
  <c r="AE55"/>
  <c r="AE6"/>
  <c r="AE118"/>
  <c r="AE85"/>
  <c r="AE133"/>
  <c r="AE20"/>
  <c r="AE100"/>
  <c r="AE10"/>
  <c r="AE26"/>
  <c r="AE42"/>
  <c r="AE58"/>
  <c r="AE74"/>
  <c r="AE90"/>
  <c r="AE106"/>
  <c r="AE122"/>
  <c r="AE138"/>
  <c r="AE39"/>
  <c r="AE135"/>
  <c r="AE70"/>
  <c r="AE53"/>
  <c r="AE84"/>
  <c r="AE9"/>
  <c r="AE25"/>
  <c r="AE41"/>
  <c r="AE57"/>
  <c r="AE73"/>
  <c r="AE89"/>
  <c r="AE105"/>
  <c r="AE121"/>
  <c r="AE137"/>
  <c r="AE23"/>
  <c r="AE54"/>
  <c r="AE21"/>
  <c r="AE101"/>
  <c r="AE52"/>
  <c r="AE132"/>
  <c r="AE8"/>
  <c r="AE24"/>
  <c r="AE40"/>
  <c r="AE56"/>
  <c r="AE72"/>
  <c r="AE88"/>
  <c r="AE104"/>
  <c r="AE120"/>
  <c r="AE136"/>
  <c r="AE7"/>
  <c r="AE22"/>
  <c r="AE102"/>
  <c r="AE37"/>
  <c r="AE4"/>
  <c r="AE116"/>
  <c r="AA133" i="4"/>
  <c r="AA38"/>
  <c r="AA136"/>
  <c r="AA41"/>
  <c r="AA123"/>
  <c r="AA28"/>
  <c r="AA94"/>
  <c r="AA65"/>
  <c r="AA131"/>
  <c r="AA54"/>
  <c r="AA57"/>
  <c r="AA139"/>
  <c r="AA44"/>
  <c r="AA110"/>
  <c r="AA15"/>
  <c r="AA81"/>
  <c r="AA126"/>
  <c r="AA31"/>
  <c r="AA97"/>
  <c r="AA76"/>
  <c r="AA47"/>
  <c r="AA113"/>
  <c r="AA18"/>
  <c r="AA36"/>
  <c r="AA102"/>
  <c r="AA23"/>
  <c r="AA105"/>
  <c r="AA10"/>
  <c r="AA92"/>
  <c r="AA63"/>
  <c r="AA129"/>
  <c r="AA34"/>
  <c r="AA52"/>
  <c r="AA118"/>
  <c r="AA39"/>
  <c r="AA121"/>
  <c r="AA26"/>
  <c r="AA108"/>
  <c r="AA13"/>
  <c r="AA79"/>
  <c r="AA50"/>
  <c r="AA68"/>
  <c r="AA134"/>
  <c r="AA55"/>
  <c r="AA137"/>
  <c r="AA42"/>
  <c r="AA124"/>
  <c r="AA29"/>
  <c r="AA95"/>
  <c r="AA66"/>
  <c r="AA84"/>
  <c r="AA71"/>
  <c r="AA58"/>
  <c r="AA140"/>
  <c r="AA45"/>
  <c r="AA111"/>
  <c r="AA16"/>
  <c r="AA82"/>
  <c r="AA132"/>
  <c r="AA37"/>
  <c r="AA119"/>
  <c r="AA40"/>
  <c r="AA106"/>
  <c r="AA27"/>
  <c r="AA93"/>
  <c r="AA64"/>
  <c r="AA130"/>
  <c r="AA35"/>
  <c r="AA69"/>
  <c r="AA72"/>
  <c r="AA138"/>
  <c r="AA59"/>
  <c r="AA125"/>
  <c r="AA30"/>
  <c r="AA96"/>
  <c r="AA67"/>
  <c r="AA85"/>
  <c r="AA88"/>
  <c r="AA75"/>
  <c r="AA46"/>
  <c r="AA112"/>
  <c r="AA17"/>
  <c r="AE3" i="3"/>
  <c r="AI184" l="1"/>
  <c r="AI183"/>
  <c r="BD181" i="4"/>
  <c r="BD182"/>
  <c r="AI181" i="3"/>
  <c r="AI182"/>
  <c r="AI176"/>
  <c r="AI180"/>
  <c r="BD180" i="4"/>
  <c r="AI178" i="3"/>
  <c r="BD179" i="4"/>
  <c r="BD178"/>
  <c r="AI179" i="3"/>
  <c r="BD177" i="4"/>
  <c r="AI177" i="3"/>
  <c r="BD176" i="4"/>
  <c r="AI174" i="3"/>
  <c r="AI173"/>
  <c r="AI175"/>
  <c r="AI171"/>
  <c r="BD173" i="4"/>
  <c r="BD175"/>
  <c r="BD174"/>
  <c r="AI172" i="3"/>
  <c r="BD172" i="4"/>
  <c r="BD171"/>
  <c r="AI169" i="3"/>
  <c r="AI170"/>
  <c r="AI167"/>
  <c r="AI168"/>
  <c r="AI166"/>
  <c r="BD170" i="4"/>
  <c r="BD169"/>
  <c r="BD167"/>
  <c r="BD168"/>
  <c r="BD166"/>
  <c r="AI165" i="3"/>
  <c r="AI164"/>
  <c r="AI163"/>
  <c r="BD163" i="4"/>
  <c r="BD165"/>
  <c r="BD164"/>
  <c r="BD162"/>
  <c r="BD161"/>
  <c r="AI161" i="3"/>
  <c r="AI162"/>
  <c r="AI159"/>
  <c r="AI160"/>
  <c r="BD159" i="4"/>
  <c r="BD160"/>
  <c r="AI155" i="3"/>
  <c r="AI154"/>
  <c r="AI153"/>
  <c r="AI147"/>
  <c r="AI151"/>
  <c r="AI145"/>
  <c r="AI152"/>
  <c r="AI150"/>
  <c r="AI148"/>
  <c r="AI146"/>
  <c r="AI149"/>
  <c r="AI144"/>
  <c r="AI143"/>
  <c r="AI142"/>
  <c r="AI158"/>
  <c r="AI141"/>
  <c r="AI157"/>
  <c r="AI156"/>
  <c r="BD144" i="4"/>
  <c r="BD149"/>
  <c r="BD142"/>
  <c r="BD141"/>
  <c r="BD146"/>
  <c r="BD157"/>
  <c r="BD156"/>
  <c r="BD148"/>
  <c r="BD158"/>
  <c r="BD155"/>
  <c r="BD143"/>
  <c r="BD154"/>
  <c r="BD153"/>
  <c r="BD150"/>
  <c r="BD152"/>
  <c r="BD145"/>
  <c r="BD147"/>
  <c r="BD151"/>
  <c r="BD54"/>
  <c r="BD39"/>
  <c r="BD114"/>
  <c r="AI128" i="3"/>
  <c r="BD36" i="4"/>
  <c r="BD49"/>
  <c r="BD89"/>
  <c r="BD17"/>
  <c r="BD94"/>
  <c r="BD97"/>
  <c r="BD12"/>
  <c r="BD96"/>
  <c r="BD95"/>
  <c r="BD118"/>
  <c r="BD76"/>
  <c r="BD65"/>
  <c r="BD102"/>
  <c r="BD21"/>
  <c r="BD40"/>
  <c r="BD6"/>
  <c r="BD135"/>
  <c r="BD66"/>
  <c r="BD121"/>
  <c r="AI64" i="3"/>
  <c r="AI55"/>
  <c r="AI42"/>
  <c r="AI46"/>
  <c r="AI113"/>
  <c r="BD88" i="4"/>
  <c r="BD20"/>
  <c r="BD77"/>
  <c r="BD106"/>
  <c r="BD47"/>
  <c r="BD93"/>
  <c r="BD90"/>
  <c r="BD71"/>
  <c r="BD108"/>
  <c r="BD18"/>
  <c r="BD85"/>
  <c r="BD62"/>
  <c r="BD128"/>
  <c r="BD48"/>
  <c r="BD43"/>
  <c r="BD11"/>
  <c r="BD64"/>
  <c r="BD13"/>
  <c r="BD57"/>
  <c r="BD127"/>
  <c r="BD19"/>
  <c r="BD84"/>
  <c r="BD60"/>
  <c r="BD113"/>
  <c r="BD91"/>
  <c r="BD52"/>
  <c r="BD26"/>
  <c r="BD100"/>
  <c r="BD9"/>
  <c r="BD87"/>
  <c r="BD130"/>
  <c r="BD79"/>
  <c r="BD139"/>
  <c r="BD8"/>
  <c r="BD115"/>
  <c r="BD27"/>
  <c r="BD22"/>
  <c r="BD99"/>
  <c r="BD75"/>
  <c r="BD35"/>
  <c r="BD58"/>
  <c r="BD23"/>
  <c r="BD61"/>
  <c r="BD10"/>
  <c r="BD53"/>
  <c r="BD101"/>
  <c r="BD51"/>
  <c r="BD44"/>
  <c r="BD103"/>
  <c r="BD140"/>
  <c r="BD50"/>
  <c r="BD105"/>
  <c r="BD110"/>
  <c r="BD133"/>
  <c r="BD56"/>
  <c r="BD116"/>
  <c r="BD33"/>
  <c r="BD98"/>
  <c r="BD3"/>
  <c r="BD46"/>
  <c r="BD69"/>
  <c r="BD45"/>
  <c r="BD68"/>
  <c r="BD15"/>
  <c r="BD38"/>
  <c r="BD104"/>
  <c r="BD86"/>
  <c r="BD72"/>
  <c r="BD111"/>
  <c r="BD92"/>
  <c r="BD14"/>
  <c r="BD31"/>
  <c r="BD55"/>
  <c r="BD138"/>
  <c r="BD82"/>
  <c r="BD137"/>
  <c r="BD63"/>
  <c r="BD126"/>
  <c r="BD123"/>
  <c r="BD67"/>
  <c r="BD7"/>
  <c r="BD122"/>
  <c r="BD112"/>
  <c r="BD134"/>
  <c r="BD81"/>
  <c r="BD32"/>
  <c r="BD16"/>
  <c r="BD41"/>
  <c r="BD24"/>
  <c r="BD80"/>
  <c r="BD30"/>
  <c r="BD117"/>
  <c r="BD29"/>
  <c r="BD59"/>
  <c r="BD132"/>
  <c r="BD42"/>
  <c r="BD129"/>
  <c r="BD28"/>
  <c r="BD5"/>
  <c r="BD37"/>
  <c r="BD131"/>
  <c r="BD74"/>
  <c r="BD136"/>
  <c r="BD120"/>
  <c r="BD109"/>
  <c r="BD83"/>
  <c r="BD70"/>
  <c r="BD4"/>
  <c r="BD125"/>
  <c r="BD124"/>
  <c r="BD34"/>
  <c r="BD73"/>
  <c r="BD78"/>
  <c r="BD25"/>
  <c r="BD119"/>
  <c r="BD107"/>
  <c r="AI3" i="3"/>
  <c r="AI109"/>
  <c r="AI37"/>
  <c r="AI16"/>
  <c r="AI68"/>
  <c r="AI88"/>
  <c r="AI97"/>
  <c r="AI34"/>
  <c r="AI120"/>
  <c r="AI41"/>
  <c r="AI15"/>
  <c r="AI60"/>
  <c r="AI130"/>
  <c r="AI43"/>
  <c r="AI80"/>
  <c r="AI87"/>
  <c r="AI77"/>
  <c r="AI25"/>
  <c r="AI20"/>
  <c r="AI6"/>
  <c r="AI38"/>
  <c r="AI40"/>
  <c r="AI92"/>
  <c r="AI105"/>
  <c r="AI124"/>
  <c r="AI107"/>
  <c r="AI58"/>
  <c r="AI129"/>
  <c r="AI134"/>
  <c r="AI17"/>
  <c r="AI45"/>
  <c r="AI57"/>
  <c r="AI72"/>
  <c r="AI139"/>
  <c r="AI18"/>
  <c r="AI90"/>
  <c r="AI93"/>
  <c r="AI21"/>
  <c r="AI75"/>
  <c r="AI104"/>
  <c r="AI122"/>
  <c r="AI95"/>
  <c r="AI47"/>
  <c r="AI24"/>
  <c r="AI7"/>
  <c r="AI112"/>
  <c r="AI35"/>
  <c r="AI52"/>
  <c r="AI29"/>
  <c r="AI67"/>
  <c r="AI136"/>
  <c r="AI11"/>
  <c r="AI84"/>
  <c r="AI30"/>
  <c r="AI32"/>
  <c r="AI13"/>
  <c r="AI28"/>
  <c r="AI99"/>
  <c r="AI50"/>
  <c r="AI116"/>
  <c r="AI9"/>
  <c r="AI133"/>
  <c r="AI131"/>
  <c r="AI4"/>
  <c r="AI82"/>
  <c r="AI5"/>
  <c r="AI137"/>
  <c r="AI78"/>
  <c r="AI14"/>
  <c r="AI23"/>
  <c r="AI22"/>
  <c r="AI110"/>
  <c r="AI86"/>
  <c r="AI111"/>
  <c r="AI71"/>
  <c r="AI94"/>
  <c r="AI96"/>
  <c r="AI44"/>
  <c r="AI114"/>
  <c r="AI26"/>
  <c r="AI53"/>
  <c r="AI119"/>
  <c r="AI39"/>
  <c r="AI89"/>
  <c r="AI76"/>
  <c r="AI59"/>
  <c r="AI8"/>
  <c r="AI74"/>
  <c r="AI108"/>
  <c r="AI19"/>
  <c r="AI91"/>
  <c r="AI118"/>
  <c r="AI33"/>
  <c r="AI125"/>
  <c r="AI81"/>
  <c r="AI36"/>
  <c r="AI106"/>
  <c r="AI140"/>
  <c r="AI56"/>
  <c r="AI123"/>
  <c r="AI70"/>
  <c r="AI127"/>
  <c r="AI65"/>
  <c r="AI12"/>
  <c r="AI79"/>
  <c r="AI61"/>
  <c r="AI31"/>
  <c r="AI73"/>
  <c r="AI100"/>
  <c r="AI135"/>
  <c r="AI54"/>
  <c r="AI117"/>
  <c r="AI138"/>
  <c r="AI102"/>
  <c r="AI51"/>
  <c r="AI101"/>
  <c r="AI49"/>
  <c r="AI66"/>
  <c r="AI132"/>
  <c r="AI10"/>
  <c r="AI83"/>
  <c r="AI121"/>
  <c r="AI126"/>
  <c r="AI62"/>
  <c r="AI63"/>
  <c r="AI27"/>
  <c r="AI98"/>
  <c r="AI48"/>
  <c r="AI115"/>
  <c r="AI69"/>
  <c r="AI85"/>
  <c r="AI103"/>
</calcChain>
</file>

<file path=xl/sharedStrings.xml><?xml version="1.0" encoding="utf-8"?>
<sst xmlns="http://schemas.openxmlformats.org/spreadsheetml/2006/main" count="2387" uniqueCount="289">
  <si>
    <t>TOTAL_BASIC</t>
  </si>
  <si>
    <t>PER_GAME_BASIC</t>
  </si>
  <si>
    <t>ADVANCED</t>
  </si>
  <si>
    <t>SHOOTING</t>
  </si>
  <si>
    <t>Statistiques shooting classées par minutes jouées</t>
  </si>
  <si>
    <t>Player</t>
  </si>
  <si>
    <t>Team</t>
  </si>
  <si>
    <t>Pos</t>
  </si>
  <si>
    <t>G</t>
  </si>
  <si>
    <t>MP</t>
  </si>
  <si>
    <t>GS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</si>
  <si>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</si>
  <si>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</si>
  <si>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</si>
  <si>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</si>
  <si>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</si>
  <si>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</si>
  <si>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</si>
  <si>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</si>
  <si>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</si>
  <si>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FT</t>
  </si>
  <si>
    <t>FTA</t>
  </si>
  <si>
    <t>FT%</t>
  </si>
  <si>
    <t>ORB</t>
  </si>
  <si>
    <t>TRB</t>
  </si>
  <si>
    <t>AST</t>
  </si>
  <si>
    <t>STL</t>
  </si>
  <si>
    <t>BLK</t>
  </si>
  <si>
    <t>TOV</t>
  </si>
  <si>
    <t>PF</t>
  </si>
  <si>
    <t>PTS</t>
  </si>
  <si>
    <t>AST/TO</t>
  </si>
  <si>
    <t>PER</t>
  </si>
  <si>
    <t>TS%</t>
  </si>
  <si>
    <t>eFG%</t>
  </si>
  <si>
    <t>3PAr</t>
  </si>
  <si>
    <t>FTr</t>
  </si>
  <si>
    <t>ORB%</t>
  </si>
  <si>
    <t>TRB%</t>
  </si>
  <si>
    <t>AST%</t>
  </si>
  <si>
    <t>STL%</t>
  </si>
  <si>
    <t>BLK%</t>
  </si>
  <si>
    <t>TOV%</t>
  </si>
  <si>
    <t>USG%</t>
  </si>
  <si>
    <t>ORtg</t>
  </si>
  <si>
    <t>DRtg</t>
  </si>
  <si>
    <t>OWS</t>
  </si>
  <si>
    <t>DWS</t>
  </si>
  <si>
    <t>WS</t>
  </si>
  <si>
    <t>WS/40</t>
  </si>
  <si>
    <t>TS+</t>
  </si>
  <si>
    <t>PPP</t>
  </si>
  <si>
    <t>NRtg</t>
  </si>
  <si>
    <t>Stats</t>
  </si>
  <si>
    <t>% of FGA by Distance</t>
  </si>
  <si>
    <t>FG% by Distance</t>
  </si>
  <si>
    <t>% of FG Ast'd</t>
  </si>
  <si>
    <t>Corner 3s</t>
  </si>
  <si>
    <t>Dist.</t>
  </si>
  <si>
    <t>0-3</t>
  </si>
  <si>
    <t>3-10</t>
  </si>
  <si>
    <t>10-16</t>
  </si>
  <si>
    <t>16-3P</t>
  </si>
  <si>
    <t>%3PA</t>
  </si>
  <si>
    <t>PPSA</t>
  </si>
  <si>
    <t>%AST'd</t>
  </si>
  <si>
    <t>PPP
(100 poss)</t>
  </si>
  <si>
    <t>DATA</t>
  </si>
  <si>
    <t>CENTILE</t>
  </si>
  <si>
    <t>Statistiques de base au total classées par minutes jouées</t>
  </si>
  <si>
    <t>Statistiques de base par match classées par minutes jouées</t>
  </si>
  <si>
    <t>Statistiques avancées classées par minutes jouées</t>
  </si>
  <si>
    <t>BLK/PF</t>
  </si>
  <si>
    <t>PPP+</t>
  </si>
  <si>
    <t>MIN LIMIT</t>
  </si>
  <si>
    <t>SOMME</t>
  </si>
  <si>
    <t>TS Moy</t>
  </si>
  <si>
    <t>PPP Moy</t>
  </si>
  <si>
    <t>3P% Moy</t>
  </si>
  <si>
    <t>2P% Moy</t>
  </si>
  <si>
    <t>FG% Moy</t>
  </si>
  <si>
    <t>EFG% Moy</t>
  </si>
  <si>
    <t>FT% Moy</t>
  </si>
  <si>
    <t>Breanna Stewart</t>
  </si>
  <si>
    <t>NYL</t>
  </si>
  <si>
    <t>F</t>
  </si>
  <si>
    <t>Marine Johannes</t>
  </si>
  <si>
    <t>Jonquel Jones</t>
  </si>
  <si>
    <t>C</t>
  </si>
  <si>
    <t>Pauline Astier</t>
  </si>
  <si>
    <t>Veronica Burton</t>
  </si>
  <si>
    <t>GSV</t>
  </si>
  <si>
    <t>Kahleah Copper</t>
  </si>
  <si>
    <t>PHO</t>
  </si>
  <si>
    <t>G-F</t>
  </si>
  <si>
    <t>Kayla McBride</t>
  </si>
  <si>
    <t>MIN</t>
  </si>
  <si>
    <t>Alyssa Thomas</t>
  </si>
  <si>
    <t>Paige Bueckers</t>
  </si>
  <si>
    <t>DAL</t>
  </si>
  <si>
    <t>Betnijah Laney-Hamilton</t>
  </si>
  <si>
    <t>Arike Ogunbowale</t>
  </si>
  <si>
    <t>Jessica Shepard</t>
  </si>
  <si>
    <t>Courtney Williams</t>
  </si>
  <si>
    <t>Olivia Miles</t>
  </si>
  <si>
    <t>Kayla Thornton</t>
  </si>
  <si>
    <t>Kennedy Burke</t>
  </si>
  <si>
    <t>CON</t>
  </si>
  <si>
    <t>Rebekah Gardner</t>
  </si>
  <si>
    <t>Bridget Carleton</t>
  </si>
  <si>
    <t>Gabby Williams</t>
  </si>
  <si>
    <t>DeWanna Bonner</t>
  </si>
  <si>
    <t>F-G</t>
  </si>
  <si>
    <t>Flau'jae Johnson</t>
  </si>
  <si>
    <t>SEA</t>
  </si>
  <si>
    <t>Natasha Howard</t>
  </si>
  <si>
    <t>Jackie Young</t>
  </si>
  <si>
    <t>LVA</t>
  </si>
  <si>
    <t>Natasha Mack</t>
  </si>
  <si>
    <t>F-C</t>
  </si>
  <si>
    <t>Nia Coffey</t>
  </si>
  <si>
    <t>Chelsea Gray</t>
  </si>
  <si>
    <t>Dominique Malonga</t>
  </si>
  <si>
    <t>Aneesah Morrow</t>
  </si>
  <si>
    <t>Kaila Charles</t>
  </si>
  <si>
    <t>Jewell Loyd</t>
  </si>
  <si>
    <t>Diamond Miller</t>
  </si>
  <si>
    <t>Rhyne Howard</t>
  </si>
  <si>
    <t>ATL</t>
  </si>
  <si>
    <t>Saniya Rivers</t>
  </si>
  <si>
    <t>Rickea Jackson</t>
  </si>
  <si>
    <t>CHI</t>
  </si>
  <si>
    <t>A'ja Wilson</t>
  </si>
  <si>
    <t>Odyssey Sims</t>
  </si>
  <si>
    <t>Alanna Smith</t>
  </si>
  <si>
    <t>Luisa Geiselsöder</t>
  </si>
  <si>
    <t>Kelsey Plum</t>
  </si>
  <si>
    <t>LAS</t>
  </si>
  <si>
    <t>Natisha Hiedeman</t>
  </si>
  <si>
    <t>Sonia Citron</t>
  </si>
  <si>
    <t>WAS</t>
  </si>
  <si>
    <t>Stefanie Dolson</t>
  </si>
  <si>
    <t>Nyadiew Puoch</t>
  </si>
  <si>
    <t>Janelle Salaün</t>
  </si>
  <si>
    <t>Naz Hillmon</t>
  </si>
  <si>
    <t>Jade Melbourne</t>
  </si>
  <si>
    <t>Sarah Ashlee Barker</t>
  </si>
  <si>
    <t>Skylar Diggins</t>
  </si>
  <si>
    <t>Emily Engstler</t>
  </si>
  <si>
    <t>Allisha Gray</t>
  </si>
  <si>
    <t>Jovana Nogić</t>
  </si>
  <si>
    <t>Angel Reese</t>
  </si>
  <si>
    <t>Jacy Sheldon</t>
  </si>
  <si>
    <t>Kiah Stokes</t>
  </si>
  <si>
    <t>Nneka Ogwumike</t>
  </si>
  <si>
    <t>Chennedy Carter</t>
  </si>
  <si>
    <t>Caitlin Clark</t>
  </si>
  <si>
    <t>IND</t>
  </si>
  <si>
    <t>Shakira Austin</t>
  </si>
  <si>
    <t>Kelsey Mitchell</t>
  </si>
  <si>
    <t>Brittney Sykes</t>
  </si>
  <si>
    <t>TOR</t>
  </si>
  <si>
    <t>Han Xu</t>
  </si>
  <si>
    <t>Julie Allemand</t>
  </si>
  <si>
    <t>Lexie Brown</t>
  </si>
  <si>
    <t>Marina Mabrey</t>
  </si>
  <si>
    <t>Jordin Canada</t>
  </si>
  <si>
    <t>Gabriela Jaquez</t>
  </si>
  <si>
    <t>Rae Burrell</t>
  </si>
  <si>
    <t>Dearica Hamby</t>
  </si>
  <si>
    <t>Charlisse Leger-Walker</t>
  </si>
  <si>
    <t>Hailey Van Lith</t>
  </si>
  <si>
    <t>Brittney Griner</t>
  </si>
  <si>
    <t>Kiki Iriafen</t>
  </si>
  <si>
    <t>NaLyssa Smith</t>
  </si>
  <si>
    <t>Carla Leite</t>
  </si>
  <si>
    <t>Sophie Cunningham</t>
  </si>
  <si>
    <t>Kamilla Cardoso</t>
  </si>
  <si>
    <t>Laeticia Amihere</t>
  </si>
  <si>
    <t>Zia Cooke</t>
  </si>
  <si>
    <t>Nyara Sabally</t>
  </si>
  <si>
    <t>Stephanie Talbot</t>
  </si>
  <si>
    <t>Aliyah Boston</t>
  </si>
  <si>
    <t>C-F</t>
  </si>
  <si>
    <t>Olivia Nelson-Ododa</t>
  </si>
  <si>
    <t>Ariel Atkins</t>
  </si>
  <si>
    <t>Jordan Horston</t>
  </si>
  <si>
    <t>Brianna Turner</t>
  </si>
  <si>
    <t>Noémie Brochant</t>
  </si>
  <si>
    <t>Cassandre Prosper</t>
  </si>
  <si>
    <t>Kiana Williams</t>
  </si>
  <si>
    <t>Maria Conde</t>
  </si>
  <si>
    <t>Antonia Delaere</t>
  </si>
  <si>
    <t>Kaitlyn Chen</t>
  </si>
  <si>
    <t>Georgia Amoore</t>
  </si>
  <si>
    <t>Aziaha James</t>
  </si>
  <si>
    <t>Maddy Siegrist</t>
  </si>
  <si>
    <t>Mackenzie Holmes</t>
  </si>
  <si>
    <t>Erica Wheeler</t>
  </si>
  <si>
    <t>Kiki Rice</t>
  </si>
  <si>
    <t>Azzi Fudd</t>
  </si>
  <si>
    <t>Gianna Kneepkens</t>
  </si>
  <si>
    <t>Kierstan Bell</t>
  </si>
  <si>
    <t>Frieda Bühner</t>
  </si>
  <si>
    <t>Te-Hina PaoPao</t>
  </si>
  <si>
    <t>Cheyenne Parker-Tyus</t>
  </si>
  <si>
    <t>Myisha Hines-Allen</t>
  </si>
  <si>
    <t>Kyara Linskens</t>
  </si>
  <si>
    <t>Lauren Betts</t>
  </si>
  <si>
    <t>Elizabeth Williams</t>
  </si>
  <si>
    <t>Maya Caldwell</t>
  </si>
  <si>
    <t>Lexie Hull</t>
  </si>
  <si>
    <t>Makayla Timpson</t>
  </si>
  <si>
    <t>Rachel Banham</t>
  </si>
  <si>
    <t>Monique Billings</t>
  </si>
  <si>
    <t>Cameron Brink</t>
  </si>
  <si>
    <t>Raegan Beers</t>
  </si>
  <si>
    <t>Chance Gray</t>
  </si>
  <si>
    <t>Angela Dugalić</t>
  </si>
  <si>
    <t>Laura Juškaitė</t>
  </si>
  <si>
    <t>Awak Kuier</t>
  </si>
  <si>
    <t>Tyasha Harris</t>
  </si>
  <si>
    <t>Sug Sutton</t>
  </si>
  <si>
    <t>Madina Okot</t>
  </si>
  <si>
    <t>Natasha Cloud</t>
  </si>
  <si>
    <t>Valeriane Ayayi</t>
  </si>
  <si>
    <t>Raven Johnson</t>
  </si>
  <si>
    <t>Teonni Key</t>
  </si>
  <si>
    <t>Kia Nurse</t>
  </si>
  <si>
    <t>Aicha Coulibaly</t>
  </si>
  <si>
    <t>Cotie McMahon</t>
  </si>
  <si>
    <t>Aaliyah Edwards</t>
  </si>
  <si>
    <t>POR</t>
  </si>
  <si>
    <t>Nell Angloma</t>
  </si>
  <si>
    <t>Serah Williams</t>
  </si>
  <si>
    <t>Tiffany Hayes</t>
  </si>
  <si>
    <t>Sydney Taylor</t>
  </si>
  <si>
    <t>Lexi Held</t>
  </si>
  <si>
    <t>Teja Oblak</t>
  </si>
  <si>
    <t>Alysha Clark</t>
  </si>
  <si>
    <t>TOT</t>
  </si>
  <si>
    <t>Anastasiia Kosu</t>
  </si>
  <si>
    <t>Satou Sabally</t>
  </si>
  <si>
    <t>Isobel Borlase</t>
  </si>
  <si>
    <t>Michaela Onyenwere</t>
  </si>
  <si>
    <t>Awa Fam</t>
  </si>
  <si>
    <t>Li Yueru</t>
  </si>
  <si>
    <t>Cecilia Zandalasini</t>
  </si>
  <si>
    <t>Leonie Fiebich</t>
  </si>
  <si>
    <t>Katie Lou Samuelson</t>
  </si>
  <si>
    <t>Sabrina Ionescu</t>
  </si>
  <si>
    <t>Azura Stevens</t>
  </si>
  <si>
    <t>Monique Akoa Makani</t>
  </si>
  <si>
    <t>Alicia Flórez</t>
  </si>
  <si>
    <t>Karlie Samuelson</t>
  </si>
  <si>
    <t>Jihyun Park</t>
  </si>
  <si>
    <t>Leïla Lacan</t>
  </si>
  <si>
    <t>Isabelle Harrison</t>
  </si>
  <si>
    <t>Temi Fagbenle</t>
  </si>
  <si>
    <t>Lucy Olsen</t>
  </si>
  <si>
    <t>Tima Pouye</t>
  </si>
  <si>
    <t>Sika Koné</t>
  </si>
  <si>
    <t>Courtney Vandersloot</t>
  </si>
  <si>
    <t>Kate Martin</t>
  </si>
  <si>
    <t>Rebecca Allen</t>
  </si>
  <si>
    <t>Marta Suárez</t>
  </si>
  <si>
    <t>Dorka Juhász</t>
  </si>
  <si>
    <t>AST:USG</t>
  </si>
  <si>
    <t>AST:TO</t>
  </si>
  <si>
    <t>Holly Winterburn</t>
  </si>
  <si>
    <t>Marine Fauthoux</t>
  </si>
  <si>
    <t>Dana Evans</t>
  </si>
  <si>
    <t>Sami Whitcomb</t>
  </si>
  <si>
    <t>Napheesa Collier</t>
  </si>
  <si>
    <t>Brionna Jones</t>
  </si>
  <si>
    <t>Ezi Magbegor</t>
  </si>
  <si>
    <t>DiJonai Carrington</t>
  </si>
  <si>
    <t>Raquel Carrera Quintana</t>
  </si>
  <si>
    <t>Megan DiLeo</t>
  </si>
  <si>
    <t>Jordan Harrison</t>
  </si>
  <si>
    <t>Mai Yamamoto</t>
  </si>
  <si>
    <t>Ashlon Jackson</t>
  </si>
  <si>
    <t>Emma Cannon</t>
  </si>
  <si>
    <t>Ta'Niya Latson</t>
  </si>
  <si>
    <t>Ornella Bankole</t>
  </si>
  <si>
    <t>Tonie Morgan</t>
  </si>
  <si>
    <t>Justė Jocytė</t>
  </si>
  <si>
    <t>Eliška Joklová</t>
  </si>
  <si>
    <t>Taylor Thierry</t>
  </si>
</sst>
</file>

<file path=xl/styles.xml><?xml version="1.0" encoding="utf-8"?>
<styleSheet xmlns="http://schemas.openxmlformats.org/spreadsheetml/2006/main">
  <numFmts count="1">
    <numFmt numFmtId="164" formatCode="0.000"/>
  </numFmts>
  <fonts count="9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</font>
    <font>
      <b/>
      <sz val="2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0" xfId="0" applyFont="1"/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 wrapText="1"/>
    </xf>
    <xf numFmtId="2" fontId="5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6" fillId="0" borderId="0" xfId="0" applyFont="1" applyAlignment="1">
      <alignment horizontal="center" vertical="center"/>
    </xf>
    <xf numFmtId="1" fontId="0" fillId="0" borderId="0" xfId="0" applyNumberFormat="1" applyAlignment="1">
      <alignment horizontal="center"/>
    </xf>
    <xf numFmtId="1" fontId="5" fillId="0" borderId="0" xfId="0" applyNumberFormat="1" applyFont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left" vertical="center"/>
    </xf>
    <xf numFmtId="164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 vertical="center"/>
    </xf>
    <xf numFmtId="0" fontId="2" fillId="0" borderId="0" xfId="0" applyFont="1"/>
    <xf numFmtId="0" fontId="1" fillId="0" borderId="0" xfId="0" applyFont="1"/>
    <xf numFmtId="0" fontId="8" fillId="0" borderId="0" xfId="0" applyFont="1" applyAlignment="1">
      <alignment horizontal="center"/>
    </xf>
    <xf numFmtId="0" fontId="8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63BE7B"/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99"/>
  <sheetViews>
    <sheetView tabSelected="1" workbookViewId="0"/>
  </sheetViews>
  <sheetFormatPr baseColWidth="10" defaultColWidth="12.3984375" defaultRowHeight="15" customHeight="1"/>
  <cols>
    <col min="1" max="1" width="17.3984375" bestFit="1" customWidth="1"/>
    <col min="2" max="2" width="64.09765625" customWidth="1"/>
    <col min="3" max="26" width="10.3984375" customWidth="1"/>
  </cols>
  <sheetData>
    <row r="1" spans="1:2" ht="13.8">
      <c r="A1" s="1" t="s">
        <v>0</v>
      </c>
      <c r="B1" t="s">
        <v>69</v>
      </c>
    </row>
    <row r="2" spans="1:2" ht="13.8">
      <c r="A2" s="1" t="s">
        <v>1</v>
      </c>
      <c r="B2" t="s">
        <v>70</v>
      </c>
    </row>
    <row r="3" spans="1:2" ht="13.8">
      <c r="A3" s="1" t="s">
        <v>2</v>
      </c>
      <c r="B3" t="s">
        <v>71</v>
      </c>
    </row>
    <row r="4" spans="1:2" ht="13.8">
      <c r="A4" s="1" t="s">
        <v>3</v>
      </c>
      <c r="B4" s="1" t="s">
        <v>4</v>
      </c>
    </row>
    <row r="6" spans="1:2" ht="15" customHeight="1">
      <c r="A6" t="s">
        <v>74</v>
      </c>
      <c r="B6" s="17">
        <v>100</v>
      </c>
    </row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dimension ref="A1:AC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C1"/>
    </sheetView>
  </sheetViews>
  <sheetFormatPr baseColWidth="10" defaultColWidth="12.3984375" defaultRowHeight="15" customHeight="1"/>
  <cols>
    <col min="1" max="1" width="25.59765625" customWidth="1"/>
    <col min="2" max="29" width="7.59765625" customWidth="1"/>
  </cols>
  <sheetData>
    <row r="1" spans="1:29" ht="24.6">
      <c r="A1" s="22" t="s">
        <v>67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</row>
    <row r="2" spans="1:29" ht="13.8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31</v>
      </c>
    </row>
    <row r="3" spans="1:29" ht="13.8">
      <c r="A3" s="1" t="s">
        <v>127</v>
      </c>
      <c r="B3" s="3" t="s">
        <v>128</v>
      </c>
      <c r="C3" s="4" t="s">
        <v>8</v>
      </c>
      <c r="D3" s="4">
        <v>40</v>
      </c>
      <c r="E3" s="4">
        <v>1376</v>
      </c>
      <c r="F3" s="4">
        <v>40</v>
      </c>
      <c r="G3" s="4">
        <v>40</v>
      </c>
      <c r="H3" s="4">
        <v>1376</v>
      </c>
      <c r="I3" s="4">
        <v>234</v>
      </c>
      <c r="J3" s="4">
        <v>578</v>
      </c>
      <c r="K3" s="4">
        <v>0.40500000000000003</v>
      </c>
      <c r="L3" s="4">
        <v>129</v>
      </c>
      <c r="M3" s="4">
        <v>358</v>
      </c>
      <c r="N3" s="4">
        <v>0.36</v>
      </c>
      <c r="O3" s="4">
        <v>105</v>
      </c>
      <c r="P3" s="4">
        <v>220</v>
      </c>
      <c r="Q3" s="4">
        <v>0.47699999999999998</v>
      </c>
      <c r="R3" s="4">
        <v>128</v>
      </c>
      <c r="S3" s="4">
        <v>146</v>
      </c>
      <c r="T3" s="4">
        <v>0.877</v>
      </c>
      <c r="U3" s="4">
        <v>29</v>
      </c>
      <c r="V3" s="4">
        <v>154</v>
      </c>
      <c r="W3" s="4">
        <v>149</v>
      </c>
      <c r="X3" s="4">
        <v>95</v>
      </c>
      <c r="Y3" s="4">
        <v>36</v>
      </c>
      <c r="Z3" s="4">
        <v>56</v>
      </c>
      <c r="AA3" s="4">
        <v>115</v>
      </c>
      <c r="AB3" s="4">
        <v>725</v>
      </c>
      <c r="AC3" s="5">
        <f>W3/Z3</f>
        <v>2.6607142857142856</v>
      </c>
    </row>
    <row r="4" spans="1:29" ht="13.8">
      <c r="A4" s="1" t="s">
        <v>159</v>
      </c>
      <c r="B4" s="3" t="s">
        <v>157</v>
      </c>
      <c r="C4" s="4" t="s">
        <v>8</v>
      </c>
      <c r="D4" s="4">
        <v>41</v>
      </c>
      <c r="E4" s="4">
        <v>1347</v>
      </c>
      <c r="F4" s="4">
        <v>41</v>
      </c>
      <c r="G4" s="4">
        <v>41</v>
      </c>
      <c r="H4" s="4">
        <v>1347</v>
      </c>
      <c r="I4" s="4">
        <v>364</v>
      </c>
      <c r="J4" s="4">
        <v>703</v>
      </c>
      <c r="K4" s="4">
        <v>0.51800000000000002</v>
      </c>
      <c r="L4" s="4">
        <v>128</v>
      </c>
      <c r="M4" s="4">
        <v>277</v>
      </c>
      <c r="N4" s="4">
        <v>0.46200000000000002</v>
      </c>
      <c r="O4" s="4">
        <v>236</v>
      </c>
      <c r="P4" s="4">
        <v>426</v>
      </c>
      <c r="Q4" s="4">
        <v>0.55400000000000005</v>
      </c>
      <c r="R4" s="4">
        <v>178</v>
      </c>
      <c r="S4" s="4">
        <v>211</v>
      </c>
      <c r="T4" s="4">
        <v>0.84399999999999997</v>
      </c>
      <c r="U4" s="4">
        <v>21</v>
      </c>
      <c r="V4" s="4">
        <v>70</v>
      </c>
      <c r="W4" s="4">
        <v>114</v>
      </c>
      <c r="X4" s="4">
        <v>44</v>
      </c>
      <c r="Y4" s="4">
        <v>5</v>
      </c>
      <c r="Z4" s="4">
        <v>70</v>
      </c>
      <c r="AA4" s="4">
        <v>100</v>
      </c>
      <c r="AB4" s="4">
        <v>1034</v>
      </c>
      <c r="AC4" s="5">
        <f t="shared" ref="AC4:AC67" si="0">IF(Z4=0,"",W4/Z4)</f>
        <v>1.6285714285714286</v>
      </c>
    </row>
    <row r="5" spans="1:29" ht="13.8">
      <c r="A5" s="1" t="s">
        <v>149</v>
      </c>
      <c r="B5" s="3" t="s">
        <v>128</v>
      </c>
      <c r="C5" s="4" t="s">
        <v>8</v>
      </c>
      <c r="D5" s="4">
        <v>41</v>
      </c>
      <c r="E5" s="4">
        <v>1341</v>
      </c>
      <c r="F5" s="4">
        <v>41</v>
      </c>
      <c r="G5" s="4">
        <v>41</v>
      </c>
      <c r="H5" s="4">
        <v>1341</v>
      </c>
      <c r="I5" s="4">
        <v>263</v>
      </c>
      <c r="J5" s="4">
        <v>574</v>
      </c>
      <c r="K5" s="4">
        <v>0.45800000000000002</v>
      </c>
      <c r="L5" s="4">
        <v>75</v>
      </c>
      <c r="M5" s="4">
        <v>228</v>
      </c>
      <c r="N5" s="4">
        <v>0.32900000000000001</v>
      </c>
      <c r="O5" s="4">
        <v>188</v>
      </c>
      <c r="P5" s="4">
        <v>346</v>
      </c>
      <c r="Q5" s="4">
        <v>0.54300000000000004</v>
      </c>
      <c r="R5" s="4">
        <v>181</v>
      </c>
      <c r="S5" s="4">
        <v>227</v>
      </c>
      <c r="T5" s="4">
        <v>0.79700000000000004</v>
      </c>
      <c r="U5" s="4">
        <v>29</v>
      </c>
      <c r="V5" s="4">
        <v>142</v>
      </c>
      <c r="W5" s="4">
        <v>108</v>
      </c>
      <c r="X5" s="4">
        <v>52</v>
      </c>
      <c r="Y5" s="4">
        <v>15</v>
      </c>
      <c r="Z5" s="4">
        <v>62</v>
      </c>
      <c r="AA5" s="4">
        <v>116</v>
      </c>
      <c r="AB5" s="4">
        <v>782</v>
      </c>
      <c r="AC5" s="5">
        <f t="shared" si="0"/>
        <v>1.7419354838709677</v>
      </c>
    </row>
    <row r="6" spans="1:29" ht="13.8">
      <c r="A6" s="1" t="s">
        <v>95</v>
      </c>
      <c r="B6" s="3" t="s">
        <v>96</v>
      </c>
      <c r="C6" s="4" t="s">
        <v>8</v>
      </c>
      <c r="D6" s="4">
        <v>41</v>
      </c>
      <c r="E6" s="4">
        <v>1337</v>
      </c>
      <c r="F6" s="4">
        <v>41</v>
      </c>
      <c r="G6" s="4">
        <v>41</v>
      </c>
      <c r="H6" s="4">
        <v>1337</v>
      </c>
      <c r="I6" s="4">
        <v>242</v>
      </c>
      <c r="J6" s="4">
        <v>525</v>
      </c>
      <c r="K6" s="4">
        <v>0.46100000000000002</v>
      </c>
      <c r="L6" s="4">
        <v>118</v>
      </c>
      <c r="M6" s="4">
        <v>285</v>
      </c>
      <c r="N6" s="4">
        <v>0.41399999999999998</v>
      </c>
      <c r="O6" s="4">
        <v>124</v>
      </c>
      <c r="P6" s="4">
        <v>240</v>
      </c>
      <c r="Q6" s="4">
        <v>0.51700000000000002</v>
      </c>
      <c r="R6" s="4">
        <v>137</v>
      </c>
      <c r="S6" s="4">
        <v>149</v>
      </c>
      <c r="T6" s="4">
        <v>0.91900000000000004</v>
      </c>
      <c r="U6" s="4">
        <v>25</v>
      </c>
      <c r="V6" s="4">
        <v>127</v>
      </c>
      <c r="W6" s="4">
        <v>87</v>
      </c>
      <c r="X6" s="4">
        <v>69</v>
      </c>
      <c r="Y6" s="4">
        <v>10</v>
      </c>
      <c r="Z6" s="4">
        <v>53</v>
      </c>
      <c r="AA6" s="4">
        <v>78</v>
      </c>
      <c r="AB6" s="4">
        <v>739</v>
      </c>
      <c r="AC6" s="5">
        <f t="shared" si="0"/>
        <v>1.6415094339622642</v>
      </c>
    </row>
    <row r="7" spans="1:29" ht="13.8">
      <c r="A7" s="1" t="s">
        <v>83</v>
      </c>
      <c r="B7" s="3" t="s">
        <v>84</v>
      </c>
      <c r="C7" s="4" t="s">
        <v>85</v>
      </c>
      <c r="D7" s="4">
        <v>40</v>
      </c>
      <c r="E7" s="4">
        <v>1325</v>
      </c>
      <c r="F7" s="4">
        <v>40</v>
      </c>
      <c r="G7" s="4">
        <v>40</v>
      </c>
      <c r="H7" s="4">
        <v>1325</v>
      </c>
      <c r="I7" s="4">
        <v>279</v>
      </c>
      <c r="J7" s="4">
        <v>600</v>
      </c>
      <c r="K7" s="4">
        <v>0.46500000000000002</v>
      </c>
      <c r="L7" s="4">
        <v>31</v>
      </c>
      <c r="M7" s="4">
        <v>119</v>
      </c>
      <c r="N7" s="4">
        <v>0.26100000000000001</v>
      </c>
      <c r="O7" s="4">
        <v>248</v>
      </c>
      <c r="P7" s="4">
        <v>481</v>
      </c>
      <c r="Q7" s="4">
        <v>0.51600000000000001</v>
      </c>
      <c r="R7" s="4">
        <v>232</v>
      </c>
      <c r="S7" s="4">
        <v>275</v>
      </c>
      <c r="T7" s="4">
        <v>0.84399999999999997</v>
      </c>
      <c r="U7" s="4">
        <v>61</v>
      </c>
      <c r="V7" s="4">
        <v>326</v>
      </c>
      <c r="W7" s="4">
        <v>129</v>
      </c>
      <c r="X7" s="4">
        <v>54</v>
      </c>
      <c r="Y7" s="4">
        <v>53</v>
      </c>
      <c r="Z7" s="4">
        <v>80</v>
      </c>
      <c r="AA7" s="4">
        <v>85</v>
      </c>
      <c r="AB7" s="4">
        <v>821</v>
      </c>
      <c r="AC7" s="5">
        <f t="shared" si="0"/>
        <v>1.6125</v>
      </c>
    </row>
    <row r="8" spans="1:29" ht="13.8">
      <c r="A8" s="1" t="s">
        <v>121</v>
      </c>
      <c r="B8" s="3" t="s">
        <v>117</v>
      </c>
      <c r="C8" s="4" t="s">
        <v>8</v>
      </c>
      <c r="D8" s="4">
        <v>40</v>
      </c>
      <c r="E8" s="4">
        <v>1309</v>
      </c>
      <c r="F8" s="4">
        <v>40</v>
      </c>
      <c r="G8" s="4">
        <v>40</v>
      </c>
      <c r="H8" s="4">
        <v>1309</v>
      </c>
      <c r="I8" s="4">
        <v>173</v>
      </c>
      <c r="J8" s="4">
        <v>399</v>
      </c>
      <c r="K8" s="4">
        <v>0.434</v>
      </c>
      <c r="L8" s="4">
        <v>69</v>
      </c>
      <c r="M8" s="4">
        <v>189</v>
      </c>
      <c r="N8" s="4">
        <v>0.36499999999999999</v>
      </c>
      <c r="O8" s="4">
        <v>104</v>
      </c>
      <c r="P8" s="4">
        <v>210</v>
      </c>
      <c r="Q8" s="4">
        <v>0.495</v>
      </c>
      <c r="R8" s="4">
        <v>59</v>
      </c>
      <c r="S8" s="4">
        <v>63</v>
      </c>
      <c r="T8" s="4">
        <v>0.93700000000000006</v>
      </c>
      <c r="U8" s="4">
        <v>10</v>
      </c>
      <c r="V8" s="4">
        <v>131</v>
      </c>
      <c r="W8" s="4">
        <v>270</v>
      </c>
      <c r="X8" s="4">
        <v>53</v>
      </c>
      <c r="Y8" s="4">
        <v>14</v>
      </c>
      <c r="Z8" s="4">
        <v>108</v>
      </c>
      <c r="AA8" s="4">
        <v>84</v>
      </c>
      <c r="AB8" s="4">
        <v>474</v>
      </c>
      <c r="AC8" s="5">
        <f t="shared" si="0"/>
        <v>2.5</v>
      </c>
    </row>
    <row r="9" spans="1:29" ht="13.8">
      <c r="A9" s="1" t="s">
        <v>97</v>
      </c>
      <c r="B9" s="3" t="s">
        <v>93</v>
      </c>
      <c r="C9" s="4" t="s">
        <v>85</v>
      </c>
      <c r="D9" s="4">
        <v>39</v>
      </c>
      <c r="E9" s="4">
        <v>1304</v>
      </c>
      <c r="F9" s="4">
        <v>39</v>
      </c>
      <c r="G9" s="4">
        <v>39</v>
      </c>
      <c r="H9" s="4">
        <v>1304</v>
      </c>
      <c r="I9" s="4">
        <v>213</v>
      </c>
      <c r="J9" s="4">
        <v>412</v>
      </c>
      <c r="K9" s="4">
        <v>0.51700000000000002</v>
      </c>
      <c r="L9" s="4">
        <v>1</v>
      </c>
      <c r="M9" s="4">
        <v>3</v>
      </c>
      <c r="N9" s="4">
        <v>0.33300000000000002</v>
      </c>
      <c r="O9" s="4">
        <v>212</v>
      </c>
      <c r="P9" s="4">
        <v>409</v>
      </c>
      <c r="Q9" s="4">
        <v>0.51800000000000002</v>
      </c>
      <c r="R9" s="4">
        <v>132</v>
      </c>
      <c r="S9" s="4">
        <v>191</v>
      </c>
      <c r="T9" s="4">
        <v>0.69099999999999995</v>
      </c>
      <c r="U9" s="4">
        <v>65</v>
      </c>
      <c r="V9" s="4">
        <v>300</v>
      </c>
      <c r="W9" s="4">
        <v>326</v>
      </c>
      <c r="X9" s="4">
        <v>54</v>
      </c>
      <c r="Y9" s="4">
        <v>17</v>
      </c>
      <c r="Z9" s="4">
        <v>139</v>
      </c>
      <c r="AA9" s="4">
        <v>102</v>
      </c>
      <c r="AB9" s="4">
        <v>559</v>
      </c>
      <c r="AC9" s="5">
        <f t="shared" si="0"/>
        <v>2.3453237410071943</v>
      </c>
    </row>
    <row r="10" spans="1:29" ht="13.8">
      <c r="A10" s="1" t="s">
        <v>116</v>
      </c>
      <c r="B10" s="3" t="s">
        <v>117</v>
      </c>
      <c r="C10" s="4" t="s">
        <v>8</v>
      </c>
      <c r="D10" s="4">
        <v>40</v>
      </c>
      <c r="E10" s="4">
        <v>1291</v>
      </c>
      <c r="F10" s="4">
        <v>40</v>
      </c>
      <c r="G10" s="4">
        <v>40</v>
      </c>
      <c r="H10" s="4">
        <v>1291</v>
      </c>
      <c r="I10" s="4">
        <v>275</v>
      </c>
      <c r="J10" s="4">
        <v>562</v>
      </c>
      <c r="K10" s="4">
        <v>0.48899999999999999</v>
      </c>
      <c r="L10" s="4">
        <v>95</v>
      </c>
      <c r="M10" s="4">
        <v>245</v>
      </c>
      <c r="N10" s="4">
        <v>0.38800000000000001</v>
      </c>
      <c r="O10" s="4">
        <v>180</v>
      </c>
      <c r="P10" s="4">
        <v>317</v>
      </c>
      <c r="Q10" s="4">
        <v>0.56799999999999995</v>
      </c>
      <c r="R10" s="4">
        <v>127</v>
      </c>
      <c r="S10" s="4">
        <v>136</v>
      </c>
      <c r="T10" s="4">
        <v>0.93400000000000005</v>
      </c>
      <c r="U10" s="4">
        <v>30</v>
      </c>
      <c r="V10" s="4">
        <v>174</v>
      </c>
      <c r="W10" s="4">
        <v>263</v>
      </c>
      <c r="X10" s="4">
        <v>33</v>
      </c>
      <c r="Y10" s="4">
        <v>11</v>
      </c>
      <c r="Z10" s="4">
        <v>98</v>
      </c>
      <c r="AA10" s="4">
        <v>85</v>
      </c>
      <c r="AB10" s="4">
        <v>772</v>
      </c>
      <c r="AC10" s="5">
        <f t="shared" si="0"/>
        <v>2.6836734693877551</v>
      </c>
    </row>
    <row r="11" spans="1:29" ht="13.8">
      <c r="A11" s="1" t="s">
        <v>98</v>
      </c>
      <c r="B11" s="3" t="s">
        <v>99</v>
      </c>
      <c r="C11" s="4" t="s">
        <v>8</v>
      </c>
      <c r="D11" s="4">
        <v>39</v>
      </c>
      <c r="E11" s="4">
        <v>1281</v>
      </c>
      <c r="F11" s="4">
        <v>39</v>
      </c>
      <c r="G11" s="4">
        <v>39</v>
      </c>
      <c r="H11" s="4">
        <v>1281</v>
      </c>
      <c r="I11" s="4">
        <v>304</v>
      </c>
      <c r="J11" s="4">
        <v>598</v>
      </c>
      <c r="K11" s="4">
        <v>0.50800000000000001</v>
      </c>
      <c r="L11" s="4">
        <v>70</v>
      </c>
      <c r="M11" s="4">
        <v>179</v>
      </c>
      <c r="N11" s="4">
        <v>0.39100000000000001</v>
      </c>
      <c r="O11" s="4">
        <v>234</v>
      </c>
      <c r="P11" s="4">
        <v>419</v>
      </c>
      <c r="Q11" s="4">
        <v>0.55800000000000005</v>
      </c>
      <c r="R11" s="4">
        <v>119</v>
      </c>
      <c r="S11" s="4">
        <v>136</v>
      </c>
      <c r="T11" s="4">
        <v>0.875</v>
      </c>
      <c r="U11" s="4">
        <v>26</v>
      </c>
      <c r="V11" s="4">
        <v>160</v>
      </c>
      <c r="W11" s="4">
        <v>228</v>
      </c>
      <c r="X11" s="4">
        <v>34</v>
      </c>
      <c r="Y11" s="4">
        <v>15</v>
      </c>
      <c r="Z11" s="4">
        <v>85</v>
      </c>
      <c r="AA11" s="4">
        <v>98</v>
      </c>
      <c r="AB11" s="4">
        <v>797</v>
      </c>
      <c r="AC11" s="5">
        <f t="shared" si="0"/>
        <v>2.6823529411764704</v>
      </c>
    </row>
    <row r="12" spans="1:29" ht="13.8">
      <c r="A12" s="1" t="s">
        <v>151</v>
      </c>
      <c r="B12" s="3" t="s">
        <v>128</v>
      </c>
      <c r="C12" s="4" t="s">
        <v>85</v>
      </c>
      <c r="D12" s="4">
        <v>40</v>
      </c>
      <c r="E12" s="4">
        <v>1256</v>
      </c>
      <c r="F12" s="4">
        <v>40</v>
      </c>
      <c r="G12" s="4">
        <v>40</v>
      </c>
      <c r="H12" s="4">
        <v>1256</v>
      </c>
      <c r="I12" s="4">
        <v>232</v>
      </c>
      <c r="J12" s="4">
        <v>520</v>
      </c>
      <c r="K12" s="4">
        <v>0.44600000000000001</v>
      </c>
      <c r="L12" s="4">
        <v>10</v>
      </c>
      <c r="M12" s="4">
        <v>51</v>
      </c>
      <c r="N12" s="4">
        <v>0.19600000000000001</v>
      </c>
      <c r="O12" s="4">
        <v>222</v>
      </c>
      <c r="P12" s="4">
        <v>469</v>
      </c>
      <c r="Q12" s="4">
        <v>0.47299999999999998</v>
      </c>
      <c r="R12" s="4">
        <v>184</v>
      </c>
      <c r="S12" s="4">
        <v>250</v>
      </c>
      <c r="T12" s="4">
        <v>0.73599999999999999</v>
      </c>
      <c r="U12" s="4">
        <v>201</v>
      </c>
      <c r="V12" s="4">
        <v>495</v>
      </c>
      <c r="W12" s="4">
        <v>111</v>
      </c>
      <c r="X12" s="4">
        <v>72</v>
      </c>
      <c r="Y12" s="4">
        <v>28</v>
      </c>
      <c r="Z12" s="4">
        <v>127</v>
      </c>
      <c r="AA12" s="4">
        <v>150</v>
      </c>
      <c r="AB12" s="4">
        <v>658</v>
      </c>
      <c r="AC12" s="5">
        <f t="shared" si="0"/>
        <v>0.87401574803149606</v>
      </c>
    </row>
    <row r="13" spans="1:29" ht="13.8">
      <c r="A13" s="1" t="s">
        <v>92</v>
      </c>
      <c r="B13" s="3" t="s">
        <v>93</v>
      </c>
      <c r="C13" s="4" t="s">
        <v>94</v>
      </c>
      <c r="D13" s="4">
        <v>38</v>
      </c>
      <c r="E13" s="4">
        <v>1252</v>
      </c>
      <c r="F13" s="4">
        <v>38</v>
      </c>
      <c r="G13" s="4">
        <v>38</v>
      </c>
      <c r="H13" s="4">
        <v>1252</v>
      </c>
      <c r="I13" s="4">
        <v>272</v>
      </c>
      <c r="J13" s="4">
        <v>611</v>
      </c>
      <c r="K13" s="4">
        <v>0.44500000000000001</v>
      </c>
      <c r="L13" s="4">
        <v>65</v>
      </c>
      <c r="M13" s="4">
        <v>218</v>
      </c>
      <c r="N13" s="4">
        <v>0.29799999999999999</v>
      </c>
      <c r="O13" s="4">
        <v>207</v>
      </c>
      <c r="P13" s="4">
        <v>393</v>
      </c>
      <c r="Q13" s="4">
        <v>0.52700000000000002</v>
      </c>
      <c r="R13" s="4">
        <v>201</v>
      </c>
      <c r="S13" s="4">
        <v>255</v>
      </c>
      <c r="T13" s="4">
        <v>0.78800000000000003</v>
      </c>
      <c r="U13" s="4">
        <v>20</v>
      </c>
      <c r="V13" s="4">
        <v>136</v>
      </c>
      <c r="W13" s="4">
        <v>71</v>
      </c>
      <c r="X13" s="4">
        <v>29</v>
      </c>
      <c r="Y13" s="4">
        <v>3</v>
      </c>
      <c r="Z13" s="4">
        <v>91</v>
      </c>
      <c r="AA13" s="4">
        <v>102</v>
      </c>
      <c r="AB13" s="4">
        <v>810</v>
      </c>
      <c r="AC13" s="5">
        <f t="shared" si="0"/>
        <v>0.78021978021978022</v>
      </c>
    </row>
    <row r="14" spans="1:29" ht="13.8">
      <c r="A14" s="1" t="s">
        <v>166</v>
      </c>
      <c r="B14" s="3" t="s">
        <v>128</v>
      </c>
      <c r="C14" s="4" t="s">
        <v>8</v>
      </c>
      <c r="D14" s="4">
        <v>40</v>
      </c>
      <c r="E14" s="4">
        <v>1251</v>
      </c>
      <c r="F14" s="4">
        <v>40</v>
      </c>
      <c r="G14" s="4">
        <v>40</v>
      </c>
      <c r="H14" s="4">
        <v>1251</v>
      </c>
      <c r="I14" s="4">
        <v>151</v>
      </c>
      <c r="J14" s="4">
        <v>347</v>
      </c>
      <c r="K14" s="4">
        <v>0.435</v>
      </c>
      <c r="L14" s="4">
        <v>36</v>
      </c>
      <c r="M14" s="4">
        <v>124</v>
      </c>
      <c r="N14" s="4">
        <v>0.28999999999999998</v>
      </c>
      <c r="O14" s="4">
        <v>115</v>
      </c>
      <c r="P14" s="4">
        <v>223</v>
      </c>
      <c r="Q14" s="4">
        <v>0.51600000000000001</v>
      </c>
      <c r="R14" s="4">
        <v>119</v>
      </c>
      <c r="S14" s="4">
        <v>156</v>
      </c>
      <c r="T14" s="4">
        <v>0.76300000000000001</v>
      </c>
      <c r="U14" s="4">
        <v>28</v>
      </c>
      <c r="V14" s="4">
        <v>144</v>
      </c>
      <c r="W14" s="4">
        <v>289</v>
      </c>
      <c r="X14" s="4">
        <v>76</v>
      </c>
      <c r="Y14" s="4">
        <v>11</v>
      </c>
      <c r="Z14" s="4">
        <v>101</v>
      </c>
      <c r="AA14" s="4">
        <v>103</v>
      </c>
      <c r="AB14" s="4">
        <v>457</v>
      </c>
      <c r="AC14" s="5">
        <f t="shared" si="0"/>
        <v>2.8613861386138613</v>
      </c>
    </row>
    <row r="15" spans="1:29" ht="13.8">
      <c r="A15" s="1" t="s">
        <v>102</v>
      </c>
      <c r="B15" s="3" t="s">
        <v>99</v>
      </c>
      <c r="C15" s="4" t="s">
        <v>85</v>
      </c>
      <c r="D15" s="4">
        <v>39</v>
      </c>
      <c r="E15" s="4">
        <v>1238</v>
      </c>
      <c r="F15" s="4">
        <v>39</v>
      </c>
      <c r="G15" s="4">
        <v>39</v>
      </c>
      <c r="H15" s="4">
        <v>1238</v>
      </c>
      <c r="I15" s="4">
        <v>231</v>
      </c>
      <c r="J15" s="4">
        <v>394</v>
      </c>
      <c r="K15" s="4">
        <v>0.58599999999999997</v>
      </c>
      <c r="L15" s="4">
        <v>1</v>
      </c>
      <c r="M15" s="4">
        <v>11</v>
      </c>
      <c r="N15" s="4">
        <v>9.0999999999999998E-2</v>
      </c>
      <c r="O15" s="4">
        <v>230</v>
      </c>
      <c r="P15" s="4">
        <v>383</v>
      </c>
      <c r="Q15" s="4">
        <v>0.60099999999999998</v>
      </c>
      <c r="R15" s="4">
        <v>98</v>
      </c>
      <c r="S15" s="4">
        <v>142</v>
      </c>
      <c r="T15" s="4">
        <v>0.69</v>
      </c>
      <c r="U15" s="4">
        <v>110</v>
      </c>
      <c r="V15" s="4">
        <v>431</v>
      </c>
      <c r="W15" s="4">
        <v>200</v>
      </c>
      <c r="X15" s="4">
        <v>29</v>
      </c>
      <c r="Y15" s="4">
        <v>3</v>
      </c>
      <c r="Z15" s="4">
        <v>76</v>
      </c>
      <c r="AA15" s="4">
        <v>80</v>
      </c>
      <c r="AB15" s="4">
        <v>561</v>
      </c>
      <c r="AC15" s="5">
        <f t="shared" si="0"/>
        <v>2.6315789473684212</v>
      </c>
    </row>
    <row r="16" spans="1:29" ht="13.8">
      <c r="A16" s="1" t="s">
        <v>154</v>
      </c>
      <c r="B16" s="3" t="s">
        <v>137</v>
      </c>
      <c r="C16" s="4" t="s">
        <v>85</v>
      </c>
      <c r="D16" s="4">
        <v>40</v>
      </c>
      <c r="E16" s="4">
        <v>1237</v>
      </c>
      <c r="F16" s="4">
        <v>40</v>
      </c>
      <c r="G16" s="4">
        <v>40</v>
      </c>
      <c r="H16" s="4">
        <v>1237</v>
      </c>
      <c r="I16" s="4">
        <v>271</v>
      </c>
      <c r="J16" s="4">
        <v>524</v>
      </c>
      <c r="K16" s="4">
        <v>0.51700000000000002</v>
      </c>
      <c r="L16" s="4">
        <v>56</v>
      </c>
      <c r="M16" s="4">
        <v>140</v>
      </c>
      <c r="N16" s="4">
        <v>0.4</v>
      </c>
      <c r="O16" s="4">
        <v>215</v>
      </c>
      <c r="P16" s="4">
        <v>384</v>
      </c>
      <c r="Q16" s="4">
        <v>0.56000000000000005</v>
      </c>
      <c r="R16" s="4">
        <v>90</v>
      </c>
      <c r="S16" s="4">
        <v>105</v>
      </c>
      <c r="T16" s="4">
        <v>0.85699999999999998</v>
      </c>
      <c r="U16" s="4">
        <v>69</v>
      </c>
      <c r="V16" s="4">
        <v>353</v>
      </c>
      <c r="W16" s="4">
        <v>121</v>
      </c>
      <c r="X16" s="4">
        <v>46</v>
      </c>
      <c r="Y16" s="4">
        <v>13</v>
      </c>
      <c r="Z16" s="4">
        <v>75</v>
      </c>
      <c r="AA16" s="4">
        <v>67</v>
      </c>
      <c r="AB16" s="4">
        <v>688</v>
      </c>
      <c r="AC16" s="5">
        <f t="shared" si="0"/>
        <v>1.6133333333333333</v>
      </c>
    </row>
    <row r="17" spans="1:29" ht="13.8">
      <c r="A17" s="1" t="s">
        <v>139</v>
      </c>
      <c r="B17" s="3" t="s">
        <v>140</v>
      </c>
      <c r="C17" s="4" t="s">
        <v>8</v>
      </c>
      <c r="D17" s="4">
        <v>37</v>
      </c>
      <c r="E17" s="4">
        <v>1228</v>
      </c>
      <c r="F17" s="4">
        <v>37</v>
      </c>
      <c r="G17" s="4">
        <v>37</v>
      </c>
      <c r="H17" s="4">
        <v>1228</v>
      </c>
      <c r="I17" s="4">
        <v>197</v>
      </c>
      <c r="J17" s="4">
        <v>415</v>
      </c>
      <c r="K17" s="4">
        <v>0.47499999999999998</v>
      </c>
      <c r="L17" s="4">
        <v>51</v>
      </c>
      <c r="M17" s="4">
        <v>152</v>
      </c>
      <c r="N17" s="4">
        <v>0.33600000000000002</v>
      </c>
      <c r="O17" s="4">
        <v>146</v>
      </c>
      <c r="P17" s="4">
        <v>263</v>
      </c>
      <c r="Q17" s="4">
        <v>0.55500000000000005</v>
      </c>
      <c r="R17" s="4">
        <v>177</v>
      </c>
      <c r="S17" s="4">
        <v>203</v>
      </c>
      <c r="T17" s="4">
        <v>0.872</v>
      </c>
      <c r="U17" s="4">
        <v>34</v>
      </c>
      <c r="V17" s="4">
        <v>137</v>
      </c>
      <c r="W17" s="4">
        <v>159</v>
      </c>
      <c r="X17" s="4">
        <v>45</v>
      </c>
      <c r="Y17" s="4">
        <v>23</v>
      </c>
      <c r="Z17" s="4">
        <v>92</v>
      </c>
      <c r="AA17" s="4">
        <v>77</v>
      </c>
      <c r="AB17" s="4">
        <v>622</v>
      </c>
      <c r="AC17" s="5">
        <f t="shared" si="0"/>
        <v>1.7282608695652173</v>
      </c>
    </row>
    <row r="18" spans="1:29" ht="13.8">
      <c r="A18" s="1" t="s">
        <v>103</v>
      </c>
      <c r="B18" s="3" t="s">
        <v>96</v>
      </c>
      <c r="C18" s="4" t="s">
        <v>8</v>
      </c>
      <c r="D18" s="4">
        <v>40</v>
      </c>
      <c r="E18" s="4">
        <v>1221</v>
      </c>
      <c r="F18" s="4">
        <v>40</v>
      </c>
      <c r="G18" s="4">
        <v>40</v>
      </c>
      <c r="H18" s="4">
        <v>1221</v>
      </c>
      <c r="I18" s="4">
        <v>241</v>
      </c>
      <c r="J18" s="4">
        <v>533</v>
      </c>
      <c r="K18" s="4">
        <v>0.45200000000000001</v>
      </c>
      <c r="L18" s="4">
        <v>47</v>
      </c>
      <c r="M18" s="4">
        <v>126</v>
      </c>
      <c r="N18" s="4">
        <v>0.373</v>
      </c>
      <c r="O18" s="4">
        <v>194</v>
      </c>
      <c r="P18" s="4">
        <v>407</v>
      </c>
      <c r="Q18" s="4">
        <v>0.47699999999999998</v>
      </c>
      <c r="R18" s="4">
        <v>41</v>
      </c>
      <c r="S18" s="4">
        <v>50</v>
      </c>
      <c r="T18" s="4">
        <v>0.82</v>
      </c>
      <c r="U18" s="4">
        <v>35</v>
      </c>
      <c r="V18" s="4">
        <v>200</v>
      </c>
      <c r="W18" s="4">
        <v>171</v>
      </c>
      <c r="X18" s="4">
        <v>47</v>
      </c>
      <c r="Y18" s="4">
        <v>11</v>
      </c>
      <c r="Z18" s="4">
        <v>70</v>
      </c>
      <c r="AA18" s="4">
        <v>89</v>
      </c>
      <c r="AB18" s="4">
        <v>570</v>
      </c>
      <c r="AC18" s="5">
        <f t="shared" si="0"/>
        <v>2.4428571428571431</v>
      </c>
    </row>
    <row r="19" spans="1:29" ht="13.8">
      <c r="A19" s="1" t="s">
        <v>101</v>
      </c>
      <c r="B19" s="3" t="s">
        <v>99</v>
      </c>
      <c r="C19" s="4" t="s">
        <v>8</v>
      </c>
      <c r="D19" s="4">
        <v>41</v>
      </c>
      <c r="E19" s="4">
        <v>1219</v>
      </c>
      <c r="F19" s="4">
        <v>41</v>
      </c>
      <c r="G19" s="4">
        <v>41</v>
      </c>
      <c r="H19" s="4">
        <v>1219</v>
      </c>
      <c r="I19" s="4">
        <v>202</v>
      </c>
      <c r="J19" s="4">
        <v>505</v>
      </c>
      <c r="K19" s="4">
        <v>0.4</v>
      </c>
      <c r="L19" s="4">
        <v>72</v>
      </c>
      <c r="M19" s="4">
        <v>219</v>
      </c>
      <c r="N19" s="4">
        <v>0.32900000000000001</v>
      </c>
      <c r="O19" s="4">
        <v>130</v>
      </c>
      <c r="P19" s="4">
        <v>286</v>
      </c>
      <c r="Q19" s="4">
        <v>0.45500000000000002</v>
      </c>
      <c r="R19" s="4">
        <v>144</v>
      </c>
      <c r="S19" s="4">
        <v>162</v>
      </c>
      <c r="T19" s="4">
        <v>0.88900000000000001</v>
      </c>
      <c r="U19" s="4">
        <v>34</v>
      </c>
      <c r="V19" s="4">
        <v>127</v>
      </c>
      <c r="W19" s="4">
        <v>131</v>
      </c>
      <c r="X19" s="4">
        <v>41</v>
      </c>
      <c r="Y19" s="4">
        <v>2</v>
      </c>
      <c r="Z19" s="4">
        <v>66</v>
      </c>
      <c r="AA19" s="4">
        <v>91</v>
      </c>
      <c r="AB19" s="4">
        <v>620</v>
      </c>
      <c r="AC19" s="5">
        <f t="shared" si="0"/>
        <v>1.9848484848484849</v>
      </c>
    </row>
    <row r="20" spans="1:29" ht="13.8">
      <c r="A20" s="1" t="s">
        <v>132</v>
      </c>
      <c r="B20" s="3" t="s">
        <v>117</v>
      </c>
      <c r="C20" s="4" t="s">
        <v>88</v>
      </c>
      <c r="D20" s="4">
        <v>38</v>
      </c>
      <c r="E20" s="4">
        <v>1214</v>
      </c>
      <c r="F20" s="4">
        <v>38</v>
      </c>
      <c r="G20" s="4">
        <v>38</v>
      </c>
      <c r="H20" s="4">
        <v>1214</v>
      </c>
      <c r="I20" s="4">
        <v>348</v>
      </c>
      <c r="J20" s="4">
        <v>661</v>
      </c>
      <c r="K20" s="4">
        <v>0.52600000000000002</v>
      </c>
      <c r="L20" s="4">
        <v>36</v>
      </c>
      <c r="M20" s="4">
        <v>89</v>
      </c>
      <c r="N20" s="4">
        <v>0.40400000000000003</v>
      </c>
      <c r="O20" s="4">
        <v>312</v>
      </c>
      <c r="P20" s="4">
        <v>572</v>
      </c>
      <c r="Q20" s="4">
        <v>0.54500000000000004</v>
      </c>
      <c r="R20" s="4">
        <v>259</v>
      </c>
      <c r="S20" s="4">
        <v>300</v>
      </c>
      <c r="T20" s="4">
        <v>0.86299999999999999</v>
      </c>
      <c r="U20" s="4">
        <v>68</v>
      </c>
      <c r="V20" s="4">
        <v>356</v>
      </c>
      <c r="W20" s="4">
        <v>122</v>
      </c>
      <c r="X20" s="4">
        <v>54</v>
      </c>
      <c r="Y20" s="4">
        <v>76</v>
      </c>
      <c r="Z20" s="4">
        <v>91</v>
      </c>
      <c r="AA20" s="4">
        <v>72</v>
      </c>
      <c r="AB20" s="4">
        <v>991</v>
      </c>
      <c r="AC20" s="5">
        <f t="shared" si="0"/>
        <v>1.3406593406593406</v>
      </c>
    </row>
    <row r="21" spans="1:29" ht="15.75" customHeight="1">
      <c r="A21" s="1" t="s">
        <v>104</v>
      </c>
      <c r="B21" s="3" t="s">
        <v>96</v>
      </c>
      <c r="C21" s="4" t="s">
        <v>8</v>
      </c>
      <c r="D21" s="4">
        <v>39</v>
      </c>
      <c r="E21" s="4">
        <v>1209</v>
      </c>
      <c r="F21" s="4">
        <v>39</v>
      </c>
      <c r="G21" s="4">
        <v>39</v>
      </c>
      <c r="H21" s="4">
        <v>1209</v>
      </c>
      <c r="I21" s="4">
        <v>272</v>
      </c>
      <c r="J21" s="4">
        <v>557</v>
      </c>
      <c r="K21" s="4">
        <v>0.48799999999999999</v>
      </c>
      <c r="L21" s="4">
        <v>63</v>
      </c>
      <c r="M21" s="4">
        <v>162</v>
      </c>
      <c r="N21" s="4">
        <v>0.38900000000000001</v>
      </c>
      <c r="O21" s="4">
        <v>209</v>
      </c>
      <c r="P21" s="4">
        <v>395</v>
      </c>
      <c r="Q21" s="4">
        <v>0.52900000000000003</v>
      </c>
      <c r="R21" s="4">
        <v>162</v>
      </c>
      <c r="S21" s="4">
        <v>187</v>
      </c>
      <c r="T21" s="4">
        <v>0.86599999999999999</v>
      </c>
      <c r="U21" s="4">
        <v>23</v>
      </c>
      <c r="V21" s="4">
        <v>183</v>
      </c>
      <c r="W21" s="4">
        <v>232</v>
      </c>
      <c r="X21" s="4">
        <v>50</v>
      </c>
      <c r="Y21" s="4">
        <v>25</v>
      </c>
      <c r="Z21" s="4">
        <v>122</v>
      </c>
      <c r="AA21" s="4">
        <v>117</v>
      </c>
      <c r="AB21" s="4">
        <v>769</v>
      </c>
      <c r="AC21" s="5">
        <f t="shared" si="0"/>
        <v>1.901639344262295</v>
      </c>
    </row>
    <row r="22" spans="1:29" ht="15.75" customHeight="1">
      <c r="A22" s="1" t="s">
        <v>115</v>
      </c>
      <c r="B22" s="3" t="s">
        <v>96</v>
      </c>
      <c r="C22" s="4" t="s">
        <v>85</v>
      </c>
      <c r="D22" s="4">
        <v>41</v>
      </c>
      <c r="E22" s="4">
        <v>1196</v>
      </c>
      <c r="F22" s="4">
        <v>41</v>
      </c>
      <c r="G22" s="4">
        <v>41</v>
      </c>
      <c r="H22" s="4">
        <v>1196</v>
      </c>
      <c r="I22" s="4">
        <v>247</v>
      </c>
      <c r="J22" s="4">
        <v>419</v>
      </c>
      <c r="K22" s="4">
        <v>0.58899999999999997</v>
      </c>
      <c r="L22" s="4">
        <v>3</v>
      </c>
      <c r="M22" s="4">
        <v>16</v>
      </c>
      <c r="N22" s="4">
        <v>0.188</v>
      </c>
      <c r="O22" s="4">
        <v>244</v>
      </c>
      <c r="P22" s="4">
        <v>403</v>
      </c>
      <c r="Q22" s="4">
        <v>0.60499999999999998</v>
      </c>
      <c r="R22" s="4">
        <v>109</v>
      </c>
      <c r="S22" s="4">
        <v>151</v>
      </c>
      <c r="T22" s="4">
        <v>0.72199999999999998</v>
      </c>
      <c r="U22" s="4">
        <v>137</v>
      </c>
      <c r="V22" s="4">
        <v>312</v>
      </c>
      <c r="W22" s="4">
        <v>137</v>
      </c>
      <c r="X22" s="4">
        <v>69</v>
      </c>
      <c r="Y22" s="4">
        <v>40</v>
      </c>
      <c r="Z22" s="4">
        <v>104</v>
      </c>
      <c r="AA22" s="4">
        <v>142</v>
      </c>
      <c r="AB22" s="4">
        <v>606</v>
      </c>
      <c r="AC22" s="5">
        <f t="shared" si="0"/>
        <v>1.3173076923076923</v>
      </c>
    </row>
    <row r="23" spans="1:29" ht="15.75" customHeight="1">
      <c r="A23" s="1" t="s">
        <v>109</v>
      </c>
      <c r="B23" s="4" t="s">
        <v>232</v>
      </c>
      <c r="C23" s="4" t="s">
        <v>85</v>
      </c>
      <c r="D23" s="4">
        <v>39</v>
      </c>
      <c r="E23" s="4">
        <v>1195</v>
      </c>
      <c r="F23" s="4">
        <v>39</v>
      </c>
      <c r="G23" s="4">
        <v>39</v>
      </c>
      <c r="H23" s="4">
        <v>1195</v>
      </c>
      <c r="I23" s="4">
        <v>186</v>
      </c>
      <c r="J23" s="4">
        <v>460</v>
      </c>
      <c r="K23" s="4">
        <v>0.40400000000000003</v>
      </c>
      <c r="L23" s="4">
        <v>106</v>
      </c>
      <c r="M23" s="4">
        <v>288</v>
      </c>
      <c r="N23" s="4">
        <v>0.36799999999999999</v>
      </c>
      <c r="O23" s="4">
        <v>80</v>
      </c>
      <c r="P23" s="4">
        <v>172</v>
      </c>
      <c r="Q23" s="4">
        <v>0.46500000000000002</v>
      </c>
      <c r="R23" s="4">
        <v>79</v>
      </c>
      <c r="S23" s="4">
        <v>90</v>
      </c>
      <c r="T23" s="4">
        <v>0.878</v>
      </c>
      <c r="U23" s="4">
        <v>28</v>
      </c>
      <c r="V23" s="4">
        <v>175</v>
      </c>
      <c r="W23" s="4">
        <v>84</v>
      </c>
      <c r="X23" s="4">
        <v>61</v>
      </c>
      <c r="Y23" s="4">
        <v>17</v>
      </c>
      <c r="Z23" s="4">
        <v>47</v>
      </c>
      <c r="AA23" s="4">
        <v>83</v>
      </c>
      <c r="AB23" s="4">
        <v>557</v>
      </c>
      <c r="AC23" s="5">
        <f t="shared" si="0"/>
        <v>1.7872340425531914</v>
      </c>
    </row>
    <row r="24" spans="1:29" ht="15.75" customHeight="1">
      <c r="A24" s="1" t="s">
        <v>158</v>
      </c>
      <c r="B24" s="3" t="s">
        <v>140</v>
      </c>
      <c r="C24" s="4" t="s">
        <v>88</v>
      </c>
      <c r="D24" s="4">
        <v>40</v>
      </c>
      <c r="E24" s="4">
        <v>1182</v>
      </c>
      <c r="F24" s="4">
        <v>40</v>
      </c>
      <c r="G24" s="4">
        <v>40</v>
      </c>
      <c r="H24" s="4">
        <v>1182</v>
      </c>
      <c r="I24" s="4">
        <v>247</v>
      </c>
      <c r="J24" s="4">
        <v>504</v>
      </c>
      <c r="K24" s="4">
        <v>0.49</v>
      </c>
      <c r="L24" s="4">
        <v>17</v>
      </c>
      <c r="M24" s="4">
        <v>51</v>
      </c>
      <c r="N24" s="4">
        <v>0.33300000000000002</v>
      </c>
      <c r="O24" s="4">
        <v>230</v>
      </c>
      <c r="P24" s="4">
        <v>453</v>
      </c>
      <c r="Q24" s="4">
        <v>0.50800000000000001</v>
      </c>
      <c r="R24" s="4">
        <v>166</v>
      </c>
      <c r="S24" s="4">
        <v>231</v>
      </c>
      <c r="T24" s="4">
        <v>0.71899999999999997</v>
      </c>
      <c r="U24" s="4">
        <v>75</v>
      </c>
      <c r="V24" s="4">
        <v>374</v>
      </c>
      <c r="W24" s="4">
        <v>100</v>
      </c>
      <c r="X24" s="4">
        <v>28</v>
      </c>
      <c r="Y24" s="4">
        <v>53</v>
      </c>
      <c r="Z24" s="4">
        <v>115</v>
      </c>
      <c r="AA24" s="4">
        <v>74</v>
      </c>
      <c r="AB24" s="4">
        <v>677</v>
      </c>
      <c r="AC24" s="5">
        <f t="shared" si="0"/>
        <v>0.86956521739130432</v>
      </c>
    </row>
    <row r="25" spans="1:29" ht="15.75" customHeight="1">
      <c r="A25" s="1" t="s">
        <v>169</v>
      </c>
      <c r="B25" s="3" t="s">
        <v>137</v>
      </c>
      <c r="C25" s="4" t="s">
        <v>85</v>
      </c>
      <c r="D25" s="4">
        <v>41</v>
      </c>
      <c r="E25" s="4">
        <v>1174</v>
      </c>
      <c r="F25" s="4">
        <v>41</v>
      </c>
      <c r="G25" s="4">
        <v>41</v>
      </c>
      <c r="H25" s="4">
        <v>1174</v>
      </c>
      <c r="I25" s="4">
        <v>228</v>
      </c>
      <c r="J25" s="4">
        <v>413</v>
      </c>
      <c r="K25" s="4">
        <v>0.55200000000000005</v>
      </c>
      <c r="L25" s="4">
        <v>9</v>
      </c>
      <c r="M25" s="4">
        <v>38</v>
      </c>
      <c r="N25" s="4">
        <v>0.23699999999999999</v>
      </c>
      <c r="O25" s="4">
        <v>219</v>
      </c>
      <c r="P25" s="4">
        <v>375</v>
      </c>
      <c r="Q25" s="4">
        <v>0.58399999999999996</v>
      </c>
      <c r="R25" s="4">
        <v>127</v>
      </c>
      <c r="S25" s="4">
        <v>186</v>
      </c>
      <c r="T25" s="4">
        <v>0.68300000000000005</v>
      </c>
      <c r="U25" s="4">
        <v>78</v>
      </c>
      <c r="V25" s="4">
        <v>286</v>
      </c>
      <c r="W25" s="4">
        <v>99</v>
      </c>
      <c r="X25" s="4">
        <v>61</v>
      </c>
      <c r="Y25" s="4">
        <v>17</v>
      </c>
      <c r="Z25" s="4">
        <v>77</v>
      </c>
      <c r="AA25" s="4">
        <v>116</v>
      </c>
      <c r="AB25" s="4">
        <v>592</v>
      </c>
      <c r="AC25" s="5">
        <f t="shared" si="0"/>
        <v>1.2857142857142858</v>
      </c>
    </row>
    <row r="26" spans="1:29" ht="15.75" customHeight="1">
      <c r="A26" s="1" t="s">
        <v>144</v>
      </c>
      <c r="B26" s="3" t="s">
        <v>128</v>
      </c>
      <c r="C26" s="4" t="s">
        <v>85</v>
      </c>
      <c r="D26" s="4">
        <v>40</v>
      </c>
      <c r="E26" s="4">
        <v>1167</v>
      </c>
      <c r="F26" s="4">
        <v>40</v>
      </c>
      <c r="G26" s="4">
        <v>38</v>
      </c>
      <c r="H26" s="4">
        <v>1167</v>
      </c>
      <c r="I26" s="4">
        <v>138</v>
      </c>
      <c r="J26" s="4">
        <v>295</v>
      </c>
      <c r="K26" s="4">
        <v>0.46800000000000003</v>
      </c>
      <c r="L26" s="4">
        <v>48</v>
      </c>
      <c r="M26" s="4">
        <v>155</v>
      </c>
      <c r="N26" s="4">
        <v>0.31</v>
      </c>
      <c r="O26" s="4">
        <v>90</v>
      </c>
      <c r="P26" s="4">
        <v>140</v>
      </c>
      <c r="Q26" s="4">
        <v>0.64300000000000002</v>
      </c>
      <c r="R26" s="4">
        <v>41</v>
      </c>
      <c r="S26" s="4">
        <v>50</v>
      </c>
      <c r="T26" s="4">
        <v>0.82</v>
      </c>
      <c r="U26" s="4">
        <v>60</v>
      </c>
      <c r="V26" s="4">
        <v>185</v>
      </c>
      <c r="W26" s="4">
        <v>61</v>
      </c>
      <c r="X26" s="4">
        <v>24</v>
      </c>
      <c r="Y26" s="4">
        <v>16</v>
      </c>
      <c r="Z26" s="4">
        <v>56</v>
      </c>
      <c r="AA26" s="4">
        <v>85</v>
      </c>
      <c r="AB26" s="4">
        <v>365</v>
      </c>
      <c r="AC26" s="5">
        <f t="shared" si="0"/>
        <v>1.0892857142857142</v>
      </c>
    </row>
    <row r="27" spans="1:29" ht="15.75" customHeight="1">
      <c r="A27" s="1" t="s">
        <v>90</v>
      </c>
      <c r="B27" s="3" t="s">
        <v>91</v>
      </c>
      <c r="C27" s="4" t="s">
        <v>8</v>
      </c>
      <c r="D27" s="4">
        <v>41</v>
      </c>
      <c r="E27" s="4">
        <v>1163</v>
      </c>
      <c r="F27" s="4">
        <v>41</v>
      </c>
      <c r="G27" s="4">
        <v>41</v>
      </c>
      <c r="H27" s="4">
        <v>1163</v>
      </c>
      <c r="I27" s="4">
        <v>161</v>
      </c>
      <c r="J27" s="4">
        <v>376</v>
      </c>
      <c r="K27" s="4">
        <v>0.42799999999999999</v>
      </c>
      <c r="L27" s="4">
        <v>57</v>
      </c>
      <c r="M27" s="4">
        <v>159</v>
      </c>
      <c r="N27" s="4">
        <v>0.35799999999999998</v>
      </c>
      <c r="O27" s="4">
        <v>104</v>
      </c>
      <c r="P27" s="4">
        <v>217</v>
      </c>
      <c r="Q27" s="4">
        <v>0.47899999999999998</v>
      </c>
      <c r="R27" s="4">
        <v>118</v>
      </c>
      <c r="S27" s="4">
        <v>143</v>
      </c>
      <c r="T27" s="4">
        <v>0.82499999999999996</v>
      </c>
      <c r="U27" s="4">
        <v>47</v>
      </c>
      <c r="V27" s="4">
        <v>146</v>
      </c>
      <c r="W27" s="4">
        <v>235</v>
      </c>
      <c r="X27" s="4">
        <v>66</v>
      </c>
      <c r="Y27" s="4">
        <v>17</v>
      </c>
      <c r="Z27" s="4">
        <v>59</v>
      </c>
      <c r="AA27" s="4">
        <v>105</v>
      </c>
      <c r="AB27" s="4">
        <v>497</v>
      </c>
      <c r="AC27" s="5">
        <f t="shared" si="0"/>
        <v>3.9830508474576272</v>
      </c>
    </row>
    <row r="28" spans="1:29" ht="15.75" customHeight="1">
      <c r="A28" s="1" t="s">
        <v>156</v>
      </c>
      <c r="B28" s="3" t="s">
        <v>157</v>
      </c>
      <c r="C28" s="4" t="s">
        <v>8</v>
      </c>
      <c r="D28" s="4">
        <v>37</v>
      </c>
      <c r="E28" s="4">
        <v>1160</v>
      </c>
      <c r="F28" s="4">
        <v>37</v>
      </c>
      <c r="G28" s="4">
        <v>37</v>
      </c>
      <c r="H28" s="4">
        <v>1160</v>
      </c>
      <c r="I28" s="4">
        <v>266</v>
      </c>
      <c r="J28" s="4">
        <v>583</v>
      </c>
      <c r="K28" s="4">
        <v>0.45600000000000002</v>
      </c>
      <c r="L28" s="4">
        <v>108</v>
      </c>
      <c r="M28" s="4">
        <v>292</v>
      </c>
      <c r="N28" s="4">
        <v>0.37</v>
      </c>
      <c r="O28" s="4">
        <v>158</v>
      </c>
      <c r="P28" s="4">
        <v>291</v>
      </c>
      <c r="Q28" s="4">
        <v>0.54300000000000004</v>
      </c>
      <c r="R28" s="4">
        <v>197</v>
      </c>
      <c r="S28" s="4">
        <v>234</v>
      </c>
      <c r="T28" s="4">
        <v>0.84199999999999997</v>
      </c>
      <c r="U28" s="4">
        <v>8</v>
      </c>
      <c r="V28" s="4">
        <v>145</v>
      </c>
      <c r="W28" s="4">
        <v>316</v>
      </c>
      <c r="X28" s="4">
        <v>35</v>
      </c>
      <c r="Y28" s="4">
        <v>18</v>
      </c>
      <c r="Z28" s="4">
        <v>172</v>
      </c>
      <c r="AA28" s="4">
        <v>120</v>
      </c>
      <c r="AB28" s="4">
        <v>837</v>
      </c>
      <c r="AC28" s="5">
        <f t="shared" si="0"/>
        <v>1.8372093023255813</v>
      </c>
    </row>
    <row r="29" spans="1:29" ht="15.75" customHeight="1">
      <c r="A29" s="1" t="s">
        <v>168</v>
      </c>
      <c r="B29" s="3" t="s">
        <v>137</v>
      </c>
      <c r="C29" s="4" t="s">
        <v>94</v>
      </c>
      <c r="D29" s="4">
        <v>40</v>
      </c>
      <c r="E29" s="4">
        <v>1153</v>
      </c>
      <c r="F29" s="4">
        <v>40</v>
      </c>
      <c r="G29" s="4">
        <v>32</v>
      </c>
      <c r="H29" s="4">
        <v>1153</v>
      </c>
      <c r="I29" s="4">
        <v>201</v>
      </c>
      <c r="J29" s="4">
        <v>438</v>
      </c>
      <c r="K29" s="4">
        <v>0.45900000000000002</v>
      </c>
      <c r="L29" s="4">
        <v>63</v>
      </c>
      <c r="M29" s="4">
        <v>169</v>
      </c>
      <c r="N29" s="4">
        <v>0.373</v>
      </c>
      <c r="O29" s="4">
        <v>138</v>
      </c>
      <c r="P29" s="4">
        <v>269</v>
      </c>
      <c r="Q29" s="4">
        <v>0.51300000000000001</v>
      </c>
      <c r="R29" s="4">
        <v>115</v>
      </c>
      <c r="S29" s="4">
        <v>143</v>
      </c>
      <c r="T29" s="4">
        <v>0.80400000000000005</v>
      </c>
      <c r="U29" s="4">
        <v>23</v>
      </c>
      <c r="V29" s="4">
        <v>94</v>
      </c>
      <c r="W29" s="4">
        <v>104</v>
      </c>
      <c r="X29" s="4">
        <v>34</v>
      </c>
      <c r="Y29" s="4">
        <v>24</v>
      </c>
      <c r="Z29" s="4">
        <v>97</v>
      </c>
      <c r="AA29" s="4">
        <v>63</v>
      </c>
      <c r="AB29" s="4">
        <v>580</v>
      </c>
      <c r="AC29" s="5">
        <f t="shared" si="0"/>
        <v>1.0721649484536082</v>
      </c>
    </row>
    <row r="30" spans="1:29" ht="15.75" customHeight="1">
      <c r="A30" s="1" t="s">
        <v>87</v>
      </c>
      <c r="B30" s="3" t="s">
        <v>84</v>
      </c>
      <c r="C30" s="4" t="s">
        <v>88</v>
      </c>
      <c r="D30" s="4">
        <v>40</v>
      </c>
      <c r="E30" s="4">
        <v>1139</v>
      </c>
      <c r="F30" s="4">
        <v>40</v>
      </c>
      <c r="G30" s="4">
        <v>40</v>
      </c>
      <c r="H30" s="4">
        <v>1139</v>
      </c>
      <c r="I30" s="4">
        <v>199</v>
      </c>
      <c r="J30" s="4">
        <v>403</v>
      </c>
      <c r="K30" s="4">
        <v>0.49399999999999999</v>
      </c>
      <c r="L30" s="4">
        <v>73</v>
      </c>
      <c r="M30" s="4">
        <v>185</v>
      </c>
      <c r="N30" s="4">
        <v>0.39500000000000002</v>
      </c>
      <c r="O30" s="4">
        <v>126</v>
      </c>
      <c r="P30" s="4">
        <v>218</v>
      </c>
      <c r="Q30" s="4">
        <v>0.57799999999999996</v>
      </c>
      <c r="R30" s="4">
        <v>115</v>
      </c>
      <c r="S30" s="4">
        <v>139</v>
      </c>
      <c r="T30" s="4">
        <v>0.82699999999999996</v>
      </c>
      <c r="U30" s="4">
        <v>83</v>
      </c>
      <c r="V30" s="4">
        <v>361</v>
      </c>
      <c r="W30" s="4">
        <v>104</v>
      </c>
      <c r="X30" s="4">
        <v>25</v>
      </c>
      <c r="Y30" s="4">
        <v>45</v>
      </c>
      <c r="Z30" s="4">
        <v>85</v>
      </c>
      <c r="AA30" s="4">
        <v>118</v>
      </c>
      <c r="AB30" s="4">
        <v>586</v>
      </c>
      <c r="AC30" s="5">
        <f t="shared" si="0"/>
        <v>1.223529411764706</v>
      </c>
    </row>
    <row r="31" spans="1:29" ht="15.75" customHeight="1">
      <c r="A31" s="1" t="s">
        <v>224</v>
      </c>
      <c r="B31" s="3" t="s">
        <v>131</v>
      </c>
      <c r="C31" s="4" t="s">
        <v>8</v>
      </c>
      <c r="D31" s="4">
        <v>40</v>
      </c>
      <c r="E31" s="4">
        <v>1127</v>
      </c>
      <c r="F31" s="4">
        <v>40</v>
      </c>
      <c r="G31" s="4">
        <v>27</v>
      </c>
      <c r="H31" s="4">
        <v>1127</v>
      </c>
      <c r="I31" s="4">
        <v>150</v>
      </c>
      <c r="J31" s="4">
        <v>306</v>
      </c>
      <c r="K31" s="4">
        <v>0.49</v>
      </c>
      <c r="L31" s="4">
        <v>45</v>
      </c>
      <c r="M31" s="4">
        <v>126</v>
      </c>
      <c r="N31" s="4">
        <v>0.35699999999999998</v>
      </c>
      <c r="O31" s="4">
        <v>105</v>
      </c>
      <c r="P31" s="4">
        <v>180</v>
      </c>
      <c r="Q31" s="4">
        <v>0.58299999999999996</v>
      </c>
      <c r="R31" s="4">
        <v>100</v>
      </c>
      <c r="S31" s="4">
        <v>117</v>
      </c>
      <c r="T31" s="4">
        <v>0.85499999999999998</v>
      </c>
      <c r="U31" s="4">
        <v>11</v>
      </c>
      <c r="V31" s="4">
        <v>135</v>
      </c>
      <c r="W31" s="4">
        <v>193</v>
      </c>
      <c r="X31" s="4">
        <v>42</v>
      </c>
      <c r="Y31" s="4">
        <v>13</v>
      </c>
      <c r="Z31" s="4">
        <v>86</v>
      </c>
      <c r="AA31" s="4">
        <v>117</v>
      </c>
      <c r="AB31" s="4">
        <v>445</v>
      </c>
      <c r="AC31" s="5">
        <f t="shared" si="0"/>
        <v>2.2441860465116279</v>
      </c>
    </row>
    <row r="32" spans="1:29" ht="15.75" customHeight="1">
      <c r="A32" s="1" t="s">
        <v>138</v>
      </c>
      <c r="B32" s="3" t="s">
        <v>114</v>
      </c>
      <c r="C32" s="4" t="s">
        <v>8</v>
      </c>
      <c r="D32" s="4">
        <v>37</v>
      </c>
      <c r="E32" s="4">
        <v>1104</v>
      </c>
      <c r="F32" s="4">
        <v>37</v>
      </c>
      <c r="G32" s="4">
        <v>37</v>
      </c>
      <c r="H32" s="4">
        <v>1104</v>
      </c>
      <c r="I32" s="4">
        <v>202</v>
      </c>
      <c r="J32" s="4">
        <v>459</v>
      </c>
      <c r="K32" s="4">
        <v>0.44</v>
      </c>
      <c r="L32" s="4">
        <v>69</v>
      </c>
      <c r="M32" s="4">
        <v>206</v>
      </c>
      <c r="N32" s="4">
        <v>0.33500000000000002</v>
      </c>
      <c r="O32" s="4">
        <v>133</v>
      </c>
      <c r="P32" s="4">
        <v>253</v>
      </c>
      <c r="Q32" s="4">
        <v>0.52600000000000002</v>
      </c>
      <c r="R32" s="4">
        <v>94</v>
      </c>
      <c r="S32" s="4">
        <v>109</v>
      </c>
      <c r="T32" s="4">
        <v>0.86199999999999999</v>
      </c>
      <c r="U32" s="4">
        <v>9</v>
      </c>
      <c r="V32" s="4">
        <v>98</v>
      </c>
      <c r="W32" s="4">
        <v>179</v>
      </c>
      <c r="X32" s="4">
        <v>40</v>
      </c>
      <c r="Y32" s="4">
        <v>5</v>
      </c>
      <c r="Z32" s="4">
        <v>83</v>
      </c>
      <c r="AA32" s="4">
        <v>64</v>
      </c>
      <c r="AB32" s="4">
        <v>567</v>
      </c>
      <c r="AC32" s="5">
        <f t="shared" si="0"/>
        <v>2.1566265060240966</v>
      </c>
    </row>
    <row r="33" spans="1:29" ht="15.75" customHeight="1">
      <c r="A33" s="1" t="s">
        <v>113</v>
      </c>
      <c r="B33" s="3" t="s">
        <v>114</v>
      </c>
      <c r="C33" s="4" t="s">
        <v>8</v>
      </c>
      <c r="D33" s="4">
        <v>39</v>
      </c>
      <c r="E33" s="4">
        <v>1103</v>
      </c>
      <c r="F33" s="4">
        <v>39</v>
      </c>
      <c r="G33" s="4">
        <v>39</v>
      </c>
      <c r="H33" s="4">
        <v>1103</v>
      </c>
      <c r="I33" s="4">
        <v>197</v>
      </c>
      <c r="J33" s="4">
        <v>493</v>
      </c>
      <c r="K33" s="4">
        <v>0.4</v>
      </c>
      <c r="L33" s="4">
        <v>52</v>
      </c>
      <c r="M33" s="4">
        <v>184</v>
      </c>
      <c r="N33" s="4">
        <v>0.28299999999999997</v>
      </c>
      <c r="O33" s="4">
        <v>145</v>
      </c>
      <c r="P33" s="4">
        <v>309</v>
      </c>
      <c r="Q33" s="4">
        <v>0.46899999999999997</v>
      </c>
      <c r="R33" s="4">
        <v>113</v>
      </c>
      <c r="S33" s="4">
        <v>140</v>
      </c>
      <c r="T33" s="4">
        <v>0.80700000000000005</v>
      </c>
      <c r="U33" s="4">
        <v>42</v>
      </c>
      <c r="V33" s="4">
        <v>185</v>
      </c>
      <c r="W33" s="4">
        <v>111</v>
      </c>
      <c r="X33" s="4">
        <v>51</v>
      </c>
      <c r="Y33" s="4">
        <v>28</v>
      </c>
      <c r="Z33" s="4">
        <v>98</v>
      </c>
      <c r="AA33" s="4">
        <v>107</v>
      </c>
      <c r="AB33" s="4">
        <v>559</v>
      </c>
      <c r="AC33" s="5">
        <f t="shared" si="0"/>
        <v>1.1326530612244898</v>
      </c>
    </row>
    <row r="34" spans="1:29" ht="15.75" customHeight="1">
      <c r="A34" s="1" t="s">
        <v>173</v>
      </c>
      <c r="B34" s="3" t="s">
        <v>140</v>
      </c>
      <c r="C34" s="4" t="s">
        <v>85</v>
      </c>
      <c r="D34" s="4">
        <v>38</v>
      </c>
      <c r="E34" s="4">
        <v>1076</v>
      </c>
      <c r="F34" s="4">
        <v>38</v>
      </c>
      <c r="G34" s="4">
        <v>38</v>
      </c>
      <c r="H34" s="4">
        <v>1076</v>
      </c>
      <c r="I34" s="4">
        <v>225</v>
      </c>
      <c r="J34" s="4">
        <v>439</v>
      </c>
      <c r="K34" s="4">
        <v>0.51300000000000001</v>
      </c>
      <c r="L34" s="4">
        <v>14</v>
      </c>
      <c r="M34" s="4">
        <v>41</v>
      </c>
      <c r="N34" s="4">
        <v>0.34100000000000003</v>
      </c>
      <c r="O34" s="4">
        <v>211</v>
      </c>
      <c r="P34" s="4">
        <v>398</v>
      </c>
      <c r="Q34" s="4">
        <v>0.53</v>
      </c>
      <c r="R34" s="4">
        <v>121</v>
      </c>
      <c r="S34" s="4">
        <v>185</v>
      </c>
      <c r="T34" s="4">
        <v>0.65400000000000003</v>
      </c>
      <c r="U34" s="4">
        <v>115</v>
      </c>
      <c r="V34" s="4">
        <v>360</v>
      </c>
      <c r="W34" s="4">
        <v>59</v>
      </c>
      <c r="X34" s="4">
        <v>26</v>
      </c>
      <c r="Y34" s="4">
        <v>15</v>
      </c>
      <c r="Z34" s="4">
        <v>65</v>
      </c>
      <c r="AA34" s="4">
        <v>122</v>
      </c>
      <c r="AB34" s="4">
        <v>585</v>
      </c>
      <c r="AC34" s="5">
        <f t="shared" si="0"/>
        <v>0.90769230769230769</v>
      </c>
    </row>
    <row r="35" spans="1:29" ht="15.75" customHeight="1">
      <c r="A35" s="1" t="s">
        <v>198</v>
      </c>
      <c r="B35" s="3" t="s">
        <v>137</v>
      </c>
      <c r="C35" s="4" t="s">
        <v>8</v>
      </c>
      <c r="D35" s="4">
        <v>40</v>
      </c>
      <c r="E35" s="4">
        <v>1065</v>
      </c>
      <c r="F35" s="4">
        <v>40</v>
      </c>
      <c r="G35" s="4">
        <v>38</v>
      </c>
      <c r="H35" s="4">
        <v>1065</v>
      </c>
      <c r="I35" s="4">
        <v>130</v>
      </c>
      <c r="J35" s="4">
        <v>327</v>
      </c>
      <c r="K35" s="4">
        <v>0.39800000000000002</v>
      </c>
      <c r="L35" s="4">
        <v>54</v>
      </c>
      <c r="M35" s="4">
        <v>172</v>
      </c>
      <c r="N35" s="4">
        <v>0.314</v>
      </c>
      <c r="O35" s="4">
        <v>76</v>
      </c>
      <c r="P35" s="4">
        <v>155</v>
      </c>
      <c r="Q35" s="4">
        <v>0.49</v>
      </c>
      <c r="R35" s="4">
        <v>41</v>
      </c>
      <c r="S35" s="4">
        <v>47</v>
      </c>
      <c r="T35" s="4">
        <v>0.872</v>
      </c>
      <c r="U35" s="4">
        <v>9</v>
      </c>
      <c r="V35" s="4">
        <v>76</v>
      </c>
      <c r="W35" s="4">
        <v>205</v>
      </c>
      <c r="X35" s="4">
        <v>37</v>
      </c>
      <c r="Y35" s="4">
        <v>4</v>
      </c>
      <c r="Z35" s="4">
        <v>76</v>
      </c>
      <c r="AA35" s="4">
        <v>109</v>
      </c>
      <c r="AB35" s="4">
        <v>355</v>
      </c>
      <c r="AC35" s="5">
        <f t="shared" si="0"/>
        <v>2.6973684210526314</v>
      </c>
    </row>
    <row r="36" spans="1:29" ht="15.75" customHeight="1">
      <c r="A36" s="1" t="s">
        <v>177</v>
      </c>
      <c r="B36" s="3" t="s">
        <v>131</v>
      </c>
      <c r="C36" s="4" t="s">
        <v>88</v>
      </c>
      <c r="D36" s="4">
        <v>40</v>
      </c>
      <c r="E36" s="4">
        <v>1063</v>
      </c>
      <c r="F36" s="4">
        <v>40</v>
      </c>
      <c r="G36" s="4">
        <v>40</v>
      </c>
      <c r="H36" s="4">
        <v>1063</v>
      </c>
      <c r="I36" s="4">
        <v>224</v>
      </c>
      <c r="J36" s="4">
        <v>411</v>
      </c>
      <c r="K36" s="4">
        <v>0.54500000000000004</v>
      </c>
      <c r="L36" s="4">
        <v>0</v>
      </c>
      <c r="M36" s="4">
        <v>0</v>
      </c>
      <c r="N36" s="4">
        <v>0</v>
      </c>
      <c r="O36" s="4">
        <v>224</v>
      </c>
      <c r="P36" s="4">
        <v>411</v>
      </c>
      <c r="Q36" s="4">
        <v>0.54500000000000004</v>
      </c>
      <c r="R36" s="4">
        <v>139</v>
      </c>
      <c r="S36" s="4">
        <v>186</v>
      </c>
      <c r="T36" s="4">
        <v>0.747</v>
      </c>
      <c r="U36" s="4">
        <v>112</v>
      </c>
      <c r="V36" s="4">
        <v>348</v>
      </c>
      <c r="W36" s="4">
        <v>98</v>
      </c>
      <c r="X36" s="4">
        <v>24</v>
      </c>
      <c r="Y36" s="4">
        <v>59</v>
      </c>
      <c r="Z36" s="4">
        <v>70</v>
      </c>
      <c r="AA36" s="4">
        <v>144</v>
      </c>
      <c r="AB36" s="4">
        <v>587</v>
      </c>
      <c r="AC36" s="5">
        <f t="shared" si="0"/>
        <v>1.4</v>
      </c>
    </row>
    <row r="37" spans="1:29" ht="15.75" customHeight="1">
      <c r="A37" s="1" t="s">
        <v>185</v>
      </c>
      <c r="B37" s="3" t="s">
        <v>137</v>
      </c>
      <c r="C37" s="4" t="s">
        <v>8</v>
      </c>
      <c r="D37" s="4">
        <v>39</v>
      </c>
      <c r="E37" s="4">
        <v>1056</v>
      </c>
      <c r="F37" s="4">
        <v>39</v>
      </c>
      <c r="G37" s="4">
        <v>39</v>
      </c>
      <c r="H37" s="4">
        <v>1056</v>
      </c>
      <c r="I37" s="4">
        <v>115</v>
      </c>
      <c r="J37" s="4">
        <v>309</v>
      </c>
      <c r="K37" s="4">
        <v>0.372</v>
      </c>
      <c r="L37" s="4">
        <v>45</v>
      </c>
      <c r="M37" s="4">
        <v>161</v>
      </c>
      <c r="N37" s="4">
        <v>0.28000000000000003</v>
      </c>
      <c r="O37" s="4">
        <v>70</v>
      </c>
      <c r="P37" s="4">
        <v>148</v>
      </c>
      <c r="Q37" s="4">
        <v>0.47299999999999998</v>
      </c>
      <c r="R37" s="4">
        <v>52</v>
      </c>
      <c r="S37" s="4">
        <v>56</v>
      </c>
      <c r="T37" s="4">
        <v>0.92900000000000005</v>
      </c>
      <c r="U37" s="4">
        <v>27</v>
      </c>
      <c r="V37" s="4">
        <v>112</v>
      </c>
      <c r="W37" s="4">
        <v>112</v>
      </c>
      <c r="X37" s="4">
        <v>65</v>
      </c>
      <c r="Y37" s="4">
        <v>15</v>
      </c>
      <c r="Z37" s="4">
        <v>58</v>
      </c>
      <c r="AA37" s="4">
        <v>119</v>
      </c>
      <c r="AB37" s="4">
        <v>327</v>
      </c>
      <c r="AC37" s="5">
        <f t="shared" si="0"/>
        <v>1.9310344827586208</v>
      </c>
    </row>
    <row r="38" spans="1:29" ht="15.75" customHeight="1">
      <c r="A38" s="1" t="s">
        <v>111</v>
      </c>
      <c r="B38" s="3" t="s">
        <v>240</v>
      </c>
      <c r="C38" s="4" t="s">
        <v>112</v>
      </c>
      <c r="D38" s="4">
        <v>39</v>
      </c>
      <c r="E38" s="4">
        <v>1049</v>
      </c>
      <c r="F38" s="4">
        <v>39</v>
      </c>
      <c r="G38" s="4">
        <v>26</v>
      </c>
      <c r="H38" s="4">
        <v>1049</v>
      </c>
      <c r="I38" s="4">
        <v>134</v>
      </c>
      <c r="J38" s="4">
        <v>338</v>
      </c>
      <c r="K38" s="4">
        <v>0.39600000000000002</v>
      </c>
      <c r="L38" s="4">
        <v>45</v>
      </c>
      <c r="M38" s="4">
        <v>172</v>
      </c>
      <c r="N38" s="4">
        <v>0.26200000000000001</v>
      </c>
      <c r="O38" s="4">
        <v>89</v>
      </c>
      <c r="P38" s="4">
        <v>166</v>
      </c>
      <c r="Q38" s="4">
        <v>0.53600000000000003</v>
      </c>
      <c r="R38" s="4">
        <v>89</v>
      </c>
      <c r="S38" s="4">
        <v>105</v>
      </c>
      <c r="T38" s="4">
        <v>0.84799999999999998</v>
      </c>
      <c r="U38" s="4">
        <v>33</v>
      </c>
      <c r="V38" s="4">
        <v>234</v>
      </c>
      <c r="W38" s="4">
        <v>60</v>
      </c>
      <c r="X38" s="4">
        <v>44</v>
      </c>
      <c r="Y38" s="4">
        <v>29</v>
      </c>
      <c r="Z38" s="4">
        <v>31</v>
      </c>
      <c r="AA38" s="4">
        <v>64</v>
      </c>
      <c r="AB38" s="4">
        <v>402</v>
      </c>
      <c r="AC38" s="5">
        <f t="shared" si="0"/>
        <v>1.935483870967742</v>
      </c>
    </row>
    <row r="39" spans="1:29" ht="15.75" customHeight="1">
      <c r="A39" s="1" t="s">
        <v>148</v>
      </c>
      <c r="B39" s="3" t="s">
        <v>232</v>
      </c>
      <c r="C39" s="4" t="s">
        <v>85</v>
      </c>
      <c r="D39" s="4">
        <v>42</v>
      </c>
      <c r="E39" s="4">
        <v>1030</v>
      </c>
      <c r="F39" s="4">
        <v>42</v>
      </c>
      <c r="G39" s="4">
        <v>42</v>
      </c>
      <c r="H39" s="4">
        <v>1030</v>
      </c>
      <c r="I39" s="4">
        <v>162</v>
      </c>
      <c r="J39" s="4">
        <v>343</v>
      </c>
      <c r="K39" s="4">
        <v>0.47199999999999998</v>
      </c>
      <c r="L39" s="4">
        <v>54</v>
      </c>
      <c r="M39" s="4">
        <v>145</v>
      </c>
      <c r="N39" s="4">
        <v>0.372</v>
      </c>
      <c r="O39" s="4">
        <v>108</v>
      </c>
      <c r="P39" s="4">
        <v>198</v>
      </c>
      <c r="Q39" s="4">
        <v>0.54500000000000004</v>
      </c>
      <c r="R39" s="4">
        <v>47</v>
      </c>
      <c r="S39" s="4">
        <v>68</v>
      </c>
      <c r="T39" s="4">
        <v>0.69099999999999995</v>
      </c>
      <c r="U39" s="4">
        <v>53</v>
      </c>
      <c r="V39" s="4">
        <v>238</v>
      </c>
      <c r="W39" s="4">
        <v>90</v>
      </c>
      <c r="X39" s="4">
        <v>61</v>
      </c>
      <c r="Y39" s="4">
        <v>61</v>
      </c>
      <c r="Z39" s="4">
        <v>80</v>
      </c>
      <c r="AA39" s="4">
        <v>129</v>
      </c>
      <c r="AB39" s="4">
        <v>425</v>
      </c>
      <c r="AC39" s="5">
        <f t="shared" si="0"/>
        <v>1.125</v>
      </c>
    </row>
    <row r="40" spans="1:29" ht="15.75" customHeight="1">
      <c r="A40" s="1" t="s">
        <v>219</v>
      </c>
      <c r="B40" s="3" t="s">
        <v>161</v>
      </c>
      <c r="C40" s="4" t="s">
        <v>85</v>
      </c>
      <c r="D40" s="4">
        <v>41</v>
      </c>
      <c r="E40" s="4">
        <v>1028</v>
      </c>
      <c r="F40" s="4">
        <v>41</v>
      </c>
      <c r="G40" s="4">
        <v>33</v>
      </c>
      <c r="H40" s="4">
        <v>1028</v>
      </c>
      <c r="I40" s="4">
        <v>153</v>
      </c>
      <c r="J40" s="4">
        <v>326</v>
      </c>
      <c r="K40" s="4">
        <v>0.46899999999999997</v>
      </c>
      <c r="L40" s="4">
        <v>41</v>
      </c>
      <c r="M40" s="4">
        <v>129</v>
      </c>
      <c r="N40" s="4">
        <v>0.318</v>
      </c>
      <c r="O40" s="4">
        <v>112</v>
      </c>
      <c r="P40" s="4">
        <v>197</v>
      </c>
      <c r="Q40" s="4">
        <v>0.56899999999999995</v>
      </c>
      <c r="R40" s="4">
        <v>85</v>
      </c>
      <c r="S40" s="4">
        <v>107</v>
      </c>
      <c r="T40" s="4">
        <v>0.79400000000000004</v>
      </c>
      <c r="U40" s="4">
        <v>46</v>
      </c>
      <c r="V40" s="4">
        <v>174</v>
      </c>
      <c r="W40" s="4">
        <v>70</v>
      </c>
      <c r="X40" s="4">
        <v>49</v>
      </c>
      <c r="Y40" s="4">
        <v>10</v>
      </c>
      <c r="Z40" s="4">
        <v>84</v>
      </c>
      <c r="AA40" s="4">
        <v>136</v>
      </c>
      <c r="AB40" s="4">
        <v>432</v>
      </c>
      <c r="AC40" s="5">
        <f t="shared" si="0"/>
        <v>0.83333333333333337</v>
      </c>
    </row>
    <row r="41" spans="1:29" ht="15.75" customHeight="1">
      <c r="A41" s="1" t="s">
        <v>182</v>
      </c>
      <c r="B41" s="3" t="s">
        <v>157</v>
      </c>
      <c r="C41" s="4" t="s">
        <v>183</v>
      </c>
      <c r="D41" s="4">
        <v>37</v>
      </c>
      <c r="E41" s="4">
        <v>1021</v>
      </c>
      <c r="F41" s="4">
        <v>37</v>
      </c>
      <c r="G41" s="4">
        <v>37</v>
      </c>
      <c r="H41" s="4">
        <v>1021</v>
      </c>
      <c r="I41" s="4">
        <v>235</v>
      </c>
      <c r="J41" s="4">
        <v>446</v>
      </c>
      <c r="K41" s="4">
        <v>0.52700000000000002</v>
      </c>
      <c r="L41" s="4">
        <v>42</v>
      </c>
      <c r="M41" s="4">
        <v>100</v>
      </c>
      <c r="N41" s="4">
        <v>0.42</v>
      </c>
      <c r="O41" s="4">
        <v>193</v>
      </c>
      <c r="P41" s="4">
        <v>346</v>
      </c>
      <c r="Q41" s="4">
        <v>0.55800000000000005</v>
      </c>
      <c r="R41" s="4">
        <v>105</v>
      </c>
      <c r="S41" s="4">
        <v>127</v>
      </c>
      <c r="T41" s="4">
        <v>0.82699999999999996</v>
      </c>
      <c r="U41" s="4">
        <v>64</v>
      </c>
      <c r="V41" s="4">
        <v>302</v>
      </c>
      <c r="W41" s="4">
        <v>111</v>
      </c>
      <c r="X41" s="4">
        <v>57</v>
      </c>
      <c r="Y41" s="4">
        <v>48</v>
      </c>
      <c r="Z41" s="4">
        <v>87</v>
      </c>
      <c r="AA41" s="4">
        <v>118</v>
      </c>
      <c r="AB41" s="4">
        <v>617</v>
      </c>
      <c r="AC41" s="5">
        <f t="shared" si="0"/>
        <v>1.2758620689655173</v>
      </c>
    </row>
    <row r="42" spans="1:29" ht="15.75" customHeight="1">
      <c r="A42" s="1" t="s">
        <v>125</v>
      </c>
      <c r="B42" s="3" t="s">
        <v>117</v>
      </c>
      <c r="C42" s="4" t="s">
        <v>8</v>
      </c>
      <c r="D42" s="4">
        <v>39</v>
      </c>
      <c r="E42" s="4">
        <v>1020</v>
      </c>
      <c r="F42" s="4">
        <v>39</v>
      </c>
      <c r="G42" s="4">
        <v>3</v>
      </c>
      <c r="H42" s="4">
        <v>1020</v>
      </c>
      <c r="I42" s="4">
        <v>98</v>
      </c>
      <c r="J42" s="4">
        <v>277</v>
      </c>
      <c r="K42" s="4">
        <v>0.35399999999999998</v>
      </c>
      <c r="L42" s="4">
        <v>64</v>
      </c>
      <c r="M42" s="4">
        <v>198</v>
      </c>
      <c r="N42" s="4">
        <v>0.32300000000000001</v>
      </c>
      <c r="O42" s="4">
        <v>34</v>
      </c>
      <c r="P42" s="4">
        <v>79</v>
      </c>
      <c r="Q42" s="4">
        <v>0.43</v>
      </c>
      <c r="R42" s="4">
        <v>40</v>
      </c>
      <c r="S42" s="4">
        <v>49</v>
      </c>
      <c r="T42" s="4">
        <v>0.81599999999999995</v>
      </c>
      <c r="U42" s="4">
        <v>19</v>
      </c>
      <c r="V42" s="4">
        <v>91</v>
      </c>
      <c r="W42" s="4">
        <v>57</v>
      </c>
      <c r="X42" s="4">
        <v>42</v>
      </c>
      <c r="Y42" s="4">
        <v>5</v>
      </c>
      <c r="Z42" s="4">
        <v>36</v>
      </c>
      <c r="AA42" s="4">
        <v>87</v>
      </c>
      <c r="AB42" s="4">
        <v>300</v>
      </c>
      <c r="AC42" s="5">
        <f t="shared" si="0"/>
        <v>1.5833333333333333</v>
      </c>
    </row>
    <row r="43" spans="1:29" ht="15.75" customHeight="1">
      <c r="A43" s="1" t="s">
        <v>105</v>
      </c>
      <c r="B43" s="3" t="s">
        <v>91</v>
      </c>
      <c r="C43" s="4" t="s">
        <v>85</v>
      </c>
      <c r="D43" s="4">
        <v>41</v>
      </c>
      <c r="E43" s="4">
        <v>988</v>
      </c>
      <c r="F43" s="4">
        <v>41</v>
      </c>
      <c r="G43" s="4">
        <v>41</v>
      </c>
      <c r="H43" s="4">
        <v>988</v>
      </c>
      <c r="I43" s="4">
        <v>105</v>
      </c>
      <c r="J43" s="4">
        <v>285</v>
      </c>
      <c r="K43" s="4">
        <v>0.36799999999999999</v>
      </c>
      <c r="L43" s="4">
        <v>64</v>
      </c>
      <c r="M43" s="4">
        <v>179</v>
      </c>
      <c r="N43" s="4">
        <v>0.35799999999999998</v>
      </c>
      <c r="O43" s="4">
        <v>41</v>
      </c>
      <c r="P43" s="4">
        <v>106</v>
      </c>
      <c r="Q43" s="4">
        <v>0.38700000000000001</v>
      </c>
      <c r="R43" s="4">
        <v>52</v>
      </c>
      <c r="S43" s="4">
        <v>57</v>
      </c>
      <c r="T43" s="4">
        <v>0.91200000000000003</v>
      </c>
      <c r="U43" s="4">
        <v>53</v>
      </c>
      <c r="V43" s="4">
        <v>183</v>
      </c>
      <c r="W43" s="4">
        <v>29</v>
      </c>
      <c r="X43" s="4">
        <v>24</v>
      </c>
      <c r="Y43" s="4">
        <v>9</v>
      </c>
      <c r="Z43" s="4">
        <v>26</v>
      </c>
      <c r="AA43" s="4">
        <v>79</v>
      </c>
      <c r="AB43" s="4">
        <v>326</v>
      </c>
      <c r="AC43" s="5">
        <f t="shared" si="0"/>
        <v>1.1153846153846154</v>
      </c>
    </row>
    <row r="44" spans="1:29" ht="15.75" customHeight="1">
      <c r="A44" s="1" t="s">
        <v>145</v>
      </c>
      <c r="B44" s="3" t="s">
        <v>114</v>
      </c>
      <c r="C44" s="4" t="s">
        <v>8</v>
      </c>
      <c r="D44" s="4">
        <v>39</v>
      </c>
      <c r="E44" s="4">
        <v>978</v>
      </c>
      <c r="F44" s="4">
        <v>39</v>
      </c>
      <c r="G44" s="4">
        <v>31</v>
      </c>
      <c r="H44" s="4">
        <v>978</v>
      </c>
      <c r="I44" s="4">
        <v>123</v>
      </c>
      <c r="J44" s="4">
        <v>278</v>
      </c>
      <c r="K44" s="4">
        <v>0.442</v>
      </c>
      <c r="L44" s="4">
        <v>31</v>
      </c>
      <c r="M44" s="4">
        <v>102</v>
      </c>
      <c r="N44" s="4">
        <v>0.30399999999999999</v>
      </c>
      <c r="O44" s="4">
        <v>92</v>
      </c>
      <c r="P44" s="4">
        <v>176</v>
      </c>
      <c r="Q44" s="4">
        <v>0.52300000000000002</v>
      </c>
      <c r="R44" s="4">
        <v>95</v>
      </c>
      <c r="S44" s="4">
        <v>122</v>
      </c>
      <c r="T44" s="4">
        <v>0.77900000000000003</v>
      </c>
      <c r="U44" s="4">
        <v>16</v>
      </c>
      <c r="V44" s="4">
        <v>84</v>
      </c>
      <c r="W44" s="4">
        <v>152</v>
      </c>
      <c r="X44" s="4">
        <v>37</v>
      </c>
      <c r="Y44" s="4">
        <v>8</v>
      </c>
      <c r="Z44" s="4">
        <v>70</v>
      </c>
      <c r="AA44" s="4">
        <v>117</v>
      </c>
      <c r="AB44" s="4">
        <v>372</v>
      </c>
      <c r="AC44" s="5">
        <f t="shared" si="0"/>
        <v>2.1714285714285713</v>
      </c>
    </row>
    <row r="45" spans="1:29" ht="15.75" customHeight="1">
      <c r="A45" s="1" t="s">
        <v>170</v>
      </c>
      <c r="B45" s="3" t="s">
        <v>107</v>
      </c>
      <c r="C45" s="4" t="s">
        <v>8</v>
      </c>
      <c r="D45" s="4">
        <v>41</v>
      </c>
      <c r="E45" s="4">
        <v>968</v>
      </c>
      <c r="F45" s="4">
        <v>41</v>
      </c>
      <c r="G45" s="4">
        <v>29</v>
      </c>
      <c r="H45" s="4">
        <v>968</v>
      </c>
      <c r="I45" s="4">
        <v>104</v>
      </c>
      <c r="J45" s="4">
        <v>278</v>
      </c>
      <c r="K45" s="4">
        <v>0.374</v>
      </c>
      <c r="L45" s="4">
        <v>40</v>
      </c>
      <c r="M45" s="4">
        <v>121</v>
      </c>
      <c r="N45" s="4">
        <v>0.33100000000000002</v>
      </c>
      <c r="O45" s="4">
        <v>64</v>
      </c>
      <c r="P45" s="4">
        <v>157</v>
      </c>
      <c r="Q45" s="4">
        <v>0.40799999999999997</v>
      </c>
      <c r="R45" s="4">
        <v>45</v>
      </c>
      <c r="S45" s="4">
        <v>58</v>
      </c>
      <c r="T45" s="4">
        <v>0.77600000000000002</v>
      </c>
      <c r="U45" s="4">
        <v>13</v>
      </c>
      <c r="V45" s="4">
        <v>97</v>
      </c>
      <c r="W45" s="4">
        <v>149</v>
      </c>
      <c r="X45" s="4">
        <v>33</v>
      </c>
      <c r="Y45" s="4">
        <v>10</v>
      </c>
      <c r="Z45" s="4">
        <v>74</v>
      </c>
      <c r="AA45" s="4">
        <v>93</v>
      </c>
      <c r="AB45" s="4">
        <v>293</v>
      </c>
      <c r="AC45" s="5">
        <f t="shared" si="0"/>
        <v>2.0135135135135136</v>
      </c>
    </row>
    <row r="46" spans="1:29" ht="15.75" customHeight="1">
      <c r="A46" s="1" t="s">
        <v>89</v>
      </c>
      <c r="B46" s="3" t="s">
        <v>84</v>
      </c>
      <c r="C46" s="4" t="s">
        <v>8</v>
      </c>
      <c r="D46" s="4">
        <v>41</v>
      </c>
      <c r="E46" s="4">
        <v>960</v>
      </c>
      <c r="F46" s="4">
        <v>41</v>
      </c>
      <c r="G46" s="4">
        <v>36</v>
      </c>
      <c r="H46" s="4">
        <v>960</v>
      </c>
      <c r="I46" s="4">
        <v>141</v>
      </c>
      <c r="J46" s="4">
        <v>258</v>
      </c>
      <c r="K46" s="4">
        <v>0.54700000000000004</v>
      </c>
      <c r="L46" s="4">
        <v>17</v>
      </c>
      <c r="M46" s="4">
        <v>50</v>
      </c>
      <c r="N46" s="4">
        <v>0.34</v>
      </c>
      <c r="O46" s="4">
        <v>124</v>
      </c>
      <c r="P46" s="4">
        <v>208</v>
      </c>
      <c r="Q46" s="4">
        <v>0.59599999999999997</v>
      </c>
      <c r="R46" s="4">
        <v>81</v>
      </c>
      <c r="S46" s="4">
        <v>92</v>
      </c>
      <c r="T46" s="4">
        <v>0.88</v>
      </c>
      <c r="U46" s="4">
        <v>24</v>
      </c>
      <c r="V46" s="4">
        <v>103</v>
      </c>
      <c r="W46" s="4">
        <v>138</v>
      </c>
      <c r="X46" s="4">
        <v>34</v>
      </c>
      <c r="Y46" s="4">
        <v>6</v>
      </c>
      <c r="Z46" s="4">
        <v>69</v>
      </c>
      <c r="AA46" s="4">
        <v>122</v>
      </c>
      <c r="AB46" s="4">
        <v>380</v>
      </c>
      <c r="AC46" s="5">
        <f t="shared" si="0"/>
        <v>2</v>
      </c>
    </row>
    <row r="47" spans="1:29" ht="15.75" customHeight="1">
      <c r="A47" s="1" t="s">
        <v>175</v>
      </c>
      <c r="B47" s="3" t="s">
        <v>232</v>
      </c>
      <c r="C47" s="4" t="s">
        <v>8</v>
      </c>
      <c r="D47" s="4">
        <v>37</v>
      </c>
      <c r="E47" s="4">
        <v>960</v>
      </c>
      <c r="F47" s="4">
        <v>37</v>
      </c>
      <c r="G47" s="4">
        <v>36</v>
      </c>
      <c r="H47" s="4">
        <v>960</v>
      </c>
      <c r="I47" s="4">
        <v>176</v>
      </c>
      <c r="J47" s="4">
        <v>385</v>
      </c>
      <c r="K47" s="4">
        <v>0.45700000000000002</v>
      </c>
      <c r="L47" s="4">
        <v>35</v>
      </c>
      <c r="M47" s="4">
        <v>88</v>
      </c>
      <c r="N47" s="4">
        <v>0.39800000000000002</v>
      </c>
      <c r="O47" s="4">
        <v>141</v>
      </c>
      <c r="P47" s="4">
        <v>297</v>
      </c>
      <c r="Q47" s="4">
        <v>0.47499999999999998</v>
      </c>
      <c r="R47" s="4">
        <v>198</v>
      </c>
      <c r="S47" s="4">
        <v>228</v>
      </c>
      <c r="T47" s="4">
        <v>0.86799999999999999</v>
      </c>
      <c r="U47" s="4">
        <v>23</v>
      </c>
      <c r="V47" s="4">
        <v>78</v>
      </c>
      <c r="W47" s="4">
        <v>234</v>
      </c>
      <c r="X47" s="4">
        <v>25</v>
      </c>
      <c r="Y47" s="4">
        <v>2</v>
      </c>
      <c r="Z47" s="4">
        <v>123</v>
      </c>
      <c r="AA47" s="4">
        <v>96</v>
      </c>
      <c r="AB47" s="4">
        <v>585</v>
      </c>
      <c r="AC47" s="5">
        <f t="shared" si="0"/>
        <v>1.9024390243902438</v>
      </c>
    </row>
    <row r="48" spans="1:29" ht="15.75" customHeight="1">
      <c r="A48" s="1" t="s">
        <v>200</v>
      </c>
      <c r="B48" s="4" t="s">
        <v>99</v>
      </c>
      <c r="C48" s="4" t="s">
        <v>8</v>
      </c>
      <c r="D48" s="4">
        <v>30</v>
      </c>
      <c r="E48" s="4">
        <v>950</v>
      </c>
      <c r="F48" s="4">
        <v>30</v>
      </c>
      <c r="G48" s="4">
        <v>24</v>
      </c>
      <c r="H48" s="4">
        <v>950</v>
      </c>
      <c r="I48" s="4">
        <v>156</v>
      </c>
      <c r="J48" s="4">
        <v>342</v>
      </c>
      <c r="K48" s="4">
        <v>0.45600000000000002</v>
      </c>
      <c r="L48" s="4">
        <v>62</v>
      </c>
      <c r="M48" s="4">
        <v>156</v>
      </c>
      <c r="N48" s="4">
        <v>0.39700000000000002</v>
      </c>
      <c r="O48" s="4">
        <v>94</v>
      </c>
      <c r="P48" s="4">
        <v>186</v>
      </c>
      <c r="Q48" s="4">
        <v>0.505</v>
      </c>
      <c r="R48" s="4">
        <v>19</v>
      </c>
      <c r="S48" s="4">
        <v>23</v>
      </c>
      <c r="T48" s="4">
        <v>0.82599999999999996</v>
      </c>
      <c r="U48" s="4">
        <v>16</v>
      </c>
      <c r="V48" s="4">
        <v>52</v>
      </c>
      <c r="W48" s="4">
        <v>55</v>
      </c>
      <c r="X48" s="4">
        <v>52</v>
      </c>
      <c r="Y48" s="4">
        <v>25</v>
      </c>
      <c r="Z48" s="4">
        <v>33</v>
      </c>
      <c r="AA48" s="4">
        <v>68</v>
      </c>
      <c r="AB48" s="4">
        <v>393</v>
      </c>
      <c r="AC48" s="5">
        <f t="shared" si="0"/>
        <v>1.6666666666666667</v>
      </c>
    </row>
    <row r="49" spans="1:29" ht="15.75" customHeight="1">
      <c r="A49" s="1" t="s">
        <v>165</v>
      </c>
      <c r="B49" s="3" t="s">
        <v>161</v>
      </c>
      <c r="C49" s="4" t="s">
        <v>8</v>
      </c>
      <c r="D49" s="4">
        <v>32</v>
      </c>
      <c r="E49" s="4">
        <v>944</v>
      </c>
      <c r="F49" s="4">
        <v>32</v>
      </c>
      <c r="G49" s="4">
        <v>32</v>
      </c>
      <c r="H49" s="4">
        <v>944</v>
      </c>
      <c r="I49" s="4">
        <v>218</v>
      </c>
      <c r="J49" s="4">
        <v>494</v>
      </c>
      <c r="K49" s="4">
        <v>0.441</v>
      </c>
      <c r="L49" s="4">
        <v>105</v>
      </c>
      <c r="M49" s="4">
        <v>273</v>
      </c>
      <c r="N49" s="4">
        <v>0.38500000000000001</v>
      </c>
      <c r="O49" s="4">
        <v>113</v>
      </c>
      <c r="P49" s="4">
        <v>221</v>
      </c>
      <c r="Q49" s="4">
        <v>0.51100000000000001</v>
      </c>
      <c r="R49" s="4">
        <v>126</v>
      </c>
      <c r="S49" s="4">
        <v>143</v>
      </c>
      <c r="T49" s="4">
        <v>0.88100000000000001</v>
      </c>
      <c r="U49" s="4">
        <v>17</v>
      </c>
      <c r="V49" s="4">
        <v>105</v>
      </c>
      <c r="W49" s="4">
        <v>118</v>
      </c>
      <c r="X49" s="4">
        <v>29</v>
      </c>
      <c r="Y49" s="4">
        <v>12</v>
      </c>
      <c r="Z49" s="4">
        <v>99</v>
      </c>
      <c r="AA49" s="4">
        <v>84</v>
      </c>
      <c r="AB49" s="4">
        <v>667</v>
      </c>
      <c r="AC49" s="5">
        <f t="shared" si="0"/>
        <v>1.1919191919191918</v>
      </c>
    </row>
    <row r="50" spans="1:29" ht="15.75" customHeight="1">
      <c r="A50" s="1" t="s">
        <v>194</v>
      </c>
      <c r="B50" s="4" t="s">
        <v>140</v>
      </c>
      <c r="C50" s="4" t="s">
        <v>8</v>
      </c>
      <c r="D50" s="4">
        <v>41</v>
      </c>
      <c r="E50" s="4">
        <v>943</v>
      </c>
      <c r="F50" s="4">
        <v>41</v>
      </c>
      <c r="G50" s="4">
        <v>41</v>
      </c>
      <c r="H50" s="4">
        <v>943</v>
      </c>
      <c r="I50" s="4">
        <v>90</v>
      </c>
      <c r="J50" s="4">
        <v>249</v>
      </c>
      <c r="K50" s="4">
        <v>0.36099999999999999</v>
      </c>
      <c r="L50" s="4">
        <v>60</v>
      </c>
      <c r="M50" s="4">
        <v>179</v>
      </c>
      <c r="N50" s="4">
        <v>0.33500000000000002</v>
      </c>
      <c r="O50" s="4">
        <v>30</v>
      </c>
      <c r="P50" s="4">
        <v>70</v>
      </c>
      <c r="Q50" s="4">
        <v>0.42899999999999999</v>
      </c>
      <c r="R50" s="4">
        <v>35</v>
      </c>
      <c r="S50" s="4">
        <v>41</v>
      </c>
      <c r="T50" s="4">
        <v>0.85399999999999998</v>
      </c>
      <c r="U50" s="4">
        <v>11</v>
      </c>
      <c r="V50" s="4">
        <v>58</v>
      </c>
      <c r="W50" s="4">
        <v>143</v>
      </c>
      <c r="X50" s="4">
        <v>13</v>
      </c>
      <c r="Y50" s="4">
        <v>5</v>
      </c>
      <c r="Z50" s="4">
        <v>84</v>
      </c>
      <c r="AA50" s="4">
        <v>100</v>
      </c>
      <c r="AB50" s="4">
        <v>275</v>
      </c>
      <c r="AC50" s="5">
        <f t="shared" si="0"/>
        <v>1.7023809523809523</v>
      </c>
    </row>
    <row r="51" spans="1:29" ht="15.75" customHeight="1">
      <c r="A51" s="1" t="s">
        <v>245</v>
      </c>
      <c r="B51" s="3" t="s">
        <v>114</v>
      </c>
      <c r="C51" s="4" t="s">
        <v>88</v>
      </c>
      <c r="D51" s="4">
        <v>34</v>
      </c>
      <c r="E51" s="4">
        <v>937</v>
      </c>
      <c r="F51" s="4">
        <v>34</v>
      </c>
      <c r="G51" s="4">
        <v>23</v>
      </c>
      <c r="H51" s="4">
        <v>937</v>
      </c>
      <c r="I51" s="4">
        <v>132</v>
      </c>
      <c r="J51" s="4">
        <v>294</v>
      </c>
      <c r="K51" s="4">
        <v>0.44900000000000001</v>
      </c>
      <c r="L51" s="4">
        <v>50</v>
      </c>
      <c r="M51" s="4">
        <v>141</v>
      </c>
      <c r="N51" s="4">
        <v>0.35499999999999998</v>
      </c>
      <c r="O51" s="4">
        <v>82</v>
      </c>
      <c r="P51" s="4">
        <v>153</v>
      </c>
      <c r="Q51" s="4">
        <v>0.53600000000000003</v>
      </c>
      <c r="R51" s="4">
        <v>30</v>
      </c>
      <c r="S51" s="4">
        <v>36</v>
      </c>
      <c r="T51" s="4">
        <v>0.83299999999999996</v>
      </c>
      <c r="U51" s="4">
        <v>66</v>
      </c>
      <c r="V51" s="4">
        <v>198</v>
      </c>
      <c r="W51" s="4">
        <v>61</v>
      </c>
      <c r="X51" s="4">
        <v>29</v>
      </c>
      <c r="Y51" s="4">
        <v>27</v>
      </c>
      <c r="Z51" s="4">
        <v>54</v>
      </c>
      <c r="AA51" s="4">
        <v>88</v>
      </c>
      <c r="AB51" s="4">
        <v>344</v>
      </c>
      <c r="AC51" s="5">
        <f t="shared" si="0"/>
        <v>1.1296296296296295</v>
      </c>
    </row>
    <row r="52" spans="1:29" ht="15.75" customHeight="1">
      <c r="A52" s="1" t="s">
        <v>278</v>
      </c>
      <c r="B52" s="3" t="s">
        <v>232</v>
      </c>
      <c r="C52" s="4" t="s">
        <v>88</v>
      </c>
      <c r="D52" s="4">
        <v>39</v>
      </c>
      <c r="E52" s="4">
        <v>935</v>
      </c>
      <c r="F52" s="4">
        <v>39</v>
      </c>
      <c r="G52" s="4">
        <v>30</v>
      </c>
      <c r="H52" s="4">
        <v>935</v>
      </c>
      <c r="I52" s="4">
        <v>199</v>
      </c>
      <c r="J52" s="4">
        <v>362</v>
      </c>
      <c r="K52" s="4">
        <v>0.55000000000000004</v>
      </c>
      <c r="L52" s="4">
        <v>52</v>
      </c>
      <c r="M52" s="4">
        <v>143</v>
      </c>
      <c r="N52" s="4">
        <v>0.36399999999999999</v>
      </c>
      <c r="O52" s="4">
        <v>147</v>
      </c>
      <c r="P52" s="4">
        <v>219</v>
      </c>
      <c r="Q52" s="4">
        <v>0.67100000000000004</v>
      </c>
      <c r="R52" s="4">
        <v>61</v>
      </c>
      <c r="S52" s="4">
        <v>75</v>
      </c>
      <c r="T52" s="4">
        <v>0.81299999999999994</v>
      </c>
      <c r="U52" s="4">
        <v>53</v>
      </c>
      <c r="V52" s="4">
        <v>164</v>
      </c>
      <c r="W52" s="4">
        <v>36</v>
      </c>
      <c r="X52" s="4">
        <v>15</v>
      </c>
      <c r="Y52" s="4">
        <v>24</v>
      </c>
      <c r="Z52" s="4">
        <v>28</v>
      </c>
      <c r="AA52" s="4">
        <v>100</v>
      </c>
      <c r="AB52" s="4">
        <v>511</v>
      </c>
      <c r="AC52" s="5">
        <f t="shared" si="0"/>
        <v>1.2857142857142858</v>
      </c>
    </row>
    <row r="53" spans="1:29" ht="15.75" customHeight="1">
      <c r="A53" s="1" t="s">
        <v>120</v>
      </c>
      <c r="B53" s="3" t="s">
        <v>96</v>
      </c>
      <c r="C53" s="4" t="s">
        <v>85</v>
      </c>
      <c r="D53" s="4">
        <v>41</v>
      </c>
      <c r="E53" s="4">
        <v>932</v>
      </c>
      <c r="F53" s="4">
        <v>41</v>
      </c>
      <c r="G53" s="4">
        <v>28</v>
      </c>
      <c r="H53" s="4">
        <v>932</v>
      </c>
      <c r="I53" s="4">
        <v>98</v>
      </c>
      <c r="J53" s="4">
        <v>220</v>
      </c>
      <c r="K53" s="4">
        <v>0.44500000000000001</v>
      </c>
      <c r="L53" s="4">
        <v>51</v>
      </c>
      <c r="M53" s="4">
        <v>132</v>
      </c>
      <c r="N53" s="4">
        <v>0.38600000000000001</v>
      </c>
      <c r="O53" s="4">
        <v>47</v>
      </c>
      <c r="P53" s="4">
        <v>88</v>
      </c>
      <c r="Q53" s="4">
        <v>0.53400000000000003</v>
      </c>
      <c r="R53" s="4">
        <v>12</v>
      </c>
      <c r="S53" s="4">
        <v>22</v>
      </c>
      <c r="T53" s="4">
        <v>0.54500000000000004</v>
      </c>
      <c r="U53" s="4">
        <v>35</v>
      </c>
      <c r="V53" s="4">
        <v>179</v>
      </c>
      <c r="W53" s="4">
        <v>72</v>
      </c>
      <c r="X53" s="4">
        <v>39</v>
      </c>
      <c r="Y53" s="4">
        <v>44</v>
      </c>
      <c r="Z53" s="4">
        <v>29</v>
      </c>
      <c r="AA53" s="4">
        <v>84</v>
      </c>
      <c r="AB53" s="4">
        <v>259</v>
      </c>
      <c r="AC53" s="5">
        <f t="shared" si="0"/>
        <v>2.4827586206896552</v>
      </c>
    </row>
    <row r="54" spans="1:29" ht="15.75" customHeight="1">
      <c r="A54" s="1" t="s">
        <v>188</v>
      </c>
      <c r="B54" s="4" t="s">
        <v>93</v>
      </c>
      <c r="C54" s="4" t="s">
        <v>112</v>
      </c>
      <c r="D54" s="4">
        <v>40</v>
      </c>
      <c r="E54" s="4">
        <v>929</v>
      </c>
      <c r="F54" s="4">
        <v>40</v>
      </c>
      <c r="G54" s="4">
        <v>30</v>
      </c>
      <c r="H54" s="4">
        <v>929</v>
      </c>
      <c r="I54" s="4">
        <v>100</v>
      </c>
      <c r="J54" s="4">
        <v>216</v>
      </c>
      <c r="K54" s="4">
        <v>0.46300000000000002</v>
      </c>
      <c r="L54" s="4">
        <v>42</v>
      </c>
      <c r="M54" s="4">
        <v>107</v>
      </c>
      <c r="N54" s="4">
        <v>0.39300000000000002</v>
      </c>
      <c r="O54" s="4">
        <v>58</v>
      </c>
      <c r="P54" s="4">
        <v>109</v>
      </c>
      <c r="Q54" s="4">
        <v>0.53200000000000003</v>
      </c>
      <c r="R54" s="4">
        <v>13</v>
      </c>
      <c r="S54" s="4">
        <v>18</v>
      </c>
      <c r="T54" s="4">
        <v>0.72199999999999998</v>
      </c>
      <c r="U54" s="4">
        <v>15</v>
      </c>
      <c r="V54" s="4">
        <v>78</v>
      </c>
      <c r="W54" s="4">
        <v>74</v>
      </c>
      <c r="X54" s="4">
        <v>43</v>
      </c>
      <c r="Y54" s="4">
        <v>9</v>
      </c>
      <c r="Z54" s="4">
        <v>39</v>
      </c>
      <c r="AA54" s="4">
        <v>61</v>
      </c>
      <c r="AB54" s="4">
        <v>255</v>
      </c>
      <c r="AC54" s="5">
        <f t="shared" si="0"/>
        <v>1.8974358974358974</v>
      </c>
    </row>
    <row r="55" spans="1:29" ht="15.75" customHeight="1">
      <c r="A55" s="1" t="s">
        <v>244</v>
      </c>
      <c r="B55" s="3" t="s">
        <v>140</v>
      </c>
      <c r="C55" s="4" t="s">
        <v>85</v>
      </c>
      <c r="D55" s="4">
        <v>37</v>
      </c>
      <c r="E55" s="4">
        <v>927</v>
      </c>
      <c r="F55" s="4">
        <v>37</v>
      </c>
      <c r="G55" s="4">
        <v>37</v>
      </c>
      <c r="H55" s="4">
        <v>927</v>
      </c>
      <c r="I55" s="4">
        <v>110</v>
      </c>
      <c r="J55" s="4">
        <v>251</v>
      </c>
      <c r="K55" s="4">
        <v>0.438</v>
      </c>
      <c r="L55" s="4">
        <v>52</v>
      </c>
      <c r="M55" s="4">
        <v>132</v>
      </c>
      <c r="N55" s="4">
        <v>0.39400000000000002</v>
      </c>
      <c r="O55" s="4">
        <v>58</v>
      </c>
      <c r="P55" s="4">
        <v>119</v>
      </c>
      <c r="Q55" s="4">
        <v>0.48699999999999999</v>
      </c>
      <c r="R55" s="4">
        <v>60</v>
      </c>
      <c r="S55" s="4">
        <v>72</v>
      </c>
      <c r="T55" s="4">
        <v>0.83299999999999996</v>
      </c>
      <c r="U55" s="4">
        <v>53</v>
      </c>
      <c r="V55" s="4">
        <v>99</v>
      </c>
      <c r="W55" s="4">
        <v>65</v>
      </c>
      <c r="X55" s="4">
        <v>16</v>
      </c>
      <c r="Y55" s="4">
        <v>6</v>
      </c>
      <c r="Z55" s="4">
        <v>60</v>
      </c>
      <c r="AA55" s="4">
        <v>94</v>
      </c>
      <c r="AB55" s="4">
        <v>332</v>
      </c>
      <c r="AC55" s="5">
        <f t="shared" si="0"/>
        <v>1.0833333333333333</v>
      </c>
    </row>
    <row r="56" spans="1:29" ht="15.75" customHeight="1">
      <c r="A56" s="1" t="s">
        <v>174</v>
      </c>
      <c r="B56" s="3" t="s">
        <v>117</v>
      </c>
      <c r="C56" s="4" t="s">
        <v>85</v>
      </c>
      <c r="D56" s="4">
        <v>38</v>
      </c>
      <c r="E56" s="4">
        <v>925</v>
      </c>
      <c r="F56" s="4">
        <v>38</v>
      </c>
      <c r="G56" s="4">
        <v>38</v>
      </c>
      <c r="H56" s="4">
        <v>925</v>
      </c>
      <c r="I56" s="4">
        <v>183</v>
      </c>
      <c r="J56" s="4">
        <v>287</v>
      </c>
      <c r="K56" s="4">
        <v>0.63800000000000001</v>
      </c>
      <c r="L56" s="4">
        <v>1</v>
      </c>
      <c r="M56" s="4">
        <v>8</v>
      </c>
      <c r="N56" s="4">
        <v>0.125</v>
      </c>
      <c r="O56" s="4">
        <v>182</v>
      </c>
      <c r="P56" s="4">
        <v>279</v>
      </c>
      <c r="Q56" s="4">
        <v>0.65200000000000002</v>
      </c>
      <c r="R56" s="4">
        <v>77</v>
      </c>
      <c r="S56" s="4">
        <v>134</v>
      </c>
      <c r="T56" s="4">
        <v>0.57499999999999996</v>
      </c>
      <c r="U56" s="4">
        <v>84</v>
      </c>
      <c r="V56" s="4">
        <v>244</v>
      </c>
      <c r="W56" s="4">
        <v>34</v>
      </c>
      <c r="X56" s="4">
        <v>24</v>
      </c>
      <c r="Y56" s="4">
        <v>25</v>
      </c>
      <c r="Z56" s="4">
        <v>33</v>
      </c>
      <c r="AA56" s="4">
        <v>121</v>
      </c>
      <c r="AB56" s="4">
        <v>444</v>
      </c>
      <c r="AC56" s="5">
        <f t="shared" si="0"/>
        <v>1.0303030303030303</v>
      </c>
    </row>
    <row r="57" spans="1:29" ht="15.75" customHeight="1">
      <c r="A57" s="1" t="s">
        <v>110</v>
      </c>
      <c r="B57" s="3" t="s">
        <v>91</v>
      </c>
      <c r="C57" s="4" t="s">
        <v>85</v>
      </c>
      <c r="D57" s="4">
        <v>37</v>
      </c>
      <c r="E57" s="4">
        <v>917</v>
      </c>
      <c r="F57" s="4">
        <v>37</v>
      </c>
      <c r="G57" s="4">
        <v>37</v>
      </c>
      <c r="H57" s="4">
        <v>917</v>
      </c>
      <c r="I57" s="4">
        <v>190</v>
      </c>
      <c r="J57" s="4">
        <v>467</v>
      </c>
      <c r="K57" s="4">
        <v>0.40699999999999997</v>
      </c>
      <c r="L57" s="4">
        <v>64</v>
      </c>
      <c r="M57" s="4">
        <v>185</v>
      </c>
      <c r="N57" s="4">
        <v>0.34599999999999997</v>
      </c>
      <c r="O57" s="4">
        <v>126</v>
      </c>
      <c r="P57" s="4">
        <v>282</v>
      </c>
      <c r="Q57" s="4">
        <v>0.44700000000000001</v>
      </c>
      <c r="R57" s="4">
        <v>85</v>
      </c>
      <c r="S57" s="4">
        <v>117</v>
      </c>
      <c r="T57" s="4">
        <v>0.72599999999999998</v>
      </c>
      <c r="U57" s="4">
        <v>24</v>
      </c>
      <c r="V57" s="4">
        <v>122</v>
      </c>
      <c r="W57" s="4">
        <v>81</v>
      </c>
      <c r="X57" s="4">
        <v>61</v>
      </c>
      <c r="Y57" s="4">
        <v>6</v>
      </c>
      <c r="Z57" s="4">
        <v>58</v>
      </c>
      <c r="AA57" s="4">
        <v>48</v>
      </c>
      <c r="AB57" s="4">
        <v>529</v>
      </c>
      <c r="AC57" s="5">
        <f t="shared" si="0"/>
        <v>1.396551724137931</v>
      </c>
    </row>
    <row r="58" spans="1:29" ht="15.75" customHeight="1">
      <c r="A58" s="1" t="s">
        <v>176</v>
      </c>
      <c r="B58" s="3" t="s">
        <v>157</v>
      </c>
      <c r="C58" s="4" t="s">
        <v>8</v>
      </c>
      <c r="D58" s="4">
        <v>40</v>
      </c>
      <c r="E58" s="4">
        <v>904</v>
      </c>
      <c r="F58" s="4">
        <v>40</v>
      </c>
      <c r="G58" s="4">
        <v>3</v>
      </c>
      <c r="H58" s="4">
        <v>904</v>
      </c>
      <c r="I58" s="4">
        <v>100</v>
      </c>
      <c r="J58" s="4">
        <v>213</v>
      </c>
      <c r="K58" s="4">
        <v>0.46899999999999997</v>
      </c>
      <c r="L58" s="4">
        <v>64</v>
      </c>
      <c r="M58" s="4">
        <v>148</v>
      </c>
      <c r="N58" s="4">
        <v>0.432</v>
      </c>
      <c r="O58" s="4">
        <v>36</v>
      </c>
      <c r="P58" s="4">
        <v>65</v>
      </c>
      <c r="Q58" s="4">
        <v>0.55400000000000005</v>
      </c>
      <c r="R58" s="4">
        <v>63</v>
      </c>
      <c r="S58" s="4">
        <v>72</v>
      </c>
      <c r="T58" s="4">
        <v>0.875</v>
      </c>
      <c r="U58" s="4">
        <v>10</v>
      </c>
      <c r="V58" s="4">
        <v>93</v>
      </c>
      <c r="W58" s="4">
        <v>50</v>
      </c>
      <c r="X58" s="4">
        <v>23</v>
      </c>
      <c r="Y58" s="4">
        <v>5</v>
      </c>
      <c r="Z58" s="4">
        <v>28</v>
      </c>
      <c r="AA58" s="4">
        <v>76</v>
      </c>
      <c r="AB58" s="4">
        <v>327</v>
      </c>
      <c r="AC58" s="5">
        <f t="shared" si="0"/>
        <v>1.7857142857142858</v>
      </c>
    </row>
    <row r="59" spans="1:29" ht="15.75" customHeight="1">
      <c r="A59" s="1" t="s">
        <v>126</v>
      </c>
      <c r="B59" s="3" t="s">
        <v>107</v>
      </c>
      <c r="C59" s="4" t="s">
        <v>85</v>
      </c>
      <c r="D59" s="4">
        <v>40</v>
      </c>
      <c r="E59" s="4">
        <v>903</v>
      </c>
      <c r="F59" s="4">
        <v>40</v>
      </c>
      <c r="G59" s="4">
        <v>40</v>
      </c>
      <c r="H59" s="4">
        <v>903</v>
      </c>
      <c r="I59" s="4">
        <v>125</v>
      </c>
      <c r="J59" s="4">
        <v>348</v>
      </c>
      <c r="K59" s="4">
        <v>0.35899999999999999</v>
      </c>
      <c r="L59" s="4">
        <v>46</v>
      </c>
      <c r="M59" s="4">
        <v>145</v>
      </c>
      <c r="N59" s="4">
        <v>0.317</v>
      </c>
      <c r="O59" s="4">
        <v>79</v>
      </c>
      <c r="P59" s="4">
        <v>203</v>
      </c>
      <c r="Q59" s="4">
        <v>0.38900000000000001</v>
      </c>
      <c r="R59" s="4">
        <v>87</v>
      </c>
      <c r="S59" s="4">
        <v>109</v>
      </c>
      <c r="T59" s="4">
        <v>0.79800000000000004</v>
      </c>
      <c r="U59" s="4">
        <v>15</v>
      </c>
      <c r="V59" s="4">
        <v>106</v>
      </c>
      <c r="W59" s="4">
        <v>57</v>
      </c>
      <c r="X59" s="4">
        <v>27</v>
      </c>
      <c r="Y59" s="4">
        <v>8</v>
      </c>
      <c r="Z59" s="4">
        <v>58</v>
      </c>
      <c r="AA59" s="4">
        <v>128</v>
      </c>
      <c r="AB59" s="4">
        <v>386</v>
      </c>
      <c r="AC59" s="5">
        <f t="shared" si="0"/>
        <v>0.98275862068965514</v>
      </c>
    </row>
    <row r="60" spans="1:29" ht="15.75" customHeight="1">
      <c r="A60" s="1" t="s">
        <v>191</v>
      </c>
      <c r="B60" s="3" t="s">
        <v>161</v>
      </c>
      <c r="C60" s="4" t="s">
        <v>85</v>
      </c>
      <c r="D60" s="4">
        <v>33</v>
      </c>
      <c r="E60" s="4">
        <v>888</v>
      </c>
      <c r="F60" s="4">
        <v>33</v>
      </c>
      <c r="G60" s="4">
        <v>19</v>
      </c>
      <c r="H60" s="4">
        <v>888</v>
      </c>
      <c r="I60" s="4">
        <v>102</v>
      </c>
      <c r="J60" s="4">
        <v>277</v>
      </c>
      <c r="K60" s="4">
        <v>0.36799999999999999</v>
      </c>
      <c r="L60" s="4">
        <v>53</v>
      </c>
      <c r="M60" s="4">
        <v>150</v>
      </c>
      <c r="N60" s="4">
        <v>0.35299999999999998</v>
      </c>
      <c r="O60" s="4">
        <v>49</v>
      </c>
      <c r="P60" s="4">
        <v>127</v>
      </c>
      <c r="Q60" s="4">
        <v>0.38600000000000001</v>
      </c>
      <c r="R60" s="4">
        <v>36</v>
      </c>
      <c r="S60" s="4">
        <v>41</v>
      </c>
      <c r="T60" s="4">
        <v>0.878</v>
      </c>
      <c r="U60" s="4">
        <v>32</v>
      </c>
      <c r="V60" s="4">
        <v>153</v>
      </c>
      <c r="W60" s="4">
        <v>86</v>
      </c>
      <c r="X60" s="4">
        <v>15</v>
      </c>
      <c r="Y60" s="4">
        <v>5</v>
      </c>
      <c r="Z60" s="4">
        <v>53</v>
      </c>
      <c r="AA60" s="4">
        <v>65</v>
      </c>
      <c r="AB60" s="4">
        <v>293</v>
      </c>
      <c r="AC60" s="5">
        <f t="shared" si="0"/>
        <v>1.6226415094339623</v>
      </c>
    </row>
    <row r="61" spans="1:29" ht="15.75" customHeight="1">
      <c r="A61" s="1" t="s">
        <v>106</v>
      </c>
      <c r="B61" s="3" t="s">
        <v>107</v>
      </c>
      <c r="C61" s="4" t="s">
        <v>94</v>
      </c>
      <c r="D61" s="4">
        <v>37</v>
      </c>
      <c r="E61" s="4">
        <v>881</v>
      </c>
      <c r="F61" s="4">
        <v>37</v>
      </c>
      <c r="G61" s="4">
        <v>14</v>
      </c>
      <c r="H61" s="4">
        <v>881</v>
      </c>
      <c r="I61" s="4">
        <v>112</v>
      </c>
      <c r="J61" s="4">
        <v>279</v>
      </c>
      <c r="K61" s="4">
        <v>0.40100000000000002</v>
      </c>
      <c r="L61" s="4">
        <v>44</v>
      </c>
      <c r="M61" s="4">
        <v>136</v>
      </c>
      <c r="N61" s="4">
        <v>0.32400000000000001</v>
      </c>
      <c r="O61" s="4">
        <v>68</v>
      </c>
      <c r="P61" s="4">
        <v>143</v>
      </c>
      <c r="Q61" s="4">
        <v>0.47599999999999998</v>
      </c>
      <c r="R61" s="4">
        <v>57</v>
      </c>
      <c r="S61" s="4">
        <v>80</v>
      </c>
      <c r="T61" s="4">
        <v>0.71299999999999997</v>
      </c>
      <c r="U61" s="4">
        <v>38</v>
      </c>
      <c r="V61" s="4">
        <v>119</v>
      </c>
      <c r="W61" s="4">
        <v>53</v>
      </c>
      <c r="X61" s="4">
        <v>46</v>
      </c>
      <c r="Y61" s="4">
        <v>30</v>
      </c>
      <c r="Z61" s="4">
        <v>55</v>
      </c>
      <c r="AA61" s="4">
        <v>55</v>
      </c>
      <c r="AB61" s="4">
        <v>325</v>
      </c>
      <c r="AC61" s="5">
        <f t="shared" si="0"/>
        <v>0.96363636363636362</v>
      </c>
    </row>
    <row r="62" spans="1:29" ht="15.75" customHeight="1">
      <c r="A62" s="1" t="s">
        <v>153</v>
      </c>
      <c r="B62" s="3" t="s">
        <v>91</v>
      </c>
      <c r="C62" s="4" t="s">
        <v>88</v>
      </c>
      <c r="D62" s="4">
        <v>40</v>
      </c>
      <c r="E62" s="4">
        <v>879</v>
      </c>
      <c r="F62" s="4">
        <v>40</v>
      </c>
      <c r="G62" s="4">
        <v>40</v>
      </c>
      <c r="H62" s="4">
        <v>879</v>
      </c>
      <c r="I62" s="4">
        <v>58</v>
      </c>
      <c r="J62" s="4">
        <v>134</v>
      </c>
      <c r="K62" s="4">
        <v>0.433</v>
      </c>
      <c r="L62" s="4">
        <v>19</v>
      </c>
      <c r="M62" s="4">
        <v>65</v>
      </c>
      <c r="N62" s="4">
        <v>0.29199999999999998</v>
      </c>
      <c r="O62" s="4">
        <v>39</v>
      </c>
      <c r="P62" s="4">
        <v>69</v>
      </c>
      <c r="Q62" s="4">
        <v>0.56499999999999995</v>
      </c>
      <c r="R62" s="4">
        <v>7</v>
      </c>
      <c r="S62" s="4">
        <v>15</v>
      </c>
      <c r="T62" s="4">
        <v>0.46700000000000003</v>
      </c>
      <c r="U62" s="4">
        <v>46</v>
      </c>
      <c r="V62" s="4">
        <v>220</v>
      </c>
      <c r="W62" s="4">
        <v>48</v>
      </c>
      <c r="X62" s="4">
        <v>24</v>
      </c>
      <c r="Y62" s="4">
        <v>68</v>
      </c>
      <c r="Z62" s="4">
        <v>20</v>
      </c>
      <c r="AA62" s="4">
        <v>90</v>
      </c>
      <c r="AB62" s="4">
        <v>142</v>
      </c>
      <c r="AC62" s="5">
        <f t="shared" si="0"/>
        <v>2.4</v>
      </c>
    </row>
    <row r="63" spans="1:29" ht="15.75" customHeight="1">
      <c r="A63" s="1" t="s">
        <v>163</v>
      </c>
      <c r="B63" s="3" t="s">
        <v>161</v>
      </c>
      <c r="C63" s="4" t="s">
        <v>8</v>
      </c>
      <c r="D63" s="4">
        <v>30</v>
      </c>
      <c r="E63" s="4">
        <v>859</v>
      </c>
      <c r="F63" s="4">
        <v>30</v>
      </c>
      <c r="G63" s="4">
        <v>28</v>
      </c>
      <c r="H63" s="4">
        <v>859</v>
      </c>
      <c r="I63" s="4">
        <v>71</v>
      </c>
      <c r="J63" s="4">
        <v>131</v>
      </c>
      <c r="K63" s="4">
        <v>0.54200000000000004</v>
      </c>
      <c r="L63" s="4">
        <v>37</v>
      </c>
      <c r="M63" s="4">
        <v>87</v>
      </c>
      <c r="N63" s="4">
        <v>0.42499999999999999</v>
      </c>
      <c r="O63" s="4">
        <v>34</v>
      </c>
      <c r="P63" s="4">
        <v>44</v>
      </c>
      <c r="Q63" s="4">
        <v>0.77300000000000002</v>
      </c>
      <c r="R63" s="4">
        <v>10</v>
      </c>
      <c r="S63" s="4">
        <v>13</v>
      </c>
      <c r="T63" s="4">
        <v>0.76900000000000002</v>
      </c>
      <c r="U63" s="4">
        <v>8</v>
      </c>
      <c r="V63" s="4">
        <v>94</v>
      </c>
      <c r="W63" s="4">
        <v>166</v>
      </c>
      <c r="X63" s="4">
        <v>42</v>
      </c>
      <c r="Y63" s="4">
        <v>12</v>
      </c>
      <c r="Z63" s="4">
        <v>52</v>
      </c>
      <c r="AA63" s="4">
        <v>60</v>
      </c>
      <c r="AB63" s="4">
        <v>189</v>
      </c>
      <c r="AC63" s="5">
        <f t="shared" si="0"/>
        <v>3.1923076923076925</v>
      </c>
    </row>
    <row r="64" spans="1:29" ht="15.75" customHeight="1">
      <c r="A64" s="1" t="s">
        <v>129</v>
      </c>
      <c r="B64" s="3" t="s">
        <v>107</v>
      </c>
      <c r="C64" s="4" t="s">
        <v>8</v>
      </c>
      <c r="D64" s="4">
        <v>37</v>
      </c>
      <c r="E64" s="4">
        <v>851</v>
      </c>
      <c r="F64" s="4">
        <v>37</v>
      </c>
      <c r="G64" s="4">
        <v>17</v>
      </c>
      <c r="H64" s="4">
        <v>851</v>
      </c>
      <c r="I64" s="4">
        <v>103</v>
      </c>
      <c r="J64" s="4">
        <v>300</v>
      </c>
      <c r="K64" s="4">
        <v>0.34300000000000003</v>
      </c>
      <c r="L64" s="4">
        <v>13</v>
      </c>
      <c r="M64" s="4">
        <v>76</v>
      </c>
      <c r="N64" s="4">
        <v>0.17100000000000001</v>
      </c>
      <c r="O64" s="4">
        <v>90</v>
      </c>
      <c r="P64" s="4">
        <v>224</v>
      </c>
      <c r="Q64" s="4">
        <v>0.40200000000000002</v>
      </c>
      <c r="R64" s="4">
        <v>45</v>
      </c>
      <c r="S64" s="4">
        <v>75</v>
      </c>
      <c r="T64" s="4">
        <v>0.6</v>
      </c>
      <c r="U64" s="4">
        <v>17</v>
      </c>
      <c r="V64" s="4">
        <v>96</v>
      </c>
      <c r="W64" s="4">
        <v>115</v>
      </c>
      <c r="X64" s="4">
        <v>41</v>
      </c>
      <c r="Y64" s="4">
        <v>25</v>
      </c>
      <c r="Z64" s="4">
        <v>51</v>
      </c>
      <c r="AA64" s="4">
        <v>67</v>
      </c>
      <c r="AB64" s="4">
        <v>264</v>
      </c>
      <c r="AC64" s="5">
        <f t="shared" si="0"/>
        <v>2.2549019607843137</v>
      </c>
    </row>
    <row r="65" spans="1:29" ht="15.75" customHeight="1">
      <c r="A65" s="1" t="s">
        <v>250</v>
      </c>
      <c r="B65" s="3" t="s">
        <v>84</v>
      </c>
      <c r="C65" s="4" t="s">
        <v>8</v>
      </c>
      <c r="D65" s="4">
        <v>28</v>
      </c>
      <c r="E65" s="4">
        <v>850</v>
      </c>
      <c r="F65" s="4">
        <v>28</v>
      </c>
      <c r="G65" s="4">
        <v>27</v>
      </c>
      <c r="H65" s="4">
        <v>850</v>
      </c>
      <c r="I65" s="4">
        <v>143</v>
      </c>
      <c r="J65" s="4">
        <v>357</v>
      </c>
      <c r="K65" s="4">
        <v>0.40100000000000002</v>
      </c>
      <c r="L65" s="4">
        <v>55</v>
      </c>
      <c r="M65" s="4">
        <v>185</v>
      </c>
      <c r="N65" s="4">
        <v>0.29699999999999999</v>
      </c>
      <c r="O65" s="4">
        <v>88</v>
      </c>
      <c r="P65" s="4">
        <v>172</v>
      </c>
      <c r="Q65" s="4">
        <v>0.51200000000000001</v>
      </c>
      <c r="R65" s="4">
        <v>83</v>
      </c>
      <c r="S65" s="4">
        <v>93</v>
      </c>
      <c r="T65" s="4">
        <v>0.89200000000000002</v>
      </c>
      <c r="U65" s="4">
        <v>20</v>
      </c>
      <c r="V65" s="4">
        <v>111</v>
      </c>
      <c r="W65" s="4">
        <v>134</v>
      </c>
      <c r="X65" s="4">
        <v>21</v>
      </c>
      <c r="Y65" s="4">
        <v>9</v>
      </c>
      <c r="Z65" s="4">
        <v>78</v>
      </c>
      <c r="AA65" s="4">
        <v>49</v>
      </c>
      <c r="AB65" s="4">
        <v>424</v>
      </c>
      <c r="AC65" s="5">
        <f t="shared" si="0"/>
        <v>1.7179487179487178</v>
      </c>
    </row>
    <row r="66" spans="1:29" ht="15.75" customHeight="1">
      <c r="A66" s="1" t="s">
        <v>143</v>
      </c>
      <c r="B66" s="3" t="s">
        <v>91</v>
      </c>
      <c r="C66" s="4" t="s">
        <v>85</v>
      </c>
      <c r="D66" s="4">
        <v>38</v>
      </c>
      <c r="E66" s="4">
        <v>849</v>
      </c>
      <c r="F66" s="4">
        <v>38</v>
      </c>
      <c r="G66" s="4">
        <v>0</v>
      </c>
      <c r="H66" s="4">
        <v>849</v>
      </c>
      <c r="I66" s="4">
        <v>159</v>
      </c>
      <c r="J66" s="4">
        <v>374</v>
      </c>
      <c r="K66" s="4">
        <v>0.42499999999999999</v>
      </c>
      <c r="L66" s="4">
        <v>92</v>
      </c>
      <c r="M66" s="4">
        <v>232</v>
      </c>
      <c r="N66" s="4">
        <v>0.39700000000000002</v>
      </c>
      <c r="O66" s="4">
        <v>67</v>
      </c>
      <c r="P66" s="4">
        <v>142</v>
      </c>
      <c r="Q66" s="4">
        <v>0.47199999999999998</v>
      </c>
      <c r="R66" s="4">
        <v>82</v>
      </c>
      <c r="S66" s="4">
        <v>101</v>
      </c>
      <c r="T66" s="4">
        <v>0.81200000000000006</v>
      </c>
      <c r="U66" s="4">
        <v>40</v>
      </c>
      <c r="V66" s="4">
        <v>148</v>
      </c>
      <c r="W66" s="4">
        <v>46</v>
      </c>
      <c r="X66" s="4">
        <v>23</v>
      </c>
      <c r="Y66" s="4">
        <v>4</v>
      </c>
      <c r="Z66" s="4">
        <v>30</v>
      </c>
      <c r="AA66" s="4">
        <v>81</v>
      </c>
      <c r="AB66" s="4">
        <v>492</v>
      </c>
      <c r="AC66" s="5">
        <f t="shared" si="0"/>
        <v>1.5333333333333334</v>
      </c>
    </row>
    <row r="67" spans="1:29" ht="15.75" customHeight="1">
      <c r="A67" s="1" t="s">
        <v>152</v>
      </c>
      <c r="B67" s="3" t="s">
        <v>131</v>
      </c>
      <c r="C67" s="4" t="s">
        <v>8</v>
      </c>
      <c r="D67" s="4">
        <v>41</v>
      </c>
      <c r="E67" s="4">
        <v>847</v>
      </c>
      <c r="F67" s="4">
        <v>41</v>
      </c>
      <c r="G67" s="4">
        <v>18</v>
      </c>
      <c r="H67" s="4">
        <v>847</v>
      </c>
      <c r="I67" s="4">
        <v>91</v>
      </c>
      <c r="J67" s="4">
        <v>216</v>
      </c>
      <c r="K67" s="4">
        <v>0.42099999999999999</v>
      </c>
      <c r="L67" s="4">
        <v>34</v>
      </c>
      <c r="M67" s="4">
        <v>110</v>
      </c>
      <c r="N67" s="4">
        <v>0.309</v>
      </c>
      <c r="O67" s="4">
        <v>57</v>
      </c>
      <c r="P67" s="4">
        <v>106</v>
      </c>
      <c r="Q67" s="4">
        <v>0.53800000000000003</v>
      </c>
      <c r="R67" s="4">
        <v>41</v>
      </c>
      <c r="S67" s="4">
        <v>48</v>
      </c>
      <c r="T67" s="4">
        <v>0.85399999999999998</v>
      </c>
      <c r="U67" s="4">
        <v>16</v>
      </c>
      <c r="V67" s="4">
        <v>56</v>
      </c>
      <c r="W67" s="4">
        <v>67</v>
      </c>
      <c r="X67" s="4">
        <v>33</v>
      </c>
      <c r="Y67" s="4">
        <v>11</v>
      </c>
      <c r="Z67" s="4">
        <v>39</v>
      </c>
      <c r="AA67" s="4">
        <v>102</v>
      </c>
      <c r="AB67" s="4">
        <v>257</v>
      </c>
      <c r="AC67" s="5">
        <f t="shared" si="0"/>
        <v>1.7179487179487178</v>
      </c>
    </row>
    <row r="68" spans="1:29" ht="15.75" customHeight="1">
      <c r="A68" s="1" t="s">
        <v>122</v>
      </c>
      <c r="B68" s="3" t="s">
        <v>114</v>
      </c>
      <c r="C68" s="4" t="s">
        <v>88</v>
      </c>
      <c r="D68" s="4">
        <v>32</v>
      </c>
      <c r="E68" s="4">
        <v>843</v>
      </c>
      <c r="F68" s="4">
        <v>32</v>
      </c>
      <c r="G68" s="4">
        <v>31</v>
      </c>
      <c r="H68" s="4">
        <v>843</v>
      </c>
      <c r="I68" s="4">
        <v>214</v>
      </c>
      <c r="J68" s="4">
        <v>445</v>
      </c>
      <c r="K68" s="4">
        <v>0.48099999999999998</v>
      </c>
      <c r="L68" s="4">
        <v>20</v>
      </c>
      <c r="M68" s="4">
        <v>71</v>
      </c>
      <c r="N68" s="4">
        <v>0.28199999999999997</v>
      </c>
      <c r="O68" s="4">
        <v>194</v>
      </c>
      <c r="P68" s="4">
        <v>374</v>
      </c>
      <c r="Q68" s="4">
        <v>0.51900000000000002</v>
      </c>
      <c r="R68" s="4">
        <v>90</v>
      </c>
      <c r="S68" s="4">
        <v>120</v>
      </c>
      <c r="T68" s="4">
        <v>0.75</v>
      </c>
      <c r="U68" s="4">
        <v>83</v>
      </c>
      <c r="V68" s="4">
        <v>285</v>
      </c>
      <c r="W68" s="4">
        <v>55</v>
      </c>
      <c r="X68" s="4">
        <v>31</v>
      </c>
      <c r="Y68" s="4">
        <v>47</v>
      </c>
      <c r="Z68" s="4">
        <v>86</v>
      </c>
      <c r="AA68" s="4">
        <v>91</v>
      </c>
      <c r="AB68" s="4">
        <v>538</v>
      </c>
      <c r="AC68" s="5">
        <f t="shared" ref="AC68:AC131" si="1">IF(Z68=0,"",W68/Z68)</f>
        <v>0.63953488372093026</v>
      </c>
    </row>
    <row r="69" spans="1:29" ht="15.75" customHeight="1">
      <c r="A69" s="1" t="s">
        <v>124</v>
      </c>
      <c r="B69" s="3" t="s">
        <v>91</v>
      </c>
      <c r="C69" s="4" t="s">
        <v>94</v>
      </c>
      <c r="D69" s="4">
        <v>41</v>
      </c>
      <c r="E69" s="4">
        <v>812</v>
      </c>
      <c r="F69" s="4">
        <v>41</v>
      </c>
      <c r="G69" s="4">
        <v>10</v>
      </c>
      <c r="H69" s="4">
        <v>812</v>
      </c>
      <c r="I69" s="4">
        <v>94</v>
      </c>
      <c r="J69" s="4">
        <v>230</v>
      </c>
      <c r="K69" s="4">
        <v>0.40899999999999997</v>
      </c>
      <c r="L69" s="4">
        <v>25</v>
      </c>
      <c r="M69" s="4">
        <v>91</v>
      </c>
      <c r="N69" s="4">
        <v>0.27500000000000002</v>
      </c>
      <c r="O69" s="4">
        <v>69</v>
      </c>
      <c r="P69" s="4">
        <v>139</v>
      </c>
      <c r="Q69" s="4">
        <v>0.496</v>
      </c>
      <c r="R69" s="4">
        <v>40</v>
      </c>
      <c r="S69" s="4">
        <v>52</v>
      </c>
      <c r="T69" s="4">
        <v>0.76900000000000002</v>
      </c>
      <c r="U69" s="4">
        <v>63</v>
      </c>
      <c r="V69" s="4">
        <v>183</v>
      </c>
      <c r="W69" s="4">
        <v>57</v>
      </c>
      <c r="X69" s="4">
        <v>31</v>
      </c>
      <c r="Y69" s="4">
        <v>10</v>
      </c>
      <c r="Z69" s="4">
        <v>40</v>
      </c>
      <c r="AA69" s="4">
        <v>96</v>
      </c>
      <c r="AB69" s="4">
        <v>253</v>
      </c>
      <c r="AC69" s="5">
        <f t="shared" si="1"/>
        <v>1.425</v>
      </c>
    </row>
    <row r="70" spans="1:29" ht="15.75" customHeight="1">
      <c r="A70" s="1" t="s">
        <v>251</v>
      </c>
      <c r="B70" s="3" t="s">
        <v>131</v>
      </c>
      <c r="C70" s="4" t="s">
        <v>119</v>
      </c>
      <c r="D70" s="4">
        <v>32</v>
      </c>
      <c r="E70" s="4">
        <v>784</v>
      </c>
      <c r="F70" s="4">
        <v>32</v>
      </c>
      <c r="G70" s="4">
        <v>31</v>
      </c>
      <c r="H70" s="4">
        <v>784</v>
      </c>
      <c r="I70" s="4">
        <v>129</v>
      </c>
      <c r="J70" s="4">
        <v>303</v>
      </c>
      <c r="K70" s="4">
        <v>0.42599999999999999</v>
      </c>
      <c r="L70" s="4">
        <v>28</v>
      </c>
      <c r="M70" s="4">
        <v>110</v>
      </c>
      <c r="N70" s="4">
        <v>0.255</v>
      </c>
      <c r="O70" s="4">
        <v>101</v>
      </c>
      <c r="P70" s="4">
        <v>193</v>
      </c>
      <c r="Q70" s="4">
        <v>0.52300000000000002</v>
      </c>
      <c r="R70" s="4">
        <v>53</v>
      </c>
      <c r="S70" s="4">
        <v>68</v>
      </c>
      <c r="T70" s="4">
        <v>0.77900000000000003</v>
      </c>
      <c r="U70" s="4">
        <v>42</v>
      </c>
      <c r="V70" s="4">
        <v>205</v>
      </c>
      <c r="W70" s="4">
        <v>67</v>
      </c>
      <c r="X70" s="4">
        <v>27</v>
      </c>
      <c r="Y70" s="4">
        <v>24</v>
      </c>
      <c r="Z70" s="4">
        <v>52</v>
      </c>
      <c r="AA70" s="4">
        <v>95</v>
      </c>
      <c r="AB70" s="4">
        <v>339</v>
      </c>
      <c r="AC70" s="5">
        <f t="shared" si="1"/>
        <v>1.2884615384615385</v>
      </c>
    </row>
    <row r="71" spans="1:29" ht="15.75" customHeight="1">
      <c r="A71" s="1" t="s">
        <v>211</v>
      </c>
      <c r="B71" s="3" t="s">
        <v>157</v>
      </c>
      <c r="C71" s="4" t="s">
        <v>8</v>
      </c>
      <c r="D71" s="4">
        <v>41</v>
      </c>
      <c r="E71" s="4">
        <v>779</v>
      </c>
      <c r="F71" s="4">
        <v>41</v>
      </c>
      <c r="G71" s="4">
        <v>38</v>
      </c>
      <c r="H71" s="4">
        <v>779</v>
      </c>
      <c r="I71" s="4">
        <v>79</v>
      </c>
      <c r="J71" s="4">
        <v>182</v>
      </c>
      <c r="K71" s="4">
        <v>0.434</v>
      </c>
      <c r="L71" s="4">
        <v>33</v>
      </c>
      <c r="M71" s="4">
        <v>93</v>
      </c>
      <c r="N71" s="4">
        <v>0.35499999999999998</v>
      </c>
      <c r="O71" s="4">
        <v>46</v>
      </c>
      <c r="P71" s="4">
        <v>89</v>
      </c>
      <c r="Q71" s="4">
        <v>0.51700000000000002</v>
      </c>
      <c r="R71" s="4">
        <v>29</v>
      </c>
      <c r="S71" s="4">
        <v>35</v>
      </c>
      <c r="T71" s="4">
        <v>0.82899999999999996</v>
      </c>
      <c r="U71" s="4">
        <v>36</v>
      </c>
      <c r="V71" s="4">
        <v>126</v>
      </c>
      <c r="W71" s="4">
        <v>29</v>
      </c>
      <c r="X71" s="4">
        <v>22</v>
      </c>
      <c r="Y71" s="4">
        <v>7</v>
      </c>
      <c r="Z71" s="4">
        <v>30</v>
      </c>
      <c r="AA71" s="4">
        <v>109</v>
      </c>
      <c r="AB71" s="4">
        <v>220</v>
      </c>
      <c r="AC71" s="5">
        <f t="shared" si="1"/>
        <v>0.96666666666666667</v>
      </c>
    </row>
    <row r="72" spans="1:29" ht="15.75" customHeight="1">
      <c r="A72" s="1" t="s">
        <v>86</v>
      </c>
      <c r="B72" s="3" t="s">
        <v>84</v>
      </c>
      <c r="C72" s="4" t="s">
        <v>8</v>
      </c>
      <c r="D72" s="4">
        <v>38</v>
      </c>
      <c r="E72" s="4">
        <v>779</v>
      </c>
      <c r="F72" s="4">
        <v>38</v>
      </c>
      <c r="G72" s="4">
        <v>18</v>
      </c>
      <c r="H72" s="4">
        <v>779</v>
      </c>
      <c r="I72" s="4">
        <v>112</v>
      </c>
      <c r="J72" s="4">
        <v>265</v>
      </c>
      <c r="K72" s="4">
        <v>0.42299999999999999</v>
      </c>
      <c r="L72" s="4">
        <v>83</v>
      </c>
      <c r="M72" s="4">
        <v>211</v>
      </c>
      <c r="N72" s="4">
        <v>0.39300000000000002</v>
      </c>
      <c r="O72" s="4">
        <v>29</v>
      </c>
      <c r="P72" s="4">
        <v>54</v>
      </c>
      <c r="Q72" s="4">
        <v>0.53700000000000003</v>
      </c>
      <c r="R72" s="4">
        <v>22</v>
      </c>
      <c r="S72" s="4">
        <v>26</v>
      </c>
      <c r="T72" s="4">
        <v>0.84599999999999997</v>
      </c>
      <c r="U72" s="4">
        <v>14</v>
      </c>
      <c r="V72" s="4">
        <v>77</v>
      </c>
      <c r="W72" s="4">
        <v>90</v>
      </c>
      <c r="X72" s="4">
        <v>30</v>
      </c>
      <c r="Y72" s="4">
        <v>5</v>
      </c>
      <c r="Z72" s="4">
        <v>63</v>
      </c>
      <c r="AA72" s="4">
        <v>59</v>
      </c>
      <c r="AB72" s="4">
        <v>329</v>
      </c>
      <c r="AC72" s="5">
        <f t="shared" si="1"/>
        <v>1.4285714285714286</v>
      </c>
    </row>
    <row r="73" spans="1:29" ht="15.75" customHeight="1">
      <c r="A73" s="1" t="s">
        <v>214</v>
      </c>
      <c r="B73" s="3" t="s">
        <v>157</v>
      </c>
      <c r="C73" s="4" t="s">
        <v>85</v>
      </c>
      <c r="D73" s="4">
        <v>40</v>
      </c>
      <c r="E73" s="4">
        <v>769</v>
      </c>
      <c r="F73" s="4">
        <v>40</v>
      </c>
      <c r="G73" s="4">
        <v>31</v>
      </c>
      <c r="H73" s="4">
        <v>769</v>
      </c>
      <c r="I73" s="4">
        <v>92</v>
      </c>
      <c r="J73" s="4">
        <v>177</v>
      </c>
      <c r="K73" s="4">
        <v>0.52</v>
      </c>
      <c r="L73" s="4">
        <v>5</v>
      </c>
      <c r="M73" s="4">
        <v>18</v>
      </c>
      <c r="N73" s="4">
        <v>0.27800000000000002</v>
      </c>
      <c r="O73" s="4">
        <v>87</v>
      </c>
      <c r="P73" s="4">
        <v>159</v>
      </c>
      <c r="Q73" s="4">
        <v>0.54700000000000004</v>
      </c>
      <c r="R73" s="4">
        <v>77</v>
      </c>
      <c r="S73" s="4">
        <v>103</v>
      </c>
      <c r="T73" s="4">
        <v>0.748</v>
      </c>
      <c r="U73" s="4">
        <v>67</v>
      </c>
      <c r="V73" s="4">
        <v>188</v>
      </c>
      <c r="W73" s="4">
        <v>40</v>
      </c>
      <c r="X73" s="4">
        <v>35</v>
      </c>
      <c r="Y73" s="4">
        <v>19</v>
      </c>
      <c r="Z73" s="4">
        <v>31</v>
      </c>
      <c r="AA73" s="4">
        <v>87</v>
      </c>
      <c r="AB73" s="4">
        <v>266</v>
      </c>
      <c r="AC73" s="5">
        <f t="shared" si="1"/>
        <v>1.2903225806451613</v>
      </c>
    </row>
    <row r="74" spans="1:29" ht="15.75" customHeight="1">
      <c r="A74" s="1" t="s">
        <v>230</v>
      </c>
      <c r="B74" s="3" t="s">
        <v>140</v>
      </c>
      <c r="C74" s="4" t="s">
        <v>8</v>
      </c>
      <c r="D74" s="4">
        <v>39</v>
      </c>
      <c r="E74" s="4">
        <v>768</v>
      </c>
      <c r="F74" s="4">
        <v>39</v>
      </c>
      <c r="G74" s="4">
        <v>6</v>
      </c>
      <c r="H74" s="4">
        <v>768</v>
      </c>
      <c r="I74" s="4">
        <v>85</v>
      </c>
      <c r="J74" s="4">
        <v>215</v>
      </c>
      <c r="K74" s="4">
        <v>0.39500000000000002</v>
      </c>
      <c r="L74" s="4">
        <v>22</v>
      </c>
      <c r="M74" s="4">
        <v>77</v>
      </c>
      <c r="N74" s="4">
        <v>0.28599999999999998</v>
      </c>
      <c r="O74" s="4">
        <v>63</v>
      </c>
      <c r="P74" s="4">
        <v>138</v>
      </c>
      <c r="Q74" s="4">
        <v>0.45700000000000002</v>
      </c>
      <c r="R74" s="4">
        <v>59</v>
      </c>
      <c r="S74" s="4">
        <v>97</v>
      </c>
      <c r="T74" s="4">
        <v>0.60799999999999998</v>
      </c>
      <c r="U74" s="4">
        <v>20</v>
      </c>
      <c r="V74" s="4">
        <v>116</v>
      </c>
      <c r="W74" s="4">
        <v>75</v>
      </c>
      <c r="X74" s="4">
        <v>21</v>
      </c>
      <c r="Y74" s="4">
        <v>6</v>
      </c>
      <c r="Z74" s="4">
        <v>42</v>
      </c>
      <c r="AA74" s="4">
        <v>75</v>
      </c>
      <c r="AB74" s="4">
        <v>251</v>
      </c>
      <c r="AC74" s="5">
        <f t="shared" si="1"/>
        <v>1.7857142857142858</v>
      </c>
    </row>
    <row r="75" spans="1:29" ht="15.75" customHeight="1">
      <c r="A75" s="1" t="s">
        <v>256</v>
      </c>
      <c r="B75" s="4" t="s">
        <v>107</v>
      </c>
      <c r="C75" s="4" t="s">
        <v>8</v>
      </c>
      <c r="D75" s="4">
        <v>27</v>
      </c>
      <c r="E75" s="4">
        <v>766</v>
      </c>
      <c r="F75" s="4">
        <v>27</v>
      </c>
      <c r="G75" s="4">
        <v>27</v>
      </c>
      <c r="H75" s="4">
        <v>766</v>
      </c>
      <c r="I75" s="4">
        <v>119</v>
      </c>
      <c r="J75" s="4">
        <v>281</v>
      </c>
      <c r="K75" s="4">
        <v>0.42299999999999999</v>
      </c>
      <c r="L75" s="4">
        <v>29</v>
      </c>
      <c r="M75" s="4">
        <v>92</v>
      </c>
      <c r="N75" s="4">
        <v>0.315</v>
      </c>
      <c r="O75" s="4">
        <v>90</v>
      </c>
      <c r="P75" s="4">
        <v>189</v>
      </c>
      <c r="Q75" s="4">
        <v>0.47599999999999998</v>
      </c>
      <c r="R75" s="4">
        <v>47</v>
      </c>
      <c r="S75" s="4">
        <v>65</v>
      </c>
      <c r="T75" s="4">
        <v>0.72299999999999998</v>
      </c>
      <c r="U75" s="4">
        <v>14</v>
      </c>
      <c r="V75" s="4">
        <v>50</v>
      </c>
      <c r="W75" s="4">
        <v>125</v>
      </c>
      <c r="X75" s="4">
        <v>45</v>
      </c>
      <c r="Y75" s="4">
        <v>9</v>
      </c>
      <c r="Z75" s="4">
        <v>59</v>
      </c>
      <c r="AA75" s="4">
        <v>77</v>
      </c>
      <c r="AB75" s="4">
        <v>314</v>
      </c>
      <c r="AC75" s="5">
        <f t="shared" si="1"/>
        <v>2.1186440677966103</v>
      </c>
    </row>
    <row r="76" spans="1:29" ht="15.75" customHeight="1">
      <c r="A76" s="1" t="s">
        <v>212</v>
      </c>
      <c r="B76" s="3" t="s">
        <v>157</v>
      </c>
      <c r="C76" s="4" t="s">
        <v>119</v>
      </c>
      <c r="D76" s="4">
        <v>40</v>
      </c>
      <c r="E76" s="4">
        <v>764</v>
      </c>
      <c r="F76" s="4">
        <v>40</v>
      </c>
      <c r="G76" s="4">
        <v>11</v>
      </c>
      <c r="H76" s="4">
        <v>764</v>
      </c>
      <c r="I76" s="4">
        <v>93</v>
      </c>
      <c r="J76" s="4">
        <v>146</v>
      </c>
      <c r="K76" s="4">
        <v>0.63700000000000001</v>
      </c>
      <c r="L76" s="4">
        <v>0</v>
      </c>
      <c r="M76" s="4">
        <v>0</v>
      </c>
      <c r="N76" s="4">
        <v>0</v>
      </c>
      <c r="O76" s="4">
        <v>93</v>
      </c>
      <c r="P76" s="4">
        <v>146</v>
      </c>
      <c r="Q76" s="4">
        <v>0.63700000000000001</v>
      </c>
      <c r="R76" s="4">
        <v>34</v>
      </c>
      <c r="S76" s="4">
        <v>52</v>
      </c>
      <c r="T76" s="4">
        <v>0.65400000000000003</v>
      </c>
      <c r="U76" s="4">
        <v>61</v>
      </c>
      <c r="V76" s="4">
        <v>194</v>
      </c>
      <c r="W76" s="4">
        <v>22</v>
      </c>
      <c r="X76" s="4">
        <v>22</v>
      </c>
      <c r="Y76" s="4">
        <v>33</v>
      </c>
      <c r="Z76" s="4">
        <v>31</v>
      </c>
      <c r="AA76" s="4">
        <v>80</v>
      </c>
      <c r="AB76" s="4">
        <v>220</v>
      </c>
      <c r="AC76" s="5">
        <f t="shared" si="1"/>
        <v>0.70967741935483875</v>
      </c>
    </row>
    <row r="77" spans="1:29" ht="15.75" customHeight="1">
      <c r="A77" s="1" t="s">
        <v>142</v>
      </c>
      <c r="B77" s="3" t="s">
        <v>232</v>
      </c>
      <c r="C77" s="4" t="s">
        <v>85</v>
      </c>
      <c r="D77" s="4">
        <v>41</v>
      </c>
      <c r="E77" s="4">
        <v>749</v>
      </c>
      <c r="F77" s="4">
        <v>41</v>
      </c>
      <c r="G77" s="4">
        <v>27</v>
      </c>
      <c r="H77" s="4">
        <v>749</v>
      </c>
      <c r="I77" s="4">
        <v>65</v>
      </c>
      <c r="J77" s="4">
        <v>178</v>
      </c>
      <c r="K77" s="4">
        <v>0.36499999999999999</v>
      </c>
      <c r="L77" s="4">
        <v>21</v>
      </c>
      <c r="M77" s="4">
        <v>85</v>
      </c>
      <c r="N77" s="4">
        <v>0.247</v>
      </c>
      <c r="O77" s="4">
        <v>44</v>
      </c>
      <c r="P77" s="4">
        <v>93</v>
      </c>
      <c r="Q77" s="4">
        <v>0.47299999999999998</v>
      </c>
      <c r="R77" s="4">
        <v>23</v>
      </c>
      <c r="S77" s="4">
        <v>36</v>
      </c>
      <c r="T77" s="4">
        <v>0.63900000000000001</v>
      </c>
      <c r="U77" s="4">
        <v>34</v>
      </c>
      <c r="V77" s="4">
        <v>88</v>
      </c>
      <c r="W77" s="4">
        <v>30</v>
      </c>
      <c r="X77" s="4">
        <v>29</v>
      </c>
      <c r="Y77" s="4">
        <v>5</v>
      </c>
      <c r="Z77" s="4">
        <v>26</v>
      </c>
      <c r="AA77" s="4">
        <v>92</v>
      </c>
      <c r="AB77" s="4">
        <v>174</v>
      </c>
      <c r="AC77" s="5">
        <f t="shared" si="1"/>
        <v>1.1538461538461537</v>
      </c>
    </row>
    <row r="78" spans="1:29" ht="15.75" customHeight="1">
      <c r="A78" s="1" t="s">
        <v>118</v>
      </c>
      <c r="B78" s="3" t="s">
        <v>93</v>
      </c>
      <c r="C78" s="4" t="s">
        <v>119</v>
      </c>
      <c r="D78" s="4">
        <v>33</v>
      </c>
      <c r="E78" s="4">
        <v>738</v>
      </c>
      <c r="F78" s="4">
        <v>33</v>
      </c>
      <c r="G78" s="4">
        <v>24</v>
      </c>
      <c r="H78" s="4">
        <v>738</v>
      </c>
      <c r="I78" s="4">
        <v>118</v>
      </c>
      <c r="J78" s="4">
        <v>196</v>
      </c>
      <c r="K78" s="4">
        <v>0.60199999999999998</v>
      </c>
      <c r="L78" s="4">
        <v>2</v>
      </c>
      <c r="M78" s="4">
        <v>8</v>
      </c>
      <c r="N78" s="4">
        <v>0.25</v>
      </c>
      <c r="O78" s="4">
        <v>116</v>
      </c>
      <c r="P78" s="4">
        <v>188</v>
      </c>
      <c r="Q78" s="4">
        <v>0.61699999999999999</v>
      </c>
      <c r="R78" s="4">
        <v>42</v>
      </c>
      <c r="S78" s="4">
        <v>53</v>
      </c>
      <c r="T78" s="4">
        <v>0.79200000000000004</v>
      </c>
      <c r="U78" s="4">
        <v>75</v>
      </c>
      <c r="V78" s="4">
        <v>223</v>
      </c>
      <c r="W78" s="4">
        <v>40</v>
      </c>
      <c r="X78" s="4">
        <v>28</v>
      </c>
      <c r="Y78" s="4">
        <v>40</v>
      </c>
      <c r="Z78" s="4">
        <v>30</v>
      </c>
      <c r="AA78" s="4">
        <v>79</v>
      </c>
      <c r="AB78" s="4">
        <v>280</v>
      </c>
      <c r="AC78" s="5">
        <f t="shared" si="1"/>
        <v>1.3333333333333333</v>
      </c>
    </row>
    <row r="79" spans="1:29" ht="15.75" customHeight="1">
      <c r="A79" s="1" t="s">
        <v>208</v>
      </c>
      <c r="B79" s="3" t="s">
        <v>140</v>
      </c>
      <c r="C79" s="4" t="s">
        <v>88</v>
      </c>
      <c r="D79" s="4">
        <v>41</v>
      </c>
      <c r="E79" s="4">
        <v>707</v>
      </c>
      <c r="F79" s="4">
        <v>41</v>
      </c>
      <c r="G79" s="4">
        <v>1</v>
      </c>
      <c r="H79" s="4">
        <v>707</v>
      </c>
      <c r="I79" s="4">
        <v>102</v>
      </c>
      <c r="J79" s="4">
        <v>188</v>
      </c>
      <c r="K79" s="4">
        <v>0.54300000000000004</v>
      </c>
      <c r="L79" s="4">
        <v>0</v>
      </c>
      <c r="M79" s="4">
        <v>0</v>
      </c>
      <c r="N79" s="4">
        <v>0</v>
      </c>
      <c r="O79" s="4">
        <v>102</v>
      </c>
      <c r="P79" s="4">
        <v>188</v>
      </c>
      <c r="Q79" s="4">
        <v>0.54300000000000004</v>
      </c>
      <c r="R79" s="4">
        <v>59</v>
      </c>
      <c r="S79" s="4">
        <v>81</v>
      </c>
      <c r="T79" s="4">
        <v>0.72799999999999998</v>
      </c>
      <c r="U79" s="4">
        <v>47</v>
      </c>
      <c r="V79" s="4">
        <v>185</v>
      </c>
      <c r="W79" s="4">
        <v>44</v>
      </c>
      <c r="X79" s="4">
        <v>21</v>
      </c>
      <c r="Y79" s="4">
        <v>31</v>
      </c>
      <c r="Z79" s="4">
        <v>36</v>
      </c>
      <c r="AA79" s="4">
        <v>54</v>
      </c>
      <c r="AB79" s="4">
        <v>263</v>
      </c>
      <c r="AC79" s="5">
        <f t="shared" si="1"/>
        <v>1.2222222222222223</v>
      </c>
    </row>
    <row r="80" spans="1:29" ht="15.75" customHeight="1">
      <c r="A80" s="1" t="s">
        <v>184</v>
      </c>
      <c r="B80" s="3" t="s">
        <v>107</v>
      </c>
      <c r="C80" s="4" t="s">
        <v>88</v>
      </c>
      <c r="D80" s="4">
        <v>33</v>
      </c>
      <c r="E80" s="4">
        <v>700</v>
      </c>
      <c r="F80" s="4">
        <v>33</v>
      </c>
      <c r="G80" s="4">
        <v>23</v>
      </c>
      <c r="H80" s="4">
        <v>700</v>
      </c>
      <c r="I80" s="4">
        <v>125</v>
      </c>
      <c r="J80" s="4">
        <v>217</v>
      </c>
      <c r="K80" s="4">
        <v>0.57599999999999996</v>
      </c>
      <c r="L80" s="4">
        <v>0</v>
      </c>
      <c r="M80" s="4">
        <v>2</v>
      </c>
      <c r="N80" s="4">
        <v>0</v>
      </c>
      <c r="O80" s="4">
        <v>125</v>
      </c>
      <c r="P80" s="4">
        <v>215</v>
      </c>
      <c r="Q80" s="4">
        <v>0.58099999999999996</v>
      </c>
      <c r="R80" s="4">
        <v>84</v>
      </c>
      <c r="S80" s="4">
        <v>123</v>
      </c>
      <c r="T80" s="4">
        <v>0.68300000000000005</v>
      </c>
      <c r="U80" s="4">
        <v>53</v>
      </c>
      <c r="V80" s="4">
        <v>194</v>
      </c>
      <c r="W80" s="4">
        <v>54</v>
      </c>
      <c r="X80" s="4">
        <v>25</v>
      </c>
      <c r="Y80" s="4">
        <v>26</v>
      </c>
      <c r="Z80" s="4">
        <v>53</v>
      </c>
      <c r="AA80" s="4">
        <v>99</v>
      </c>
      <c r="AB80" s="4">
        <v>334</v>
      </c>
      <c r="AC80" s="5">
        <f t="shared" si="1"/>
        <v>1.0188679245283019</v>
      </c>
    </row>
    <row r="81" spans="1:29" ht="15.75" customHeight="1">
      <c r="A81" s="1" t="s">
        <v>181</v>
      </c>
      <c r="B81" s="3" t="s">
        <v>117</v>
      </c>
      <c r="C81" s="4" t="s">
        <v>85</v>
      </c>
      <c r="D81" s="4">
        <v>41</v>
      </c>
      <c r="E81" s="4">
        <v>691</v>
      </c>
      <c r="F81" s="4">
        <v>41</v>
      </c>
      <c r="G81" s="4">
        <v>40</v>
      </c>
      <c r="H81" s="4">
        <v>691</v>
      </c>
      <c r="I81" s="4">
        <v>57</v>
      </c>
      <c r="J81" s="4">
        <v>129</v>
      </c>
      <c r="K81" s="4">
        <v>0.442</v>
      </c>
      <c r="L81" s="4">
        <v>20</v>
      </c>
      <c r="M81" s="4">
        <v>72</v>
      </c>
      <c r="N81" s="4">
        <v>0.27800000000000002</v>
      </c>
      <c r="O81" s="4">
        <v>37</v>
      </c>
      <c r="P81" s="4">
        <v>57</v>
      </c>
      <c r="Q81" s="4">
        <v>0.64900000000000002</v>
      </c>
      <c r="R81" s="4">
        <v>12</v>
      </c>
      <c r="S81" s="4">
        <v>18</v>
      </c>
      <c r="T81" s="4">
        <v>0.66700000000000004</v>
      </c>
      <c r="U81" s="4">
        <v>32</v>
      </c>
      <c r="V81" s="4">
        <v>105</v>
      </c>
      <c r="W81" s="4">
        <v>45</v>
      </c>
      <c r="X81" s="4">
        <v>26</v>
      </c>
      <c r="Y81" s="4">
        <v>12</v>
      </c>
      <c r="Z81" s="4">
        <v>28</v>
      </c>
      <c r="AA81" s="4">
        <v>65</v>
      </c>
      <c r="AB81" s="4">
        <v>146</v>
      </c>
      <c r="AC81" s="5">
        <f t="shared" si="1"/>
        <v>1.6071428571428572</v>
      </c>
    </row>
    <row r="82" spans="1:29" ht="15.75" customHeight="1">
      <c r="A82" s="1" t="s">
        <v>236</v>
      </c>
      <c r="B82" s="3" t="s">
        <v>131</v>
      </c>
      <c r="C82" s="4" t="s">
        <v>8</v>
      </c>
      <c r="D82" s="4">
        <v>34</v>
      </c>
      <c r="E82" s="4">
        <v>690</v>
      </c>
      <c r="F82" s="4">
        <v>34</v>
      </c>
      <c r="G82" s="4">
        <v>23</v>
      </c>
      <c r="H82" s="4">
        <v>690</v>
      </c>
      <c r="I82" s="4">
        <v>165</v>
      </c>
      <c r="J82" s="4">
        <v>382</v>
      </c>
      <c r="K82" s="4">
        <v>0.432</v>
      </c>
      <c r="L82" s="4">
        <v>68</v>
      </c>
      <c r="M82" s="4">
        <v>203</v>
      </c>
      <c r="N82" s="4">
        <v>0.33500000000000002</v>
      </c>
      <c r="O82" s="4">
        <v>97</v>
      </c>
      <c r="P82" s="4">
        <v>179</v>
      </c>
      <c r="Q82" s="4">
        <v>0.54200000000000004</v>
      </c>
      <c r="R82" s="4">
        <v>70</v>
      </c>
      <c r="S82" s="4">
        <v>88</v>
      </c>
      <c r="T82" s="4">
        <v>0.79500000000000004</v>
      </c>
      <c r="U82" s="4">
        <v>12</v>
      </c>
      <c r="V82" s="4">
        <v>51</v>
      </c>
      <c r="W82" s="4">
        <v>62</v>
      </c>
      <c r="X82" s="4">
        <v>24</v>
      </c>
      <c r="Y82" s="4">
        <v>7</v>
      </c>
      <c r="Z82" s="4">
        <v>51</v>
      </c>
      <c r="AA82" s="4">
        <v>86</v>
      </c>
      <c r="AB82" s="4">
        <v>468</v>
      </c>
      <c r="AC82" s="5">
        <f t="shared" si="1"/>
        <v>1.2156862745098038</v>
      </c>
    </row>
    <row r="83" spans="1:29" ht="15.75" customHeight="1">
      <c r="A83" s="1" t="s">
        <v>257</v>
      </c>
      <c r="B83" s="3" t="s">
        <v>161</v>
      </c>
      <c r="C83" s="4" t="s">
        <v>85</v>
      </c>
      <c r="D83" s="4">
        <v>29</v>
      </c>
      <c r="E83" s="4">
        <v>688</v>
      </c>
      <c r="F83" s="4">
        <v>29</v>
      </c>
      <c r="G83" s="4">
        <v>23</v>
      </c>
      <c r="H83" s="4">
        <v>688</v>
      </c>
      <c r="I83" s="4">
        <v>132</v>
      </c>
      <c r="J83" s="4">
        <v>302</v>
      </c>
      <c r="K83" s="4">
        <v>0.437</v>
      </c>
      <c r="L83" s="4">
        <v>20</v>
      </c>
      <c r="M83" s="4">
        <v>68</v>
      </c>
      <c r="N83" s="4">
        <v>0.29399999999999998</v>
      </c>
      <c r="O83" s="4">
        <v>112</v>
      </c>
      <c r="P83" s="4">
        <v>234</v>
      </c>
      <c r="Q83" s="4">
        <v>0.47899999999999998</v>
      </c>
      <c r="R83" s="4">
        <v>79</v>
      </c>
      <c r="S83" s="4">
        <v>111</v>
      </c>
      <c r="T83" s="4">
        <v>0.71199999999999997</v>
      </c>
      <c r="U83" s="4">
        <v>52</v>
      </c>
      <c r="V83" s="4">
        <v>191</v>
      </c>
      <c r="W83" s="4">
        <v>47</v>
      </c>
      <c r="X83" s="4">
        <v>23</v>
      </c>
      <c r="Y83" s="4">
        <v>21</v>
      </c>
      <c r="Z83" s="4">
        <v>49</v>
      </c>
      <c r="AA83" s="4">
        <v>73</v>
      </c>
      <c r="AB83" s="4">
        <v>363</v>
      </c>
      <c r="AC83" s="5">
        <f t="shared" si="1"/>
        <v>0.95918367346938771</v>
      </c>
    </row>
    <row r="84" spans="1:29" ht="15.75" customHeight="1">
      <c r="A84" s="1" t="s">
        <v>167</v>
      </c>
      <c r="B84" s="3" t="s">
        <v>131</v>
      </c>
      <c r="C84" s="4" t="s">
        <v>8</v>
      </c>
      <c r="D84" s="4">
        <v>36</v>
      </c>
      <c r="E84" s="4">
        <v>687</v>
      </c>
      <c r="F84" s="4">
        <v>36</v>
      </c>
      <c r="G84" s="4">
        <v>15</v>
      </c>
      <c r="H84" s="4">
        <v>687</v>
      </c>
      <c r="I84" s="4">
        <v>86</v>
      </c>
      <c r="J84" s="4">
        <v>206</v>
      </c>
      <c r="K84" s="4">
        <v>0.41699999999999998</v>
      </c>
      <c r="L84" s="4">
        <v>16</v>
      </c>
      <c r="M84" s="4">
        <v>64</v>
      </c>
      <c r="N84" s="4">
        <v>0.25</v>
      </c>
      <c r="O84" s="4">
        <v>70</v>
      </c>
      <c r="P84" s="4">
        <v>142</v>
      </c>
      <c r="Q84" s="4">
        <v>0.49299999999999999</v>
      </c>
      <c r="R84" s="4">
        <v>50</v>
      </c>
      <c r="S84" s="4">
        <v>61</v>
      </c>
      <c r="T84" s="4">
        <v>0.82</v>
      </c>
      <c r="U84" s="4">
        <v>25</v>
      </c>
      <c r="V84" s="4">
        <v>106</v>
      </c>
      <c r="W84" s="4">
        <v>30</v>
      </c>
      <c r="X84" s="4">
        <v>24</v>
      </c>
      <c r="Y84" s="4">
        <v>2</v>
      </c>
      <c r="Z84" s="4">
        <v>39</v>
      </c>
      <c r="AA84" s="4">
        <v>52</v>
      </c>
      <c r="AB84" s="4">
        <v>238</v>
      </c>
      <c r="AC84" s="5">
        <f t="shared" si="1"/>
        <v>0.76923076923076927</v>
      </c>
    </row>
    <row r="85" spans="1:29" ht="15.75" customHeight="1">
      <c r="A85" s="1" t="s">
        <v>220</v>
      </c>
      <c r="B85" s="3" t="s">
        <v>99</v>
      </c>
      <c r="C85" s="4" t="s">
        <v>85</v>
      </c>
      <c r="D85" s="4">
        <v>38</v>
      </c>
      <c r="E85" s="4">
        <v>678</v>
      </c>
      <c r="F85" s="4">
        <v>38</v>
      </c>
      <c r="G85" s="4">
        <v>23</v>
      </c>
      <c r="H85" s="4">
        <v>678</v>
      </c>
      <c r="I85" s="4">
        <v>84</v>
      </c>
      <c r="J85" s="4">
        <v>173</v>
      </c>
      <c r="K85" s="4">
        <v>0.48599999999999999</v>
      </c>
      <c r="L85" s="4">
        <v>25</v>
      </c>
      <c r="M85" s="4">
        <v>73</v>
      </c>
      <c r="N85" s="4">
        <v>0.34200000000000003</v>
      </c>
      <c r="O85" s="4">
        <v>59</v>
      </c>
      <c r="P85" s="4">
        <v>100</v>
      </c>
      <c r="Q85" s="4">
        <v>0.59</v>
      </c>
      <c r="R85" s="4">
        <v>33</v>
      </c>
      <c r="S85" s="4">
        <v>46</v>
      </c>
      <c r="T85" s="4">
        <v>0.71699999999999997</v>
      </c>
      <c r="U85" s="4">
        <v>29</v>
      </c>
      <c r="V85" s="4">
        <v>146</v>
      </c>
      <c r="W85" s="4">
        <v>38</v>
      </c>
      <c r="X85" s="4">
        <v>20</v>
      </c>
      <c r="Y85" s="4">
        <v>63</v>
      </c>
      <c r="Z85" s="4">
        <v>38</v>
      </c>
      <c r="AA85" s="4">
        <v>66</v>
      </c>
      <c r="AB85" s="4">
        <v>226</v>
      </c>
      <c r="AC85" s="5">
        <f t="shared" si="1"/>
        <v>1</v>
      </c>
    </row>
    <row r="86" spans="1:29" ht="15.75" customHeight="1">
      <c r="A86" s="1" t="s">
        <v>209</v>
      </c>
      <c r="B86" s="3" t="s">
        <v>131</v>
      </c>
      <c r="C86" s="4" t="s">
        <v>183</v>
      </c>
      <c r="D86" s="4">
        <v>41</v>
      </c>
      <c r="E86" s="4">
        <v>676</v>
      </c>
      <c r="F86" s="4">
        <v>41</v>
      </c>
      <c r="G86" s="4">
        <v>1</v>
      </c>
      <c r="H86" s="4">
        <v>676</v>
      </c>
      <c r="I86" s="4">
        <v>83</v>
      </c>
      <c r="J86" s="4">
        <v>180</v>
      </c>
      <c r="K86" s="4">
        <v>0.46100000000000002</v>
      </c>
      <c r="L86" s="4">
        <v>0</v>
      </c>
      <c r="M86" s="4">
        <v>0</v>
      </c>
      <c r="N86" s="4">
        <v>0</v>
      </c>
      <c r="O86" s="4">
        <v>83</v>
      </c>
      <c r="P86" s="4">
        <v>180</v>
      </c>
      <c r="Q86" s="4">
        <v>0.46100000000000002</v>
      </c>
      <c r="R86" s="4">
        <v>40</v>
      </c>
      <c r="S86" s="4">
        <v>89</v>
      </c>
      <c r="T86" s="4">
        <v>0.44900000000000001</v>
      </c>
      <c r="U86" s="4">
        <v>51</v>
      </c>
      <c r="V86" s="4">
        <v>141</v>
      </c>
      <c r="W86" s="4">
        <v>54</v>
      </c>
      <c r="X86" s="4">
        <v>23</v>
      </c>
      <c r="Y86" s="4">
        <v>33</v>
      </c>
      <c r="Z86" s="4">
        <v>33</v>
      </c>
      <c r="AA86" s="4">
        <v>54</v>
      </c>
      <c r="AB86" s="4">
        <v>206</v>
      </c>
      <c r="AC86" s="5">
        <f t="shared" si="1"/>
        <v>1.6363636363636365</v>
      </c>
    </row>
    <row r="87" spans="1:29" ht="15.75" customHeight="1">
      <c r="A87" s="1" t="s">
        <v>247</v>
      </c>
      <c r="B87" s="3" t="s">
        <v>91</v>
      </c>
      <c r="C87" s="4" t="s">
        <v>85</v>
      </c>
      <c r="D87" s="4">
        <v>35</v>
      </c>
      <c r="E87" s="4">
        <v>670</v>
      </c>
      <c r="F87" s="4">
        <v>35</v>
      </c>
      <c r="G87" s="4">
        <v>32</v>
      </c>
      <c r="H87" s="4">
        <v>670</v>
      </c>
      <c r="I87" s="4">
        <v>114</v>
      </c>
      <c r="J87" s="4">
        <v>287</v>
      </c>
      <c r="K87" s="4">
        <v>0.39700000000000002</v>
      </c>
      <c r="L87" s="4">
        <v>47</v>
      </c>
      <c r="M87" s="4">
        <v>144</v>
      </c>
      <c r="N87" s="4">
        <v>0.32600000000000001</v>
      </c>
      <c r="O87" s="4">
        <v>67</v>
      </c>
      <c r="P87" s="4">
        <v>143</v>
      </c>
      <c r="Q87" s="4">
        <v>0.46899999999999997</v>
      </c>
      <c r="R87" s="4">
        <v>34</v>
      </c>
      <c r="S87" s="4">
        <v>41</v>
      </c>
      <c r="T87" s="4">
        <v>0.82899999999999996</v>
      </c>
      <c r="U87" s="4">
        <v>11</v>
      </c>
      <c r="V87" s="4">
        <v>76</v>
      </c>
      <c r="W87" s="4">
        <v>62</v>
      </c>
      <c r="X87" s="4">
        <v>30</v>
      </c>
      <c r="Y87" s="4">
        <v>6</v>
      </c>
      <c r="Z87" s="4">
        <v>48</v>
      </c>
      <c r="AA87" s="4">
        <v>69</v>
      </c>
      <c r="AB87" s="4">
        <v>309</v>
      </c>
      <c r="AC87" s="5">
        <f t="shared" si="1"/>
        <v>1.2916666666666667</v>
      </c>
    </row>
    <row r="88" spans="1:29" ht="15.75" customHeight="1">
      <c r="A88" s="1" t="s">
        <v>199</v>
      </c>
      <c r="B88" s="3" t="s">
        <v>161</v>
      </c>
      <c r="C88" s="4" t="s">
        <v>8</v>
      </c>
      <c r="D88" s="4">
        <v>25</v>
      </c>
      <c r="E88" s="4">
        <v>668</v>
      </c>
      <c r="F88" s="4">
        <v>25</v>
      </c>
      <c r="G88" s="4">
        <v>17</v>
      </c>
      <c r="H88" s="4">
        <v>668</v>
      </c>
      <c r="I88" s="4">
        <v>106</v>
      </c>
      <c r="J88" s="4">
        <v>224</v>
      </c>
      <c r="K88" s="4">
        <v>0.47299999999999998</v>
      </c>
      <c r="L88" s="4">
        <v>22</v>
      </c>
      <c r="M88" s="4">
        <v>63</v>
      </c>
      <c r="N88" s="4">
        <v>0.34899999999999998</v>
      </c>
      <c r="O88" s="4">
        <v>84</v>
      </c>
      <c r="P88" s="4">
        <v>161</v>
      </c>
      <c r="Q88" s="4">
        <v>0.52200000000000002</v>
      </c>
      <c r="R88" s="4">
        <v>85</v>
      </c>
      <c r="S88" s="4">
        <v>98</v>
      </c>
      <c r="T88" s="4">
        <v>0.86699999999999999</v>
      </c>
      <c r="U88" s="4">
        <v>28</v>
      </c>
      <c r="V88" s="4">
        <v>91</v>
      </c>
      <c r="W88" s="4">
        <v>83</v>
      </c>
      <c r="X88" s="4">
        <v>19</v>
      </c>
      <c r="Y88" s="4">
        <v>5</v>
      </c>
      <c r="Z88" s="4">
        <v>43</v>
      </c>
      <c r="AA88" s="4">
        <v>76</v>
      </c>
      <c r="AB88" s="4">
        <v>319</v>
      </c>
      <c r="AC88" s="5">
        <f t="shared" si="1"/>
        <v>1.930232558139535</v>
      </c>
    </row>
    <row r="89" spans="1:29" ht="15.75" customHeight="1">
      <c r="A89" s="1" t="s">
        <v>235</v>
      </c>
      <c r="B89" s="3" t="s">
        <v>91</v>
      </c>
      <c r="C89" s="4" t="s">
        <v>8</v>
      </c>
      <c r="D89" s="4">
        <v>39</v>
      </c>
      <c r="E89" s="4">
        <v>655</v>
      </c>
      <c r="F89" s="4">
        <v>39</v>
      </c>
      <c r="G89" s="4">
        <v>3</v>
      </c>
      <c r="H89" s="4">
        <v>655</v>
      </c>
      <c r="I89" s="4">
        <v>117</v>
      </c>
      <c r="J89" s="4">
        <v>253</v>
      </c>
      <c r="K89" s="4">
        <v>0.46200000000000002</v>
      </c>
      <c r="L89" s="4">
        <v>24</v>
      </c>
      <c r="M89" s="4">
        <v>84</v>
      </c>
      <c r="N89" s="4">
        <v>0.28599999999999998</v>
      </c>
      <c r="O89" s="4">
        <v>93</v>
      </c>
      <c r="P89" s="4">
        <v>169</v>
      </c>
      <c r="Q89" s="4">
        <v>0.55000000000000004</v>
      </c>
      <c r="R89" s="4">
        <v>95</v>
      </c>
      <c r="S89" s="4">
        <v>119</v>
      </c>
      <c r="T89" s="4">
        <v>0.79800000000000004</v>
      </c>
      <c r="U89" s="4">
        <v>22</v>
      </c>
      <c r="V89" s="4">
        <v>82</v>
      </c>
      <c r="W89" s="4">
        <v>98</v>
      </c>
      <c r="X89" s="4">
        <v>32</v>
      </c>
      <c r="Y89" s="4">
        <v>8</v>
      </c>
      <c r="Z89" s="4">
        <v>44</v>
      </c>
      <c r="AA89" s="4">
        <v>79</v>
      </c>
      <c r="AB89" s="4">
        <v>353</v>
      </c>
      <c r="AC89" s="5">
        <f t="shared" si="1"/>
        <v>2.2272727272727271</v>
      </c>
    </row>
    <row r="90" spans="1:29" ht="15.75" customHeight="1">
      <c r="A90" s="1" t="s">
        <v>146</v>
      </c>
      <c r="B90" s="3" t="s">
        <v>232</v>
      </c>
      <c r="C90" s="4" t="s">
        <v>8</v>
      </c>
      <c r="D90" s="4">
        <v>26</v>
      </c>
      <c r="E90" s="4">
        <v>642</v>
      </c>
      <c r="F90" s="4">
        <v>26</v>
      </c>
      <c r="G90" s="4">
        <v>15</v>
      </c>
      <c r="H90" s="4">
        <v>642</v>
      </c>
      <c r="I90" s="4">
        <v>108</v>
      </c>
      <c r="J90" s="4">
        <v>215</v>
      </c>
      <c r="K90" s="4">
        <v>0.502</v>
      </c>
      <c r="L90" s="4">
        <v>36</v>
      </c>
      <c r="M90" s="4">
        <v>90</v>
      </c>
      <c r="N90" s="4">
        <v>0.4</v>
      </c>
      <c r="O90" s="4">
        <v>72</v>
      </c>
      <c r="P90" s="4">
        <v>125</v>
      </c>
      <c r="Q90" s="4">
        <v>0.57599999999999996</v>
      </c>
      <c r="R90" s="4">
        <v>26</v>
      </c>
      <c r="S90" s="4">
        <v>35</v>
      </c>
      <c r="T90" s="4">
        <v>0.74299999999999999</v>
      </c>
      <c r="U90" s="4">
        <v>21</v>
      </c>
      <c r="V90" s="4">
        <v>117</v>
      </c>
      <c r="W90" s="4">
        <v>62</v>
      </c>
      <c r="X90" s="4">
        <v>23</v>
      </c>
      <c r="Y90" s="4">
        <v>9</v>
      </c>
      <c r="Z90" s="4">
        <v>52</v>
      </c>
      <c r="AA90" s="4">
        <v>64</v>
      </c>
      <c r="AB90" s="4">
        <v>278</v>
      </c>
      <c r="AC90" s="5">
        <f t="shared" si="1"/>
        <v>1.1923076923076923</v>
      </c>
    </row>
    <row r="91" spans="1:29" ht="15.75" customHeight="1">
      <c r="A91" s="1" t="s">
        <v>141</v>
      </c>
      <c r="B91" s="3" t="s">
        <v>114</v>
      </c>
      <c r="C91" s="4" t="s">
        <v>88</v>
      </c>
      <c r="D91" s="4">
        <v>41</v>
      </c>
      <c r="E91" s="4">
        <v>627</v>
      </c>
      <c r="F91" s="4">
        <v>41</v>
      </c>
      <c r="G91" s="4">
        <v>12</v>
      </c>
      <c r="H91" s="4">
        <v>627</v>
      </c>
      <c r="I91" s="4">
        <v>45</v>
      </c>
      <c r="J91" s="4">
        <v>100</v>
      </c>
      <c r="K91" s="4">
        <v>0.45</v>
      </c>
      <c r="L91" s="4">
        <v>22</v>
      </c>
      <c r="M91" s="4">
        <v>56</v>
      </c>
      <c r="N91" s="4">
        <v>0.39300000000000002</v>
      </c>
      <c r="O91" s="4">
        <v>23</v>
      </c>
      <c r="P91" s="4">
        <v>44</v>
      </c>
      <c r="Q91" s="4">
        <v>0.52300000000000002</v>
      </c>
      <c r="R91" s="4">
        <v>27</v>
      </c>
      <c r="S91" s="4">
        <v>32</v>
      </c>
      <c r="T91" s="4">
        <v>0.84399999999999997</v>
      </c>
      <c r="U91" s="4">
        <v>25</v>
      </c>
      <c r="V91" s="4">
        <v>99</v>
      </c>
      <c r="W91" s="4">
        <v>48</v>
      </c>
      <c r="X91" s="4">
        <v>12</v>
      </c>
      <c r="Y91" s="4">
        <v>17</v>
      </c>
      <c r="Z91" s="4">
        <v>35</v>
      </c>
      <c r="AA91" s="4">
        <v>92</v>
      </c>
      <c r="AB91" s="4">
        <v>139</v>
      </c>
      <c r="AC91" s="5">
        <f t="shared" si="1"/>
        <v>1.3714285714285714</v>
      </c>
    </row>
    <row r="92" spans="1:29" ht="15.75" customHeight="1">
      <c r="A92" s="1" t="s">
        <v>179</v>
      </c>
      <c r="B92" s="3" t="s">
        <v>114</v>
      </c>
      <c r="C92" s="4" t="s">
        <v>8</v>
      </c>
      <c r="D92" s="4">
        <v>41</v>
      </c>
      <c r="E92" s="4">
        <v>616</v>
      </c>
      <c r="F92" s="4">
        <v>41</v>
      </c>
      <c r="G92" s="4">
        <v>1</v>
      </c>
      <c r="H92" s="4">
        <v>616</v>
      </c>
      <c r="I92" s="4">
        <v>99</v>
      </c>
      <c r="J92" s="4">
        <v>285</v>
      </c>
      <c r="K92" s="4">
        <v>0.34699999999999998</v>
      </c>
      <c r="L92" s="4">
        <v>32</v>
      </c>
      <c r="M92" s="4">
        <v>109</v>
      </c>
      <c r="N92" s="4">
        <v>0.29399999999999998</v>
      </c>
      <c r="O92" s="4">
        <v>67</v>
      </c>
      <c r="P92" s="4">
        <v>176</v>
      </c>
      <c r="Q92" s="4">
        <v>0.38100000000000001</v>
      </c>
      <c r="R92" s="4">
        <v>79</v>
      </c>
      <c r="S92" s="4">
        <v>98</v>
      </c>
      <c r="T92" s="4">
        <v>0.80600000000000005</v>
      </c>
      <c r="U92" s="4">
        <v>19</v>
      </c>
      <c r="V92" s="4">
        <v>68</v>
      </c>
      <c r="W92" s="4">
        <v>44</v>
      </c>
      <c r="X92" s="4">
        <v>16</v>
      </c>
      <c r="Y92" s="4">
        <v>1</v>
      </c>
      <c r="Z92" s="4">
        <v>44</v>
      </c>
      <c r="AA92" s="4">
        <v>56</v>
      </c>
      <c r="AB92" s="4">
        <v>309</v>
      </c>
      <c r="AC92" s="5">
        <f t="shared" si="1"/>
        <v>1</v>
      </c>
    </row>
    <row r="93" spans="1:29" ht="15.75" customHeight="1">
      <c r="A93" s="1" t="s">
        <v>193</v>
      </c>
      <c r="B93" s="3" t="s">
        <v>91</v>
      </c>
      <c r="C93" s="4" t="s">
        <v>8</v>
      </c>
      <c r="D93" s="4">
        <v>41</v>
      </c>
      <c r="E93" s="4">
        <v>615</v>
      </c>
      <c r="F93" s="4">
        <v>41</v>
      </c>
      <c r="G93" s="4">
        <v>0</v>
      </c>
      <c r="H93" s="4">
        <v>615</v>
      </c>
      <c r="I93" s="4">
        <v>115</v>
      </c>
      <c r="J93" s="4">
        <v>215</v>
      </c>
      <c r="K93" s="4">
        <v>0.53500000000000003</v>
      </c>
      <c r="L93" s="4">
        <v>27</v>
      </c>
      <c r="M93" s="4">
        <v>63</v>
      </c>
      <c r="N93" s="4">
        <v>0.42899999999999999</v>
      </c>
      <c r="O93" s="4">
        <v>88</v>
      </c>
      <c r="P93" s="4">
        <v>152</v>
      </c>
      <c r="Q93" s="4">
        <v>0.57899999999999996</v>
      </c>
      <c r="R93" s="4">
        <v>30</v>
      </c>
      <c r="S93" s="4">
        <v>42</v>
      </c>
      <c r="T93" s="4">
        <v>0.71399999999999997</v>
      </c>
      <c r="U93" s="4">
        <v>13</v>
      </c>
      <c r="V93" s="4">
        <v>45</v>
      </c>
      <c r="W93" s="4">
        <v>80</v>
      </c>
      <c r="X93" s="4">
        <v>11</v>
      </c>
      <c r="Y93" s="4">
        <v>1</v>
      </c>
      <c r="Z93" s="4">
        <v>48</v>
      </c>
      <c r="AA93" s="4">
        <v>51</v>
      </c>
      <c r="AB93" s="4">
        <v>287</v>
      </c>
      <c r="AC93" s="5">
        <f t="shared" si="1"/>
        <v>1.6666666666666667</v>
      </c>
    </row>
    <row r="94" spans="1:29" ht="15.75" customHeight="1">
      <c r="A94" s="1" t="s">
        <v>186</v>
      </c>
      <c r="B94" s="3" t="s">
        <v>114</v>
      </c>
      <c r="C94" s="4" t="s">
        <v>85</v>
      </c>
      <c r="D94" s="4">
        <v>35</v>
      </c>
      <c r="E94" s="4">
        <v>609</v>
      </c>
      <c r="F94" s="4">
        <v>35</v>
      </c>
      <c r="G94" s="4">
        <v>21</v>
      </c>
      <c r="H94" s="4">
        <v>609</v>
      </c>
      <c r="I94" s="4">
        <v>64</v>
      </c>
      <c r="J94" s="4">
        <v>171</v>
      </c>
      <c r="K94" s="4">
        <v>0.374</v>
      </c>
      <c r="L94" s="4">
        <v>13</v>
      </c>
      <c r="M94" s="4">
        <v>58</v>
      </c>
      <c r="N94" s="4">
        <v>0.224</v>
      </c>
      <c r="O94" s="4">
        <v>51</v>
      </c>
      <c r="P94" s="4">
        <v>113</v>
      </c>
      <c r="Q94" s="4">
        <v>0.45100000000000001</v>
      </c>
      <c r="R94" s="4">
        <v>25</v>
      </c>
      <c r="S94" s="4">
        <v>37</v>
      </c>
      <c r="T94" s="4">
        <v>0.67600000000000005</v>
      </c>
      <c r="U94" s="4">
        <v>33</v>
      </c>
      <c r="V94" s="4">
        <v>125</v>
      </c>
      <c r="W94" s="4">
        <v>46</v>
      </c>
      <c r="X94" s="4">
        <v>37</v>
      </c>
      <c r="Y94" s="4">
        <v>18</v>
      </c>
      <c r="Z94" s="4">
        <v>42</v>
      </c>
      <c r="AA94" s="4">
        <v>62</v>
      </c>
      <c r="AB94" s="4">
        <v>166</v>
      </c>
      <c r="AC94" s="5">
        <f t="shared" si="1"/>
        <v>1.0952380952380953</v>
      </c>
    </row>
    <row r="95" spans="1:29" ht="15.75" customHeight="1">
      <c r="A95" s="1" t="s">
        <v>123</v>
      </c>
      <c r="B95" s="3" t="s">
        <v>240</v>
      </c>
      <c r="C95" s="4" t="s">
        <v>85</v>
      </c>
      <c r="D95" s="4">
        <v>27</v>
      </c>
      <c r="E95" s="4">
        <v>599</v>
      </c>
      <c r="F95" s="4">
        <v>27</v>
      </c>
      <c r="G95" s="4">
        <v>10</v>
      </c>
      <c r="H95" s="4">
        <v>599</v>
      </c>
      <c r="I95" s="4">
        <v>114</v>
      </c>
      <c r="J95" s="4">
        <v>270</v>
      </c>
      <c r="K95" s="4">
        <v>0.42199999999999999</v>
      </c>
      <c r="L95" s="4">
        <v>23</v>
      </c>
      <c r="M95" s="4">
        <v>84</v>
      </c>
      <c r="N95" s="4">
        <v>0.27400000000000002</v>
      </c>
      <c r="O95" s="4">
        <v>91</v>
      </c>
      <c r="P95" s="4">
        <v>186</v>
      </c>
      <c r="Q95" s="4">
        <v>0.48899999999999999</v>
      </c>
      <c r="R95" s="4">
        <v>45</v>
      </c>
      <c r="S95" s="4">
        <v>70</v>
      </c>
      <c r="T95" s="4">
        <v>0.64300000000000002</v>
      </c>
      <c r="U95" s="4">
        <v>69</v>
      </c>
      <c r="V95" s="4">
        <v>224</v>
      </c>
      <c r="W95" s="4">
        <v>39</v>
      </c>
      <c r="X95" s="4">
        <v>24</v>
      </c>
      <c r="Y95" s="4">
        <v>13</v>
      </c>
      <c r="Z95" s="4">
        <v>42</v>
      </c>
      <c r="AA95" s="4">
        <v>59</v>
      </c>
      <c r="AB95" s="4">
        <v>296</v>
      </c>
      <c r="AC95" s="5">
        <f t="shared" si="1"/>
        <v>0.9285714285714286</v>
      </c>
    </row>
    <row r="96" spans="1:29" ht="15.75" customHeight="1">
      <c r="A96" s="1" t="s">
        <v>215</v>
      </c>
      <c r="B96" s="3" t="s">
        <v>137</v>
      </c>
      <c r="C96" s="4" t="s">
        <v>85</v>
      </c>
      <c r="D96" s="4">
        <v>31</v>
      </c>
      <c r="E96" s="4">
        <v>595</v>
      </c>
      <c r="F96" s="4">
        <v>31</v>
      </c>
      <c r="G96" s="4">
        <v>1</v>
      </c>
      <c r="H96" s="4">
        <v>595</v>
      </c>
      <c r="I96" s="4">
        <v>102</v>
      </c>
      <c r="J96" s="4">
        <v>220</v>
      </c>
      <c r="K96" s="4">
        <v>0.46400000000000002</v>
      </c>
      <c r="L96" s="4">
        <v>28</v>
      </c>
      <c r="M96" s="4">
        <v>89</v>
      </c>
      <c r="N96" s="4">
        <v>0.315</v>
      </c>
      <c r="O96" s="4">
        <v>74</v>
      </c>
      <c r="P96" s="4">
        <v>131</v>
      </c>
      <c r="Q96" s="4">
        <v>0.56499999999999995</v>
      </c>
      <c r="R96" s="4">
        <v>64</v>
      </c>
      <c r="S96" s="4">
        <v>83</v>
      </c>
      <c r="T96" s="4">
        <v>0.77100000000000002</v>
      </c>
      <c r="U96" s="4">
        <v>45</v>
      </c>
      <c r="V96" s="4">
        <v>155</v>
      </c>
      <c r="W96" s="4">
        <v>46</v>
      </c>
      <c r="X96" s="4">
        <v>20</v>
      </c>
      <c r="Y96" s="4">
        <v>55</v>
      </c>
      <c r="Z96" s="4">
        <v>75</v>
      </c>
      <c r="AA96" s="4">
        <v>111</v>
      </c>
      <c r="AB96" s="4">
        <v>296</v>
      </c>
      <c r="AC96" s="5">
        <f t="shared" si="1"/>
        <v>0.61333333333333329</v>
      </c>
    </row>
    <row r="97" spans="1:29" ht="15.75" customHeight="1">
      <c r="A97" s="1" t="s">
        <v>252</v>
      </c>
      <c r="B97" s="3" t="s">
        <v>240</v>
      </c>
      <c r="C97" s="4" t="s">
        <v>8</v>
      </c>
      <c r="D97" s="4">
        <v>27</v>
      </c>
      <c r="E97" s="4">
        <v>594</v>
      </c>
      <c r="F97" s="4">
        <v>27</v>
      </c>
      <c r="G97" s="4">
        <v>17</v>
      </c>
      <c r="H97" s="4">
        <v>594</v>
      </c>
      <c r="I97" s="4">
        <v>70</v>
      </c>
      <c r="J97" s="4">
        <v>168</v>
      </c>
      <c r="K97" s="4">
        <v>0.41699999999999998</v>
      </c>
      <c r="L97" s="4">
        <v>27</v>
      </c>
      <c r="M97" s="4">
        <v>70</v>
      </c>
      <c r="N97" s="4">
        <v>0.38600000000000001</v>
      </c>
      <c r="O97" s="4">
        <v>43</v>
      </c>
      <c r="P97" s="4">
        <v>98</v>
      </c>
      <c r="Q97" s="4">
        <v>0.439</v>
      </c>
      <c r="R97" s="4">
        <v>44</v>
      </c>
      <c r="S97" s="4">
        <v>52</v>
      </c>
      <c r="T97" s="4">
        <v>0.84599999999999997</v>
      </c>
      <c r="U97" s="4">
        <v>4</v>
      </c>
      <c r="V97" s="4">
        <v>49</v>
      </c>
      <c r="W97" s="4">
        <v>62</v>
      </c>
      <c r="X97" s="4">
        <v>27</v>
      </c>
      <c r="Y97" s="4">
        <v>8</v>
      </c>
      <c r="Z97" s="4">
        <v>52</v>
      </c>
      <c r="AA97" s="4">
        <v>77</v>
      </c>
      <c r="AB97" s="4">
        <v>211</v>
      </c>
      <c r="AC97" s="5">
        <f t="shared" si="1"/>
        <v>1.1923076923076923</v>
      </c>
    </row>
    <row r="98" spans="1:29" ht="15.75" customHeight="1">
      <c r="A98" s="1" t="s">
        <v>237</v>
      </c>
      <c r="B98" s="3" t="s">
        <v>240</v>
      </c>
      <c r="C98" s="4" t="s">
        <v>8</v>
      </c>
      <c r="D98" s="4">
        <v>39</v>
      </c>
      <c r="E98" s="4">
        <v>589</v>
      </c>
      <c r="F98" s="4">
        <v>39</v>
      </c>
      <c r="G98" s="4">
        <v>9</v>
      </c>
      <c r="H98" s="4">
        <v>589</v>
      </c>
      <c r="I98" s="4">
        <v>69</v>
      </c>
      <c r="J98" s="4">
        <v>181</v>
      </c>
      <c r="K98" s="4">
        <v>0.38100000000000001</v>
      </c>
      <c r="L98" s="4">
        <v>33</v>
      </c>
      <c r="M98" s="4">
        <v>91</v>
      </c>
      <c r="N98" s="4">
        <v>0.36299999999999999</v>
      </c>
      <c r="O98" s="4">
        <v>36</v>
      </c>
      <c r="P98" s="4">
        <v>90</v>
      </c>
      <c r="Q98" s="4">
        <v>0.4</v>
      </c>
      <c r="R98" s="4">
        <v>28</v>
      </c>
      <c r="S98" s="4">
        <v>31</v>
      </c>
      <c r="T98" s="4">
        <v>0.90300000000000002</v>
      </c>
      <c r="U98" s="4">
        <v>15</v>
      </c>
      <c r="V98" s="4">
        <v>42</v>
      </c>
      <c r="W98" s="4">
        <v>52</v>
      </c>
      <c r="X98" s="4">
        <v>17</v>
      </c>
      <c r="Y98" s="4">
        <v>4</v>
      </c>
      <c r="Z98" s="4">
        <v>34</v>
      </c>
      <c r="AA98" s="4">
        <v>54</v>
      </c>
      <c r="AB98" s="4">
        <v>199</v>
      </c>
      <c r="AC98" s="5">
        <f t="shared" si="1"/>
        <v>1.5294117647058822</v>
      </c>
    </row>
    <row r="99" spans="1:29" ht="15.75" customHeight="1">
      <c r="A99" s="1" t="s">
        <v>108</v>
      </c>
      <c r="B99" s="3" t="s">
        <v>84</v>
      </c>
      <c r="C99" s="4" t="s">
        <v>8</v>
      </c>
      <c r="D99" s="4">
        <v>39</v>
      </c>
      <c r="E99" s="4">
        <v>582</v>
      </c>
      <c r="F99" s="4">
        <v>39</v>
      </c>
      <c r="G99" s="4">
        <v>2</v>
      </c>
      <c r="H99" s="4">
        <v>582</v>
      </c>
      <c r="I99" s="4">
        <v>77</v>
      </c>
      <c r="J99" s="4">
        <v>155</v>
      </c>
      <c r="K99" s="4">
        <v>0.497</v>
      </c>
      <c r="L99" s="4">
        <v>10</v>
      </c>
      <c r="M99" s="4">
        <v>42</v>
      </c>
      <c r="N99" s="4">
        <v>0.23799999999999999</v>
      </c>
      <c r="O99" s="4">
        <v>67</v>
      </c>
      <c r="P99" s="4">
        <v>113</v>
      </c>
      <c r="Q99" s="4">
        <v>0.59299999999999997</v>
      </c>
      <c r="R99" s="4">
        <v>40</v>
      </c>
      <c r="S99" s="4">
        <v>43</v>
      </c>
      <c r="T99" s="4">
        <v>0.93</v>
      </c>
      <c r="U99" s="4">
        <v>38</v>
      </c>
      <c r="V99" s="4">
        <v>98</v>
      </c>
      <c r="W99" s="4">
        <v>50</v>
      </c>
      <c r="X99" s="4">
        <v>20</v>
      </c>
      <c r="Y99" s="4">
        <v>8</v>
      </c>
      <c r="Z99" s="4">
        <v>22</v>
      </c>
      <c r="AA99" s="4">
        <v>64</v>
      </c>
      <c r="AB99" s="4">
        <v>204</v>
      </c>
      <c r="AC99" s="5">
        <f t="shared" si="1"/>
        <v>2.2727272727272729</v>
      </c>
    </row>
    <row r="100" spans="1:29" ht="15.75" customHeight="1">
      <c r="A100" s="1" t="s">
        <v>180</v>
      </c>
      <c r="B100" s="3" t="s">
        <v>161</v>
      </c>
      <c r="C100" s="4" t="s">
        <v>85</v>
      </c>
      <c r="D100" s="4">
        <v>24</v>
      </c>
      <c r="E100" s="4">
        <v>573</v>
      </c>
      <c r="F100" s="4">
        <v>24</v>
      </c>
      <c r="G100" s="4">
        <v>20</v>
      </c>
      <c r="H100" s="4">
        <v>573</v>
      </c>
      <c r="I100" s="4">
        <v>108</v>
      </c>
      <c r="J100" s="4">
        <v>205</v>
      </c>
      <c r="K100" s="4">
        <v>0.52700000000000002</v>
      </c>
      <c r="L100" s="4">
        <v>20</v>
      </c>
      <c r="M100" s="4">
        <v>51</v>
      </c>
      <c r="N100" s="4">
        <v>0.39200000000000002</v>
      </c>
      <c r="O100" s="4">
        <v>88</v>
      </c>
      <c r="P100" s="4">
        <v>154</v>
      </c>
      <c r="Q100" s="4">
        <v>0.57099999999999995</v>
      </c>
      <c r="R100" s="4">
        <v>59</v>
      </c>
      <c r="S100" s="4">
        <v>82</v>
      </c>
      <c r="T100" s="4">
        <v>0.72</v>
      </c>
      <c r="U100" s="4">
        <v>43</v>
      </c>
      <c r="V100" s="4">
        <v>126</v>
      </c>
      <c r="W100" s="4">
        <v>41</v>
      </c>
      <c r="X100" s="4">
        <v>24</v>
      </c>
      <c r="Y100" s="4">
        <v>21</v>
      </c>
      <c r="Z100" s="4">
        <v>38</v>
      </c>
      <c r="AA100" s="4">
        <v>65</v>
      </c>
      <c r="AB100" s="4">
        <v>295</v>
      </c>
      <c r="AC100" s="5">
        <f t="shared" si="1"/>
        <v>1.0789473684210527</v>
      </c>
    </row>
    <row r="101" spans="1:29" ht="15.75" customHeight="1">
      <c r="A101" s="1" t="s">
        <v>134</v>
      </c>
      <c r="B101" s="3" t="s">
        <v>99</v>
      </c>
      <c r="C101" s="4" t="s">
        <v>85</v>
      </c>
      <c r="D101" s="4">
        <v>32</v>
      </c>
      <c r="E101" s="4">
        <v>572</v>
      </c>
      <c r="F101" s="4">
        <v>32</v>
      </c>
      <c r="G101" s="4">
        <v>18</v>
      </c>
      <c r="H101" s="4">
        <v>572</v>
      </c>
      <c r="I101" s="4">
        <v>75</v>
      </c>
      <c r="J101" s="4">
        <v>164</v>
      </c>
      <c r="K101" s="4">
        <v>0.45700000000000002</v>
      </c>
      <c r="L101" s="4">
        <v>18</v>
      </c>
      <c r="M101" s="4">
        <v>69</v>
      </c>
      <c r="N101" s="4">
        <v>0.26100000000000001</v>
      </c>
      <c r="O101" s="4">
        <v>57</v>
      </c>
      <c r="P101" s="4">
        <v>95</v>
      </c>
      <c r="Q101" s="4">
        <v>0.6</v>
      </c>
      <c r="R101" s="4">
        <v>25</v>
      </c>
      <c r="S101" s="4">
        <v>37</v>
      </c>
      <c r="T101" s="4">
        <v>0.67600000000000005</v>
      </c>
      <c r="U101" s="4">
        <v>36</v>
      </c>
      <c r="V101" s="4">
        <v>126</v>
      </c>
      <c r="W101" s="4">
        <v>33</v>
      </c>
      <c r="X101" s="4">
        <v>23</v>
      </c>
      <c r="Y101" s="4">
        <v>15</v>
      </c>
      <c r="Z101" s="4">
        <v>38</v>
      </c>
      <c r="AA101" s="4">
        <v>76</v>
      </c>
      <c r="AB101" s="4">
        <v>193</v>
      </c>
      <c r="AC101" s="5">
        <f t="shared" si="1"/>
        <v>0.86842105263157898</v>
      </c>
    </row>
    <row r="102" spans="1:29" ht="15.75" customHeight="1">
      <c r="A102" s="1" t="s">
        <v>210</v>
      </c>
      <c r="B102" s="3" t="s">
        <v>96</v>
      </c>
      <c r="C102" s="4" t="s">
        <v>8</v>
      </c>
      <c r="D102" s="4">
        <v>41</v>
      </c>
      <c r="E102" s="4">
        <v>571</v>
      </c>
      <c r="F102" s="4">
        <v>41</v>
      </c>
      <c r="G102" s="4">
        <v>3</v>
      </c>
      <c r="H102" s="4">
        <v>571</v>
      </c>
      <c r="I102" s="4">
        <v>57</v>
      </c>
      <c r="J102" s="4">
        <v>153</v>
      </c>
      <c r="K102" s="4">
        <v>0.373</v>
      </c>
      <c r="L102" s="4">
        <v>29</v>
      </c>
      <c r="M102" s="4">
        <v>77</v>
      </c>
      <c r="N102" s="4">
        <v>0.377</v>
      </c>
      <c r="O102" s="4">
        <v>28</v>
      </c>
      <c r="P102" s="4">
        <v>76</v>
      </c>
      <c r="Q102" s="4">
        <v>0.36799999999999999</v>
      </c>
      <c r="R102" s="4">
        <v>22</v>
      </c>
      <c r="S102" s="4">
        <v>27</v>
      </c>
      <c r="T102" s="4">
        <v>0.81499999999999995</v>
      </c>
      <c r="U102" s="4">
        <v>34</v>
      </c>
      <c r="V102" s="4">
        <v>92</v>
      </c>
      <c r="W102" s="4">
        <v>43</v>
      </c>
      <c r="X102" s="4">
        <v>26</v>
      </c>
      <c r="Y102" s="4">
        <v>7</v>
      </c>
      <c r="Z102" s="4">
        <v>28</v>
      </c>
      <c r="AA102" s="4">
        <v>55</v>
      </c>
      <c r="AB102" s="4">
        <v>165</v>
      </c>
      <c r="AC102" s="5">
        <f t="shared" si="1"/>
        <v>1.5357142857142858</v>
      </c>
    </row>
    <row r="103" spans="1:29" ht="15.75" customHeight="1">
      <c r="A103" s="1" t="s">
        <v>162</v>
      </c>
      <c r="B103" s="3" t="s">
        <v>84</v>
      </c>
      <c r="C103" s="4" t="s">
        <v>88</v>
      </c>
      <c r="D103" s="4">
        <v>41</v>
      </c>
      <c r="E103" s="4">
        <v>565</v>
      </c>
      <c r="F103" s="4">
        <v>41</v>
      </c>
      <c r="G103" s="4">
        <v>2</v>
      </c>
      <c r="H103" s="4">
        <v>565</v>
      </c>
      <c r="I103" s="4">
        <v>97</v>
      </c>
      <c r="J103" s="4">
        <v>192</v>
      </c>
      <c r="K103" s="4">
        <v>0.505</v>
      </c>
      <c r="L103" s="4">
        <v>35</v>
      </c>
      <c r="M103" s="4">
        <v>87</v>
      </c>
      <c r="N103" s="4">
        <v>0.40200000000000002</v>
      </c>
      <c r="O103" s="4">
        <v>62</v>
      </c>
      <c r="P103" s="4">
        <v>105</v>
      </c>
      <c r="Q103" s="4">
        <v>0.59</v>
      </c>
      <c r="R103" s="4">
        <v>28</v>
      </c>
      <c r="S103" s="4">
        <v>33</v>
      </c>
      <c r="T103" s="4">
        <v>0.84799999999999998</v>
      </c>
      <c r="U103" s="4">
        <v>31</v>
      </c>
      <c r="V103" s="4">
        <v>104</v>
      </c>
      <c r="W103" s="4">
        <v>28</v>
      </c>
      <c r="X103" s="4">
        <v>13</v>
      </c>
      <c r="Y103" s="4">
        <v>26</v>
      </c>
      <c r="Z103" s="4">
        <v>19</v>
      </c>
      <c r="AA103" s="4">
        <v>40</v>
      </c>
      <c r="AB103" s="4">
        <v>257</v>
      </c>
      <c r="AC103" s="5">
        <f t="shared" si="1"/>
        <v>1.4736842105263157</v>
      </c>
    </row>
    <row r="104" spans="1:29" ht="15.75" customHeight="1">
      <c r="A104" s="1" t="s">
        <v>203</v>
      </c>
      <c r="B104" s="3" t="s">
        <v>232</v>
      </c>
      <c r="C104" s="4" t="s">
        <v>119</v>
      </c>
      <c r="D104" s="4">
        <v>37</v>
      </c>
      <c r="E104" s="4">
        <v>563</v>
      </c>
      <c r="F104" s="4">
        <v>37</v>
      </c>
      <c r="G104" s="4">
        <v>0</v>
      </c>
      <c r="H104" s="4">
        <v>563</v>
      </c>
      <c r="I104" s="4">
        <v>81</v>
      </c>
      <c r="J104" s="4">
        <v>185</v>
      </c>
      <c r="K104" s="4">
        <v>0.438</v>
      </c>
      <c r="L104" s="4">
        <v>33</v>
      </c>
      <c r="M104" s="4">
        <v>92</v>
      </c>
      <c r="N104" s="4">
        <v>0.35899999999999999</v>
      </c>
      <c r="O104" s="4">
        <v>48</v>
      </c>
      <c r="P104" s="4">
        <v>93</v>
      </c>
      <c r="Q104" s="4">
        <v>0.51600000000000001</v>
      </c>
      <c r="R104" s="4">
        <v>41</v>
      </c>
      <c r="S104" s="4">
        <v>46</v>
      </c>
      <c r="T104" s="4">
        <v>0.89100000000000001</v>
      </c>
      <c r="U104" s="4">
        <v>26</v>
      </c>
      <c r="V104" s="4">
        <v>79</v>
      </c>
      <c r="W104" s="4">
        <v>28</v>
      </c>
      <c r="X104" s="4">
        <v>13</v>
      </c>
      <c r="Y104" s="4">
        <v>2</v>
      </c>
      <c r="Z104" s="4">
        <v>33</v>
      </c>
      <c r="AA104" s="4">
        <v>58</v>
      </c>
      <c r="AB104" s="4">
        <v>236</v>
      </c>
      <c r="AC104" s="5">
        <f t="shared" si="1"/>
        <v>0.84848484848484851</v>
      </c>
    </row>
    <row r="105" spans="1:29" ht="15.75" customHeight="1">
      <c r="A105" s="1" t="s">
        <v>147</v>
      </c>
      <c r="B105" s="3" t="s">
        <v>131</v>
      </c>
      <c r="C105" s="4" t="s">
        <v>8</v>
      </c>
      <c r="D105" s="4">
        <v>19</v>
      </c>
      <c r="E105" s="4">
        <v>553</v>
      </c>
      <c r="F105" s="4">
        <v>19</v>
      </c>
      <c r="G105" s="4">
        <v>19</v>
      </c>
      <c r="H105" s="4">
        <v>553</v>
      </c>
      <c r="I105" s="4">
        <v>87</v>
      </c>
      <c r="J105" s="4">
        <v>222</v>
      </c>
      <c r="K105" s="4">
        <v>0.39200000000000002</v>
      </c>
      <c r="L105" s="4">
        <v>26</v>
      </c>
      <c r="M105" s="4">
        <v>68</v>
      </c>
      <c r="N105" s="4">
        <v>0.38200000000000001</v>
      </c>
      <c r="O105" s="4">
        <v>61</v>
      </c>
      <c r="P105" s="4">
        <v>154</v>
      </c>
      <c r="Q105" s="4">
        <v>0.39600000000000002</v>
      </c>
      <c r="R105" s="4">
        <v>69</v>
      </c>
      <c r="S105" s="4">
        <v>89</v>
      </c>
      <c r="T105" s="4">
        <v>0.77500000000000002</v>
      </c>
      <c r="U105" s="4">
        <v>13</v>
      </c>
      <c r="V105" s="4">
        <v>60</v>
      </c>
      <c r="W105" s="4">
        <v>93</v>
      </c>
      <c r="X105" s="4">
        <v>18</v>
      </c>
      <c r="Y105" s="4">
        <v>11</v>
      </c>
      <c r="Z105" s="4">
        <v>33</v>
      </c>
      <c r="AA105" s="4">
        <v>41</v>
      </c>
      <c r="AB105" s="4">
        <v>269</v>
      </c>
      <c r="AC105" s="5">
        <f t="shared" si="1"/>
        <v>2.8181818181818183</v>
      </c>
    </row>
    <row r="106" spans="1:29" ht="15.75" customHeight="1">
      <c r="A106" s="1" t="s">
        <v>196</v>
      </c>
      <c r="B106" s="3" t="s">
        <v>99</v>
      </c>
      <c r="C106" s="4" t="s">
        <v>85</v>
      </c>
      <c r="D106" s="4">
        <v>38</v>
      </c>
      <c r="E106" s="4">
        <v>550</v>
      </c>
      <c r="F106" s="4">
        <v>38</v>
      </c>
      <c r="G106" s="4">
        <v>7</v>
      </c>
      <c r="H106" s="4">
        <v>550</v>
      </c>
      <c r="I106" s="4">
        <v>96</v>
      </c>
      <c r="J106" s="4">
        <v>199</v>
      </c>
      <c r="K106" s="4">
        <v>0.48199999999999998</v>
      </c>
      <c r="L106" s="4">
        <v>30</v>
      </c>
      <c r="M106" s="4">
        <v>75</v>
      </c>
      <c r="N106" s="4">
        <v>0.4</v>
      </c>
      <c r="O106" s="4">
        <v>66</v>
      </c>
      <c r="P106" s="4">
        <v>124</v>
      </c>
      <c r="Q106" s="4">
        <v>0.53200000000000003</v>
      </c>
      <c r="R106" s="4">
        <v>23</v>
      </c>
      <c r="S106" s="4">
        <v>27</v>
      </c>
      <c r="T106" s="4">
        <v>0.85199999999999998</v>
      </c>
      <c r="U106" s="4">
        <v>33</v>
      </c>
      <c r="V106" s="4">
        <v>103</v>
      </c>
      <c r="W106" s="4">
        <v>34</v>
      </c>
      <c r="X106" s="4">
        <v>16</v>
      </c>
      <c r="Y106" s="4">
        <v>15</v>
      </c>
      <c r="Z106" s="4">
        <v>10</v>
      </c>
      <c r="AA106" s="4">
        <v>63</v>
      </c>
      <c r="AB106" s="4">
        <v>245</v>
      </c>
      <c r="AC106" s="5">
        <f t="shared" si="1"/>
        <v>3.4</v>
      </c>
    </row>
    <row r="107" spans="1:29" ht="15.75" customHeight="1">
      <c r="A107" s="1" t="s">
        <v>231</v>
      </c>
      <c r="B107" s="3" t="s">
        <v>107</v>
      </c>
      <c r="C107" s="4" t="s">
        <v>85</v>
      </c>
      <c r="D107" s="4">
        <v>27</v>
      </c>
      <c r="E107" s="4">
        <v>544</v>
      </c>
      <c r="F107" s="4">
        <v>27</v>
      </c>
      <c r="G107" s="4">
        <v>18</v>
      </c>
      <c r="H107" s="4">
        <v>544</v>
      </c>
      <c r="I107" s="4">
        <v>115</v>
      </c>
      <c r="J107" s="4">
        <v>216</v>
      </c>
      <c r="K107" s="4">
        <v>0.53200000000000003</v>
      </c>
      <c r="L107" s="4">
        <v>6</v>
      </c>
      <c r="M107" s="4">
        <v>14</v>
      </c>
      <c r="N107" s="4">
        <v>0.42899999999999999</v>
      </c>
      <c r="O107" s="4">
        <v>109</v>
      </c>
      <c r="P107" s="4">
        <v>202</v>
      </c>
      <c r="Q107" s="4">
        <v>0.54</v>
      </c>
      <c r="R107" s="4">
        <v>60</v>
      </c>
      <c r="S107" s="4">
        <v>81</v>
      </c>
      <c r="T107" s="4">
        <v>0.74099999999999999</v>
      </c>
      <c r="U107" s="4">
        <v>36</v>
      </c>
      <c r="V107" s="4">
        <v>118</v>
      </c>
      <c r="W107" s="4">
        <v>25</v>
      </c>
      <c r="X107" s="4">
        <v>19</v>
      </c>
      <c r="Y107" s="4">
        <v>9</v>
      </c>
      <c r="Z107" s="4">
        <v>43</v>
      </c>
      <c r="AA107" s="4">
        <v>64</v>
      </c>
      <c r="AB107" s="4">
        <v>296</v>
      </c>
      <c r="AC107" s="5">
        <f t="shared" si="1"/>
        <v>0.58139534883720934</v>
      </c>
    </row>
    <row r="108" spans="1:29" ht="15.75" customHeight="1">
      <c r="A108" s="1" t="s">
        <v>228</v>
      </c>
      <c r="B108" s="3" t="s">
        <v>161</v>
      </c>
      <c r="C108" s="4" t="s">
        <v>8</v>
      </c>
      <c r="D108" s="4">
        <v>40</v>
      </c>
      <c r="E108" s="4">
        <v>544</v>
      </c>
      <c r="F108" s="4">
        <v>40</v>
      </c>
      <c r="G108" s="4">
        <v>3</v>
      </c>
      <c r="H108" s="4">
        <v>544</v>
      </c>
      <c r="I108" s="4">
        <v>64</v>
      </c>
      <c r="J108" s="4">
        <v>182</v>
      </c>
      <c r="K108" s="4">
        <v>0.35199999999999998</v>
      </c>
      <c r="L108" s="4">
        <v>44</v>
      </c>
      <c r="M108" s="4">
        <v>132</v>
      </c>
      <c r="N108" s="4">
        <v>0.33300000000000002</v>
      </c>
      <c r="O108" s="4">
        <v>20</v>
      </c>
      <c r="P108" s="4">
        <v>50</v>
      </c>
      <c r="Q108" s="4">
        <v>0.4</v>
      </c>
      <c r="R108" s="4">
        <v>44</v>
      </c>
      <c r="S108" s="4">
        <v>50</v>
      </c>
      <c r="T108" s="4">
        <v>0.88</v>
      </c>
      <c r="U108" s="4">
        <v>9</v>
      </c>
      <c r="V108" s="4">
        <v>46</v>
      </c>
      <c r="W108" s="4">
        <v>41</v>
      </c>
      <c r="X108" s="4">
        <v>14</v>
      </c>
      <c r="Y108" s="4">
        <v>0</v>
      </c>
      <c r="Z108" s="4">
        <v>20</v>
      </c>
      <c r="AA108" s="4">
        <v>51</v>
      </c>
      <c r="AB108" s="4">
        <v>216</v>
      </c>
      <c r="AC108" s="5">
        <f t="shared" si="1"/>
        <v>2.0499999999999998</v>
      </c>
    </row>
    <row r="109" spans="1:29" ht="15.75" customHeight="1">
      <c r="A109" s="1" t="s">
        <v>225</v>
      </c>
      <c r="B109" s="3" t="s">
        <v>93</v>
      </c>
      <c r="C109" s="4" t="s">
        <v>85</v>
      </c>
      <c r="D109" s="4">
        <v>33</v>
      </c>
      <c r="E109" s="4">
        <v>543</v>
      </c>
      <c r="F109" s="4">
        <v>33</v>
      </c>
      <c r="G109" s="4">
        <v>5</v>
      </c>
      <c r="H109" s="4">
        <v>543</v>
      </c>
      <c r="I109" s="4">
        <v>49</v>
      </c>
      <c r="J109" s="4">
        <v>130</v>
      </c>
      <c r="K109" s="4">
        <v>0.377</v>
      </c>
      <c r="L109" s="4">
        <v>19</v>
      </c>
      <c r="M109" s="4">
        <v>64</v>
      </c>
      <c r="N109" s="4">
        <v>0.29699999999999999</v>
      </c>
      <c r="O109" s="4">
        <v>30</v>
      </c>
      <c r="P109" s="4">
        <v>66</v>
      </c>
      <c r="Q109" s="4">
        <v>0.45500000000000002</v>
      </c>
      <c r="R109" s="4">
        <v>92</v>
      </c>
      <c r="S109" s="4">
        <v>110</v>
      </c>
      <c r="T109" s="4">
        <v>0.83599999999999997</v>
      </c>
      <c r="U109" s="4">
        <v>21</v>
      </c>
      <c r="V109" s="4">
        <v>89</v>
      </c>
      <c r="W109" s="4">
        <v>42</v>
      </c>
      <c r="X109" s="4">
        <v>17</v>
      </c>
      <c r="Y109" s="4">
        <v>7</v>
      </c>
      <c r="Z109" s="4">
        <v>45</v>
      </c>
      <c r="AA109" s="4">
        <v>63</v>
      </c>
      <c r="AB109" s="4">
        <v>209</v>
      </c>
      <c r="AC109" s="5">
        <f t="shared" si="1"/>
        <v>0.93333333333333335</v>
      </c>
    </row>
    <row r="110" spans="1:29" ht="15.75" customHeight="1">
      <c r="A110" s="1" t="s">
        <v>243</v>
      </c>
      <c r="B110" s="4" t="s">
        <v>128</v>
      </c>
      <c r="C110" s="4" t="s">
        <v>8</v>
      </c>
      <c r="D110" s="4">
        <v>41</v>
      </c>
      <c r="E110" s="4">
        <v>532</v>
      </c>
      <c r="F110" s="4">
        <v>41</v>
      </c>
      <c r="G110" s="4">
        <v>1</v>
      </c>
      <c r="H110" s="4">
        <v>532</v>
      </c>
      <c r="I110" s="4">
        <v>69</v>
      </c>
      <c r="J110" s="4">
        <v>167</v>
      </c>
      <c r="K110" s="4">
        <v>0.41299999999999998</v>
      </c>
      <c r="L110" s="4">
        <v>19</v>
      </c>
      <c r="M110" s="4">
        <v>63</v>
      </c>
      <c r="N110" s="4">
        <v>0.30199999999999999</v>
      </c>
      <c r="O110" s="4">
        <v>50</v>
      </c>
      <c r="P110" s="4">
        <v>104</v>
      </c>
      <c r="Q110" s="4">
        <v>0.48099999999999998</v>
      </c>
      <c r="R110" s="4">
        <v>31</v>
      </c>
      <c r="S110" s="4">
        <v>34</v>
      </c>
      <c r="T110" s="4">
        <v>0.91200000000000003</v>
      </c>
      <c r="U110" s="4">
        <v>11</v>
      </c>
      <c r="V110" s="4">
        <v>60</v>
      </c>
      <c r="W110" s="4">
        <v>43</v>
      </c>
      <c r="X110" s="4">
        <v>10</v>
      </c>
      <c r="Y110" s="4">
        <v>4</v>
      </c>
      <c r="Z110" s="4">
        <v>30</v>
      </c>
      <c r="AA110" s="4">
        <v>52</v>
      </c>
      <c r="AB110" s="4">
        <v>188</v>
      </c>
      <c r="AC110" s="5">
        <f t="shared" si="1"/>
        <v>1.4333333333333333</v>
      </c>
    </row>
    <row r="111" spans="1:29" ht="15.75" customHeight="1">
      <c r="A111" s="1" t="s">
        <v>248</v>
      </c>
      <c r="B111" s="4" t="s">
        <v>84</v>
      </c>
      <c r="C111" s="4" t="s">
        <v>85</v>
      </c>
      <c r="D111" s="4">
        <v>18</v>
      </c>
      <c r="E111" s="4">
        <v>531</v>
      </c>
      <c r="F111" s="4">
        <v>18</v>
      </c>
      <c r="G111" s="4">
        <v>18</v>
      </c>
      <c r="H111" s="4">
        <v>531</v>
      </c>
      <c r="I111" s="4">
        <v>58</v>
      </c>
      <c r="J111" s="4">
        <v>130</v>
      </c>
      <c r="K111" s="4">
        <v>0.44600000000000001</v>
      </c>
      <c r="L111" s="4">
        <v>33</v>
      </c>
      <c r="M111" s="4">
        <v>76</v>
      </c>
      <c r="N111" s="4">
        <v>0.434</v>
      </c>
      <c r="O111" s="4">
        <v>25</v>
      </c>
      <c r="P111" s="4">
        <v>54</v>
      </c>
      <c r="Q111" s="4">
        <v>0.46300000000000002</v>
      </c>
      <c r="R111" s="4">
        <v>28</v>
      </c>
      <c r="S111" s="4">
        <v>32</v>
      </c>
      <c r="T111" s="4">
        <v>0.875</v>
      </c>
      <c r="U111" s="4">
        <v>22</v>
      </c>
      <c r="V111" s="4">
        <v>56</v>
      </c>
      <c r="W111" s="4">
        <v>36</v>
      </c>
      <c r="X111" s="4">
        <v>23</v>
      </c>
      <c r="Y111" s="4">
        <v>1</v>
      </c>
      <c r="Z111" s="4">
        <v>32</v>
      </c>
      <c r="AA111" s="4">
        <v>44</v>
      </c>
      <c r="AB111" s="4">
        <v>177</v>
      </c>
      <c r="AC111" s="5">
        <f t="shared" si="1"/>
        <v>1.125</v>
      </c>
    </row>
    <row r="112" spans="1:29" ht="15.75" customHeight="1">
      <c r="A112" s="1" t="s">
        <v>262</v>
      </c>
      <c r="B112" s="3" t="s">
        <v>131</v>
      </c>
      <c r="C112" s="4" t="s">
        <v>8</v>
      </c>
      <c r="D112" s="4">
        <v>24</v>
      </c>
      <c r="E112" s="4">
        <v>528</v>
      </c>
      <c r="F112" s="4">
        <v>24</v>
      </c>
      <c r="G112" s="4">
        <v>21</v>
      </c>
      <c r="H112" s="4">
        <v>528</v>
      </c>
      <c r="I112" s="4">
        <v>76</v>
      </c>
      <c r="J112" s="4">
        <v>172</v>
      </c>
      <c r="K112" s="4">
        <v>0.442</v>
      </c>
      <c r="L112" s="4">
        <v>22</v>
      </c>
      <c r="M112" s="4">
        <v>57</v>
      </c>
      <c r="N112" s="4">
        <v>0.38600000000000001</v>
      </c>
      <c r="O112" s="4">
        <v>54</v>
      </c>
      <c r="P112" s="4">
        <v>115</v>
      </c>
      <c r="Q112" s="4">
        <v>0.47</v>
      </c>
      <c r="R112" s="4">
        <v>48</v>
      </c>
      <c r="S112" s="4">
        <v>62</v>
      </c>
      <c r="T112" s="4">
        <v>0.77400000000000002</v>
      </c>
      <c r="U112" s="4">
        <v>10</v>
      </c>
      <c r="V112" s="4">
        <v>68</v>
      </c>
      <c r="W112" s="4">
        <v>125</v>
      </c>
      <c r="X112" s="4">
        <v>27</v>
      </c>
      <c r="Y112" s="4">
        <v>7</v>
      </c>
      <c r="Z112" s="4">
        <v>48</v>
      </c>
      <c r="AA112" s="4">
        <v>38</v>
      </c>
      <c r="AB112" s="4">
        <v>222</v>
      </c>
      <c r="AC112" s="5">
        <f t="shared" si="1"/>
        <v>2.6041666666666665</v>
      </c>
    </row>
    <row r="113" spans="1:29" ht="15.75" customHeight="1">
      <c r="A113" s="1" t="s">
        <v>136</v>
      </c>
      <c r="B113" s="3" t="s">
        <v>240</v>
      </c>
      <c r="C113" s="4" t="s">
        <v>8</v>
      </c>
      <c r="D113" s="4">
        <v>17</v>
      </c>
      <c r="E113" s="4">
        <v>519</v>
      </c>
      <c r="F113" s="4">
        <v>17</v>
      </c>
      <c r="G113" s="4">
        <v>15</v>
      </c>
      <c r="H113" s="4">
        <v>519</v>
      </c>
      <c r="I113" s="4">
        <v>126</v>
      </c>
      <c r="J113" s="4">
        <v>243</v>
      </c>
      <c r="K113" s="4">
        <v>0.51900000000000002</v>
      </c>
      <c r="L113" s="4">
        <v>40</v>
      </c>
      <c r="M113" s="4">
        <v>106</v>
      </c>
      <c r="N113" s="4">
        <v>0.377</v>
      </c>
      <c r="O113" s="4">
        <v>86</v>
      </c>
      <c r="P113" s="4">
        <v>137</v>
      </c>
      <c r="Q113" s="4">
        <v>0.628</v>
      </c>
      <c r="R113" s="4">
        <v>74</v>
      </c>
      <c r="S113" s="4">
        <v>91</v>
      </c>
      <c r="T113" s="4">
        <v>0.81299999999999994</v>
      </c>
      <c r="U113" s="4">
        <v>3</v>
      </c>
      <c r="V113" s="4">
        <v>35</v>
      </c>
      <c r="W113" s="4">
        <v>91</v>
      </c>
      <c r="X113" s="4">
        <v>17</v>
      </c>
      <c r="Y113" s="4">
        <v>0</v>
      </c>
      <c r="Z113" s="4">
        <v>48</v>
      </c>
      <c r="AA113" s="4">
        <v>56</v>
      </c>
      <c r="AB113" s="4">
        <v>366</v>
      </c>
      <c r="AC113" s="5">
        <f t="shared" si="1"/>
        <v>1.8958333333333333</v>
      </c>
    </row>
    <row r="114" spans="1:29" ht="15.75" customHeight="1">
      <c r="A114" s="1" t="s">
        <v>221</v>
      </c>
      <c r="B114" s="3" t="s">
        <v>157</v>
      </c>
      <c r="C114" s="4" t="s">
        <v>8</v>
      </c>
      <c r="D114" s="4">
        <v>36</v>
      </c>
      <c r="E114" s="4">
        <v>502</v>
      </c>
      <c r="F114" s="4">
        <v>36</v>
      </c>
      <c r="G114" s="4">
        <v>4</v>
      </c>
      <c r="H114" s="4">
        <v>502</v>
      </c>
      <c r="I114" s="4">
        <v>53</v>
      </c>
      <c r="J114" s="4">
        <v>122</v>
      </c>
      <c r="K114" s="4">
        <v>0.434</v>
      </c>
      <c r="L114" s="4">
        <v>24</v>
      </c>
      <c r="M114" s="4">
        <v>66</v>
      </c>
      <c r="N114" s="4">
        <v>0.36399999999999999</v>
      </c>
      <c r="O114" s="4">
        <v>29</v>
      </c>
      <c r="P114" s="4">
        <v>56</v>
      </c>
      <c r="Q114" s="4">
        <v>0.51800000000000002</v>
      </c>
      <c r="R114" s="4">
        <v>24</v>
      </c>
      <c r="S114" s="4">
        <v>27</v>
      </c>
      <c r="T114" s="4">
        <v>0.88900000000000001</v>
      </c>
      <c r="U114" s="4">
        <v>5</v>
      </c>
      <c r="V114" s="4">
        <v>38</v>
      </c>
      <c r="W114" s="4">
        <v>72</v>
      </c>
      <c r="X114" s="4">
        <v>10</v>
      </c>
      <c r="Y114" s="4">
        <v>5</v>
      </c>
      <c r="Z114" s="4">
        <v>18</v>
      </c>
      <c r="AA114" s="4">
        <v>40</v>
      </c>
      <c r="AB114" s="4">
        <v>154</v>
      </c>
      <c r="AC114" s="5">
        <f t="shared" si="1"/>
        <v>4</v>
      </c>
    </row>
    <row r="115" spans="1:29" ht="15.75" customHeight="1">
      <c r="A115" s="1" t="s">
        <v>160</v>
      </c>
      <c r="B115" s="3" t="s">
        <v>161</v>
      </c>
      <c r="C115" s="4" t="s">
        <v>8</v>
      </c>
      <c r="D115" s="4">
        <v>17</v>
      </c>
      <c r="E115" s="4">
        <v>500</v>
      </c>
      <c r="F115" s="4">
        <v>17</v>
      </c>
      <c r="G115" s="4">
        <v>17</v>
      </c>
      <c r="H115" s="4">
        <v>500</v>
      </c>
      <c r="I115" s="4">
        <v>102</v>
      </c>
      <c r="J115" s="4">
        <v>244</v>
      </c>
      <c r="K115" s="4">
        <v>0.41799999999999998</v>
      </c>
      <c r="L115" s="4">
        <v>16</v>
      </c>
      <c r="M115" s="4">
        <v>62</v>
      </c>
      <c r="N115" s="4">
        <v>0.25800000000000001</v>
      </c>
      <c r="O115" s="4">
        <v>86</v>
      </c>
      <c r="P115" s="4">
        <v>182</v>
      </c>
      <c r="Q115" s="4">
        <v>0.47299999999999998</v>
      </c>
      <c r="R115" s="4">
        <v>96</v>
      </c>
      <c r="S115" s="4">
        <v>107</v>
      </c>
      <c r="T115" s="4">
        <v>0.89700000000000002</v>
      </c>
      <c r="U115" s="4">
        <v>16</v>
      </c>
      <c r="V115" s="4">
        <v>59</v>
      </c>
      <c r="W115" s="4">
        <v>57</v>
      </c>
      <c r="X115" s="4">
        <v>20</v>
      </c>
      <c r="Y115" s="4">
        <v>8</v>
      </c>
      <c r="Z115" s="4">
        <v>36</v>
      </c>
      <c r="AA115" s="4">
        <v>41</v>
      </c>
      <c r="AB115" s="4">
        <v>316</v>
      </c>
      <c r="AC115" s="5">
        <f t="shared" si="1"/>
        <v>1.5833333333333333</v>
      </c>
    </row>
    <row r="116" spans="1:29" ht="15.75" customHeight="1">
      <c r="A116" s="1" t="s">
        <v>187</v>
      </c>
      <c r="B116" s="3" t="s">
        <v>117</v>
      </c>
      <c r="C116" s="4" t="s">
        <v>119</v>
      </c>
      <c r="D116" s="4">
        <v>38</v>
      </c>
      <c r="E116" s="4">
        <v>498</v>
      </c>
      <c r="F116" s="4">
        <v>38</v>
      </c>
      <c r="G116" s="4">
        <v>4</v>
      </c>
      <c r="H116" s="4">
        <v>498</v>
      </c>
      <c r="I116" s="4">
        <v>30</v>
      </c>
      <c r="J116" s="4">
        <v>52</v>
      </c>
      <c r="K116" s="4">
        <v>0.57699999999999996</v>
      </c>
      <c r="L116" s="4">
        <v>0</v>
      </c>
      <c r="M116" s="4">
        <v>0</v>
      </c>
      <c r="N116" s="4">
        <v>0</v>
      </c>
      <c r="O116" s="4">
        <v>30</v>
      </c>
      <c r="P116" s="4">
        <v>52</v>
      </c>
      <c r="Q116" s="4">
        <v>0.57699999999999996</v>
      </c>
      <c r="R116" s="4">
        <v>2</v>
      </c>
      <c r="S116" s="4">
        <v>2</v>
      </c>
      <c r="T116" s="4">
        <v>1</v>
      </c>
      <c r="U116" s="4">
        <v>21</v>
      </c>
      <c r="V116" s="4">
        <v>86</v>
      </c>
      <c r="W116" s="4">
        <v>8</v>
      </c>
      <c r="X116" s="4">
        <v>10</v>
      </c>
      <c r="Y116" s="4">
        <v>20</v>
      </c>
      <c r="Z116" s="4">
        <v>25</v>
      </c>
      <c r="AA116" s="4">
        <v>54</v>
      </c>
      <c r="AB116" s="4">
        <v>62</v>
      </c>
      <c r="AC116" s="5">
        <f t="shared" si="1"/>
        <v>0.32</v>
      </c>
    </row>
    <row r="117" spans="1:29" ht="15.75" customHeight="1">
      <c r="A117" s="1" t="s">
        <v>213</v>
      </c>
      <c r="B117" s="3" t="s">
        <v>131</v>
      </c>
      <c r="C117" s="4" t="s">
        <v>8</v>
      </c>
      <c r="D117" s="4">
        <v>37</v>
      </c>
      <c r="E117" s="4">
        <v>496</v>
      </c>
      <c r="F117" s="4">
        <v>37</v>
      </c>
      <c r="G117" s="4">
        <v>2</v>
      </c>
      <c r="H117" s="4">
        <v>496</v>
      </c>
      <c r="I117" s="4">
        <v>61</v>
      </c>
      <c r="J117" s="4">
        <v>171</v>
      </c>
      <c r="K117" s="4">
        <v>0.35699999999999998</v>
      </c>
      <c r="L117" s="4">
        <v>41</v>
      </c>
      <c r="M117" s="4">
        <v>125</v>
      </c>
      <c r="N117" s="4">
        <v>0.32800000000000001</v>
      </c>
      <c r="O117" s="4">
        <v>20</v>
      </c>
      <c r="P117" s="4">
        <v>46</v>
      </c>
      <c r="Q117" s="4">
        <v>0.435</v>
      </c>
      <c r="R117" s="4">
        <v>15</v>
      </c>
      <c r="S117" s="4">
        <v>19</v>
      </c>
      <c r="T117" s="4">
        <v>0.78900000000000003</v>
      </c>
      <c r="U117" s="4">
        <v>3</v>
      </c>
      <c r="V117" s="4">
        <v>45</v>
      </c>
      <c r="W117" s="4">
        <v>45</v>
      </c>
      <c r="X117" s="4">
        <v>11</v>
      </c>
      <c r="Y117" s="4">
        <v>8</v>
      </c>
      <c r="Z117" s="4">
        <v>28</v>
      </c>
      <c r="AA117" s="4">
        <v>47</v>
      </c>
      <c r="AB117" s="4">
        <v>178</v>
      </c>
      <c r="AC117" s="5">
        <f t="shared" si="1"/>
        <v>1.6071428571428572</v>
      </c>
    </row>
    <row r="118" spans="1:29" ht="15.75" customHeight="1">
      <c r="A118" s="1" t="s">
        <v>249</v>
      </c>
      <c r="B118" s="3" t="s">
        <v>114</v>
      </c>
      <c r="C118" s="4" t="s">
        <v>8</v>
      </c>
      <c r="D118" s="4">
        <v>32</v>
      </c>
      <c r="E118" s="4">
        <v>491</v>
      </c>
      <c r="F118" s="4">
        <v>32</v>
      </c>
      <c r="G118" s="4">
        <v>1</v>
      </c>
      <c r="H118" s="4">
        <v>491</v>
      </c>
      <c r="I118" s="4">
        <v>47</v>
      </c>
      <c r="J118" s="4">
        <v>116</v>
      </c>
      <c r="K118" s="4">
        <v>0.40500000000000003</v>
      </c>
      <c r="L118" s="4">
        <v>26</v>
      </c>
      <c r="M118" s="4">
        <v>81</v>
      </c>
      <c r="N118" s="4">
        <v>0.32100000000000001</v>
      </c>
      <c r="O118" s="4">
        <v>21</v>
      </c>
      <c r="P118" s="4">
        <v>35</v>
      </c>
      <c r="Q118" s="4">
        <v>0.6</v>
      </c>
      <c r="R118" s="4">
        <v>22</v>
      </c>
      <c r="S118" s="4">
        <v>28</v>
      </c>
      <c r="T118" s="4">
        <v>0.78600000000000003</v>
      </c>
      <c r="U118" s="4">
        <v>12</v>
      </c>
      <c r="V118" s="4">
        <v>67</v>
      </c>
      <c r="W118" s="4">
        <v>26</v>
      </c>
      <c r="X118" s="4">
        <v>26</v>
      </c>
      <c r="Y118" s="4">
        <v>3</v>
      </c>
      <c r="Z118" s="4">
        <v>15</v>
      </c>
      <c r="AA118" s="4">
        <v>30</v>
      </c>
      <c r="AB118" s="4">
        <v>142</v>
      </c>
      <c r="AC118" s="5">
        <f t="shared" si="1"/>
        <v>1.7333333333333334</v>
      </c>
    </row>
    <row r="119" spans="1:29" ht="15.75" customHeight="1">
      <c r="A119" s="1" t="s">
        <v>234</v>
      </c>
      <c r="B119" s="3" t="s">
        <v>232</v>
      </c>
      <c r="C119" s="4" t="s">
        <v>85</v>
      </c>
      <c r="D119" s="4">
        <v>37</v>
      </c>
      <c r="E119" s="4">
        <v>490</v>
      </c>
      <c r="F119" s="4">
        <v>37</v>
      </c>
      <c r="G119" s="4">
        <v>3</v>
      </c>
      <c r="H119" s="4">
        <v>490</v>
      </c>
      <c r="I119" s="4">
        <v>64</v>
      </c>
      <c r="J119" s="4">
        <v>116</v>
      </c>
      <c r="K119" s="4">
        <v>0.55200000000000005</v>
      </c>
      <c r="L119" s="4">
        <v>1</v>
      </c>
      <c r="M119" s="4">
        <v>2</v>
      </c>
      <c r="N119" s="4">
        <v>0.5</v>
      </c>
      <c r="O119" s="4">
        <v>63</v>
      </c>
      <c r="P119" s="4">
        <v>114</v>
      </c>
      <c r="Q119" s="4">
        <v>0.55300000000000005</v>
      </c>
      <c r="R119" s="4">
        <v>32</v>
      </c>
      <c r="S119" s="4">
        <v>52</v>
      </c>
      <c r="T119" s="4">
        <v>0.61499999999999999</v>
      </c>
      <c r="U119" s="4">
        <v>34</v>
      </c>
      <c r="V119" s="4">
        <v>103</v>
      </c>
      <c r="W119" s="4">
        <v>18</v>
      </c>
      <c r="X119" s="4">
        <v>16</v>
      </c>
      <c r="Y119" s="4">
        <v>16</v>
      </c>
      <c r="Z119" s="4">
        <v>28</v>
      </c>
      <c r="AA119" s="4">
        <v>71</v>
      </c>
      <c r="AB119" s="4">
        <v>161</v>
      </c>
      <c r="AC119" s="5">
        <f t="shared" si="1"/>
        <v>0.6428571428571429</v>
      </c>
    </row>
    <row r="120" spans="1:29" ht="15.75" customHeight="1">
      <c r="A120" s="1" t="s">
        <v>206</v>
      </c>
      <c r="B120" s="3" t="s">
        <v>157</v>
      </c>
      <c r="C120" s="4" t="s">
        <v>85</v>
      </c>
      <c r="D120" s="4">
        <v>35</v>
      </c>
      <c r="E120" s="4">
        <v>482</v>
      </c>
      <c r="F120" s="4">
        <v>35</v>
      </c>
      <c r="G120" s="4">
        <v>3</v>
      </c>
      <c r="H120" s="4">
        <v>482</v>
      </c>
      <c r="I120" s="4">
        <v>53</v>
      </c>
      <c r="J120" s="4">
        <v>109</v>
      </c>
      <c r="K120" s="4">
        <v>0.48599999999999999</v>
      </c>
      <c r="L120" s="4">
        <v>8</v>
      </c>
      <c r="M120" s="4">
        <v>23</v>
      </c>
      <c r="N120" s="4">
        <v>0.34799999999999998</v>
      </c>
      <c r="O120" s="4">
        <v>45</v>
      </c>
      <c r="P120" s="4">
        <v>86</v>
      </c>
      <c r="Q120" s="4">
        <v>0.52300000000000002</v>
      </c>
      <c r="R120" s="4">
        <v>19</v>
      </c>
      <c r="S120" s="4">
        <v>31</v>
      </c>
      <c r="T120" s="4">
        <v>0.61299999999999999</v>
      </c>
      <c r="U120" s="4">
        <v>21</v>
      </c>
      <c r="V120" s="4">
        <v>115</v>
      </c>
      <c r="W120" s="4">
        <v>52</v>
      </c>
      <c r="X120" s="4">
        <v>17</v>
      </c>
      <c r="Y120" s="4">
        <v>13</v>
      </c>
      <c r="Z120" s="4">
        <v>37</v>
      </c>
      <c r="AA120" s="4">
        <v>72</v>
      </c>
      <c r="AB120" s="4">
        <v>133</v>
      </c>
      <c r="AC120" s="5">
        <f t="shared" si="1"/>
        <v>1.4054054054054055</v>
      </c>
    </row>
    <row r="121" spans="1:29" ht="15.75" customHeight="1">
      <c r="A121" s="1" t="s">
        <v>264</v>
      </c>
      <c r="B121" s="3" t="s">
        <v>84</v>
      </c>
      <c r="C121" s="4" t="s">
        <v>112</v>
      </c>
      <c r="D121" s="4">
        <v>26</v>
      </c>
      <c r="E121" s="4">
        <v>476</v>
      </c>
      <c r="F121" s="4">
        <v>26</v>
      </c>
      <c r="G121" s="4">
        <v>12</v>
      </c>
      <c r="H121" s="4">
        <v>476</v>
      </c>
      <c r="I121" s="4">
        <v>50</v>
      </c>
      <c r="J121" s="4">
        <v>121</v>
      </c>
      <c r="K121" s="4">
        <v>0.41299999999999998</v>
      </c>
      <c r="L121" s="4">
        <v>32</v>
      </c>
      <c r="M121" s="4">
        <v>81</v>
      </c>
      <c r="N121" s="4">
        <v>0.39500000000000002</v>
      </c>
      <c r="O121" s="4">
        <v>18</v>
      </c>
      <c r="P121" s="4">
        <v>40</v>
      </c>
      <c r="Q121" s="4">
        <v>0.45</v>
      </c>
      <c r="R121" s="4">
        <v>13</v>
      </c>
      <c r="S121" s="4">
        <v>15</v>
      </c>
      <c r="T121" s="4">
        <v>0.86699999999999999</v>
      </c>
      <c r="U121" s="4">
        <v>15</v>
      </c>
      <c r="V121" s="4">
        <v>63</v>
      </c>
      <c r="W121" s="4">
        <v>17</v>
      </c>
      <c r="X121" s="4">
        <v>15</v>
      </c>
      <c r="Y121" s="4">
        <v>10</v>
      </c>
      <c r="Z121" s="4">
        <v>15</v>
      </c>
      <c r="AA121" s="4">
        <v>56</v>
      </c>
      <c r="AB121" s="4">
        <v>145</v>
      </c>
      <c r="AC121" s="5">
        <f t="shared" si="1"/>
        <v>1.1333333333333333</v>
      </c>
    </row>
    <row r="122" spans="1:29" ht="15.75" customHeight="1">
      <c r="A122" s="1" t="s">
        <v>254</v>
      </c>
      <c r="B122" s="4" t="s">
        <v>232</v>
      </c>
      <c r="C122" s="4" t="s">
        <v>8</v>
      </c>
      <c r="D122" s="4">
        <v>30</v>
      </c>
      <c r="E122" s="4">
        <v>475</v>
      </c>
      <c r="F122" s="4">
        <v>30</v>
      </c>
      <c r="G122" s="4">
        <v>2</v>
      </c>
      <c r="H122" s="4">
        <v>475</v>
      </c>
      <c r="I122" s="4">
        <v>42</v>
      </c>
      <c r="J122" s="4">
        <v>113</v>
      </c>
      <c r="K122" s="4">
        <v>0.372</v>
      </c>
      <c r="L122" s="4">
        <v>30</v>
      </c>
      <c r="M122" s="4">
        <v>95</v>
      </c>
      <c r="N122" s="4">
        <v>0.316</v>
      </c>
      <c r="O122" s="4">
        <v>12</v>
      </c>
      <c r="P122" s="4">
        <v>18</v>
      </c>
      <c r="Q122" s="4">
        <v>0.66700000000000004</v>
      </c>
      <c r="R122" s="4">
        <v>30</v>
      </c>
      <c r="S122" s="4">
        <v>33</v>
      </c>
      <c r="T122" s="4">
        <v>0.90900000000000003</v>
      </c>
      <c r="U122" s="4">
        <v>15</v>
      </c>
      <c r="V122" s="4">
        <v>45</v>
      </c>
      <c r="W122" s="4">
        <v>24</v>
      </c>
      <c r="X122" s="4">
        <v>17</v>
      </c>
      <c r="Y122" s="4">
        <v>3</v>
      </c>
      <c r="Z122" s="4">
        <v>10</v>
      </c>
      <c r="AA122" s="4">
        <v>51</v>
      </c>
      <c r="AB122" s="4">
        <v>144</v>
      </c>
      <c r="AC122" s="5">
        <f t="shared" si="1"/>
        <v>2.4</v>
      </c>
    </row>
    <row r="123" spans="1:29" ht="15.75" customHeight="1">
      <c r="A123" s="1" t="s">
        <v>133</v>
      </c>
      <c r="B123" s="3" t="s">
        <v>99</v>
      </c>
      <c r="C123" s="4" t="s">
        <v>8</v>
      </c>
      <c r="D123" s="4">
        <v>32</v>
      </c>
      <c r="E123" s="4">
        <v>461</v>
      </c>
      <c r="F123" s="4">
        <v>32</v>
      </c>
      <c r="G123" s="4">
        <v>11</v>
      </c>
      <c r="H123" s="4">
        <v>461</v>
      </c>
      <c r="I123" s="4">
        <v>52</v>
      </c>
      <c r="J123" s="4">
        <v>138</v>
      </c>
      <c r="K123" s="4">
        <v>0.377</v>
      </c>
      <c r="L123" s="4">
        <v>15</v>
      </c>
      <c r="M123" s="4">
        <v>48</v>
      </c>
      <c r="N123" s="4">
        <v>0.313</v>
      </c>
      <c r="O123" s="4">
        <v>37</v>
      </c>
      <c r="P123" s="4">
        <v>90</v>
      </c>
      <c r="Q123" s="4">
        <v>0.41099999999999998</v>
      </c>
      <c r="R123" s="4">
        <v>31</v>
      </c>
      <c r="S123" s="4">
        <v>36</v>
      </c>
      <c r="T123" s="4">
        <v>0.86099999999999999</v>
      </c>
      <c r="U123" s="4">
        <v>4</v>
      </c>
      <c r="V123" s="4">
        <v>30</v>
      </c>
      <c r="W123" s="4">
        <v>65</v>
      </c>
      <c r="X123" s="4">
        <v>16</v>
      </c>
      <c r="Y123" s="4">
        <v>2</v>
      </c>
      <c r="Z123" s="4">
        <v>33</v>
      </c>
      <c r="AA123" s="4">
        <v>38</v>
      </c>
      <c r="AB123" s="4">
        <v>150</v>
      </c>
      <c r="AC123" s="5">
        <f t="shared" si="1"/>
        <v>1.9696969696969697</v>
      </c>
    </row>
    <row r="124" spans="1:29" ht="15.75" customHeight="1">
      <c r="A124" s="1" t="s">
        <v>172</v>
      </c>
      <c r="B124" s="4" t="s">
        <v>107</v>
      </c>
      <c r="C124" s="4" t="s">
        <v>88</v>
      </c>
      <c r="D124" s="4">
        <v>18</v>
      </c>
      <c r="E124" s="4">
        <v>455</v>
      </c>
      <c r="F124" s="4">
        <v>18</v>
      </c>
      <c r="G124" s="4">
        <v>18</v>
      </c>
      <c r="H124" s="4">
        <v>455</v>
      </c>
      <c r="I124" s="4">
        <v>97</v>
      </c>
      <c r="J124" s="4">
        <v>184</v>
      </c>
      <c r="K124" s="4">
        <v>0.52700000000000002</v>
      </c>
      <c r="L124" s="4">
        <v>1</v>
      </c>
      <c r="M124" s="4">
        <v>4</v>
      </c>
      <c r="N124" s="4">
        <v>0.25</v>
      </c>
      <c r="O124" s="4">
        <v>96</v>
      </c>
      <c r="P124" s="4">
        <v>180</v>
      </c>
      <c r="Q124" s="4">
        <v>0.53300000000000003</v>
      </c>
      <c r="R124" s="4">
        <v>43</v>
      </c>
      <c r="S124" s="4">
        <v>64</v>
      </c>
      <c r="T124" s="4">
        <v>0.67200000000000004</v>
      </c>
      <c r="U124" s="4">
        <v>35</v>
      </c>
      <c r="V124" s="4">
        <v>105</v>
      </c>
      <c r="W124" s="4">
        <v>45</v>
      </c>
      <c r="X124" s="4">
        <v>8</v>
      </c>
      <c r="Y124" s="4">
        <v>32</v>
      </c>
      <c r="Z124" s="4">
        <v>32</v>
      </c>
      <c r="AA124" s="4">
        <v>48</v>
      </c>
      <c r="AB124" s="4">
        <v>238</v>
      </c>
      <c r="AC124" s="5">
        <f t="shared" si="1"/>
        <v>1.40625</v>
      </c>
    </row>
    <row r="125" spans="1:29" ht="15.75" customHeight="1">
      <c r="A125" s="1" t="s">
        <v>100</v>
      </c>
      <c r="B125" s="3" t="s">
        <v>240</v>
      </c>
      <c r="C125" s="4" t="s">
        <v>94</v>
      </c>
      <c r="D125" s="4">
        <v>27</v>
      </c>
      <c r="E125" s="4">
        <v>448</v>
      </c>
      <c r="F125" s="4">
        <v>27</v>
      </c>
      <c r="G125" s="4">
        <v>5</v>
      </c>
      <c r="H125" s="4">
        <v>448</v>
      </c>
      <c r="I125" s="4">
        <v>41</v>
      </c>
      <c r="J125" s="4">
        <v>107</v>
      </c>
      <c r="K125" s="4">
        <v>0.38300000000000001</v>
      </c>
      <c r="L125" s="4">
        <v>14</v>
      </c>
      <c r="M125" s="4">
        <v>53</v>
      </c>
      <c r="N125" s="4">
        <v>0.26400000000000001</v>
      </c>
      <c r="O125" s="4">
        <v>27</v>
      </c>
      <c r="P125" s="4">
        <v>54</v>
      </c>
      <c r="Q125" s="4">
        <v>0.5</v>
      </c>
      <c r="R125" s="4">
        <v>30</v>
      </c>
      <c r="S125" s="4">
        <v>37</v>
      </c>
      <c r="T125" s="4">
        <v>0.81100000000000005</v>
      </c>
      <c r="U125" s="4">
        <v>6</v>
      </c>
      <c r="V125" s="4">
        <v>52</v>
      </c>
      <c r="W125" s="4">
        <v>53</v>
      </c>
      <c r="X125" s="4">
        <v>10</v>
      </c>
      <c r="Y125" s="4">
        <v>4</v>
      </c>
      <c r="Z125" s="4">
        <v>35</v>
      </c>
      <c r="AA125" s="4">
        <v>38</v>
      </c>
      <c r="AB125" s="4">
        <v>126</v>
      </c>
      <c r="AC125" s="5">
        <f t="shared" si="1"/>
        <v>1.5142857142857142</v>
      </c>
    </row>
    <row r="126" spans="1:29" ht="15.75" customHeight="1">
      <c r="A126" s="1" t="s">
        <v>233</v>
      </c>
      <c r="B126" s="3" t="s">
        <v>107</v>
      </c>
      <c r="C126" s="4" t="s">
        <v>85</v>
      </c>
      <c r="D126" s="4">
        <v>37</v>
      </c>
      <c r="E126" s="4">
        <v>440</v>
      </c>
      <c r="F126" s="4">
        <v>37</v>
      </c>
      <c r="G126" s="4">
        <v>1</v>
      </c>
      <c r="H126" s="4">
        <v>440</v>
      </c>
      <c r="I126" s="4">
        <v>54</v>
      </c>
      <c r="J126" s="4">
        <v>132</v>
      </c>
      <c r="K126" s="4">
        <v>0.40899999999999997</v>
      </c>
      <c r="L126" s="4">
        <v>5</v>
      </c>
      <c r="M126" s="4">
        <v>30</v>
      </c>
      <c r="N126" s="4">
        <v>0.16700000000000001</v>
      </c>
      <c r="O126" s="4">
        <v>49</v>
      </c>
      <c r="P126" s="4">
        <v>102</v>
      </c>
      <c r="Q126" s="4">
        <v>0.48</v>
      </c>
      <c r="R126" s="4">
        <v>43</v>
      </c>
      <c r="S126" s="4">
        <v>64</v>
      </c>
      <c r="T126" s="4">
        <v>0.67200000000000004</v>
      </c>
      <c r="U126" s="4">
        <v>29</v>
      </c>
      <c r="V126" s="4">
        <v>67</v>
      </c>
      <c r="W126" s="4">
        <v>30</v>
      </c>
      <c r="X126" s="4">
        <v>20</v>
      </c>
      <c r="Y126" s="4">
        <v>10</v>
      </c>
      <c r="Z126" s="4">
        <v>29</v>
      </c>
      <c r="AA126" s="4">
        <v>63</v>
      </c>
      <c r="AB126" s="4">
        <v>156</v>
      </c>
      <c r="AC126" s="5">
        <f t="shared" si="1"/>
        <v>1.0344827586206897</v>
      </c>
    </row>
    <row r="127" spans="1:29" ht="15.75" customHeight="1">
      <c r="A127" s="1" t="s">
        <v>178</v>
      </c>
      <c r="B127" s="3" t="s">
        <v>91</v>
      </c>
      <c r="C127" s="4" t="s">
        <v>85</v>
      </c>
      <c r="D127" s="4">
        <v>36</v>
      </c>
      <c r="E127" s="4">
        <v>425</v>
      </c>
      <c r="F127" s="4">
        <v>36</v>
      </c>
      <c r="G127" s="4">
        <v>1</v>
      </c>
      <c r="H127" s="4">
        <v>425</v>
      </c>
      <c r="I127" s="4">
        <v>51</v>
      </c>
      <c r="J127" s="4">
        <v>103</v>
      </c>
      <c r="K127" s="4">
        <v>0.495</v>
      </c>
      <c r="L127" s="4">
        <v>7</v>
      </c>
      <c r="M127" s="4">
        <v>17</v>
      </c>
      <c r="N127" s="4">
        <v>0.41199999999999998</v>
      </c>
      <c r="O127" s="4">
        <v>44</v>
      </c>
      <c r="P127" s="4">
        <v>86</v>
      </c>
      <c r="Q127" s="4">
        <v>0.51200000000000001</v>
      </c>
      <c r="R127" s="4">
        <v>27</v>
      </c>
      <c r="S127" s="4">
        <v>50</v>
      </c>
      <c r="T127" s="4">
        <v>0.54</v>
      </c>
      <c r="U127" s="4">
        <v>44</v>
      </c>
      <c r="V127" s="4">
        <v>112</v>
      </c>
      <c r="W127" s="4">
        <v>37</v>
      </c>
      <c r="X127" s="4">
        <v>17</v>
      </c>
      <c r="Y127" s="4">
        <v>28</v>
      </c>
      <c r="Z127" s="4">
        <v>29</v>
      </c>
      <c r="AA127" s="4">
        <v>56</v>
      </c>
      <c r="AB127" s="4">
        <v>136</v>
      </c>
      <c r="AC127" s="5">
        <f t="shared" si="1"/>
        <v>1.2758620689655173</v>
      </c>
    </row>
    <row r="128" spans="1:29" ht="15.75" customHeight="1">
      <c r="A128" s="1" t="s">
        <v>258</v>
      </c>
      <c r="B128" s="3" t="s">
        <v>161</v>
      </c>
      <c r="C128" s="4" t="s">
        <v>88</v>
      </c>
      <c r="D128" s="4">
        <v>24</v>
      </c>
      <c r="E128" s="4">
        <v>424</v>
      </c>
      <c r="F128" s="4">
        <v>24</v>
      </c>
      <c r="G128" s="4">
        <v>9</v>
      </c>
      <c r="H128" s="4">
        <v>424</v>
      </c>
      <c r="I128" s="4">
        <v>57</v>
      </c>
      <c r="J128" s="4">
        <v>112</v>
      </c>
      <c r="K128" s="4">
        <v>0.50900000000000001</v>
      </c>
      <c r="L128" s="4">
        <v>11</v>
      </c>
      <c r="M128" s="4">
        <v>32</v>
      </c>
      <c r="N128" s="4">
        <v>0.34399999999999997</v>
      </c>
      <c r="O128" s="4">
        <v>46</v>
      </c>
      <c r="P128" s="4">
        <v>80</v>
      </c>
      <c r="Q128" s="4">
        <v>0.57499999999999996</v>
      </c>
      <c r="R128" s="4">
        <v>18</v>
      </c>
      <c r="S128" s="4">
        <v>32</v>
      </c>
      <c r="T128" s="4">
        <v>0.56299999999999994</v>
      </c>
      <c r="U128" s="4">
        <v>29</v>
      </c>
      <c r="V128" s="4">
        <v>82</v>
      </c>
      <c r="W128" s="4">
        <v>23</v>
      </c>
      <c r="X128" s="4">
        <v>12</v>
      </c>
      <c r="Y128" s="4">
        <v>8</v>
      </c>
      <c r="Z128" s="4">
        <v>29</v>
      </c>
      <c r="AA128" s="4">
        <v>56</v>
      </c>
      <c r="AB128" s="4">
        <v>143</v>
      </c>
      <c r="AC128" s="5">
        <f t="shared" si="1"/>
        <v>0.7931034482758621</v>
      </c>
    </row>
    <row r="129" spans="1:29" ht="15.75" customHeight="1">
      <c r="A129" s="1" t="s">
        <v>192</v>
      </c>
      <c r="B129" s="3" t="s">
        <v>96</v>
      </c>
      <c r="C129" s="4" t="s">
        <v>8</v>
      </c>
      <c r="D129" s="4">
        <v>37</v>
      </c>
      <c r="E129" s="4">
        <v>423</v>
      </c>
      <c r="F129" s="4">
        <v>37</v>
      </c>
      <c r="G129" s="4">
        <v>0</v>
      </c>
      <c r="H129" s="4">
        <v>423</v>
      </c>
      <c r="I129" s="4">
        <v>38</v>
      </c>
      <c r="J129" s="4">
        <v>85</v>
      </c>
      <c r="K129" s="4">
        <v>0.44700000000000001</v>
      </c>
      <c r="L129" s="4">
        <v>25</v>
      </c>
      <c r="M129" s="4">
        <v>58</v>
      </c>
      <c r="N129" s="4">
        <v>0.43099999999999999</v>
      </c>
      <c r="O129" s="4">
        <v>13</v>
      </c>
      <c r="P129" s="4">
        <v>27</v>
      </c>
      <c r="Q129" s="4">
        <v>0.48099999999999998</v>
      </c>
      <c r="R129" s="4">
        <v>6</v>
      </c>
      <c r="S129" s="4">
        <v>6</v>
      </c>
      <c r="T129" s="4">
        <v>1</v>
      </c>
      <c r="U129" s="4">
        <v>7</v>
      </c>
      <c r="V129" s="4">
        <v>27</v>
      </c>
      <c r="W129" s="4">
        <v>40</v>
      </c>
      <c r="X129" s="4">
        <v>16</v>
      </c>
      <c r="Y129" s="4">
        <v>0</v>
      </c>
      <c r="Z129" s="4">
        <v>14</v>
      </c>
      <c r="AA129" s="4">
        <v>36</v>
      </c>
      <c r="AB129" s="4">
        <v>107</v>
      </c>
      <c r="AC129" s="5">
        <f t="shared" si="1"/>
        <v>2.8571428571428572</v>
      </c>
    </row>
    <row r="130" spans="1:29" ht="15.75" customHeight="1">
      <c r="A130" s="1" t="s">
        <v>195</v>
      </c>
      <c r="B130" s="3" t="s">
        <v>99</v>
      </c>
      <c r="C130" s="4" t="s">
        <v>8</v>
      </c>
      <c r="D130" s="4">
        <v>36</v>
      </c>
      <c r="E130" s="4">
        <v>423</v>
      </c>
      <c r="F130" s="4">
        <v>36</v>
      </c>
      <c r="G130" s="4">
        <v>2</v>
      </c>
      <c r="H130" s="4">
        <v>423</v>
      </c>
      <c r="I130" s="4">
        <v>81</v>
      </c>
      <c r="J130" s="4">
        <v>205</v>
      </c>
      <c r="K130" s="4">
        <v>0.39500000000000002</v>
      </c>
      <c r="L130" s="4">
        <v>15</v>
      </c>
      <c r="M130" s="4">
        <v>60</v>
      </c>
      <c r="N130" s="4">
        <v>0.25</v>
      </c>
      <c r="O130" s="4">
        <v>66</v>
      </c>
      <c r="P130" s="4">
        <v>145</v>
      </c>
      <c r="Q130" s="4">
        <v>0.45500000000000002</v>
      </c>
      <c r="R130" s="4">
        <v>48</v>
      </c>
      <c r="S130" s="4">
        <v>65</v>
      </c>
      <c r="T130" s="4">
        <v>0.73799999999999999</v>
      </c>
      <c r="U130" s="4">
        <v>21</v>
      </c>
      <c r="V130" s="4">
        <v>85</v>
      </c>
      <c r="W130" s="4">
        <v>44</v>
      </c>
      <c r="X130" s="4">
        <v>30</v>
      </c>
      <c r="Y130" s="4">
        <v>9</v>
      </c>
      <c r="Z130" s="4">
        <v>26</v>
      </c>
      <c r="AA130" s="4">
        <v>56</v>
      </c>
      <c r="AB130" s="4">
        <v>225</v>
      </c>
      <c r="AC130" s="5">
        <f t="shared" si="1"/>
        <v>1.6923076923076923</v>
      </c>
    </row>
    <row r="131" spans="1:29" ht="15.75" customHeight="1">
      <c r="A131" s="1" t="s">
        <v>217</v>
      </c>
      <c r="B131" s="3" t="s">
        <v>137</v>
      </c>
      <c r="C131" s="4" t="s">
        <v>8</v>
      </c>
      <c r="D131" s="4">
        <v>37</v>
      </c>
      <c r="E131" s="4">
        <v>417</v>
      </c>
      <c r="F131" s="4">
        <v>37</v>
      </c>
      <c r="G131" s="4">
        <v>0</v>
      </c>
      <c r="H131" s="4">
        <v>417</v>
      </c>
      <c r="I131" s="4">
        <v>34</v>
      </c>
      <c r="J131" s="4">
        <v>92</v>
      </c>
      <c r="K131" s="4">
        <v>0.37</v>
      </c>
      <c r="L131" s="4">
        <v>24</v>
      </c>
      <c r="M131" s="4">
        <v>69</v>
      </c>
      <c r="N131" s="4">
        <v>0.34799999999999998</v>
      </c>
      <c r="O131" s="4">
        <v>10</v>
      </c>
      <c r="P131" s="4">
        <v>23</v>
      </c>
      <c r="Q131" s="4">
        <v>0.435</v>
      </c>
      <c r="R131" s="4">
        <v>17</v>
      </c>
      <c r="S131" s="4">
        <v>20</v>
      </c>
      <c r="T131" s="4">
        <v>0.85</v>
      </c>
      <c r="U131" s="4">
        <v>10</v>
      </c>
      <c r="V131" s="4">
        <v>41</v>
      </c>
      <c r="W131" s="4">
        <v>37</v>
      </c>
      <c r="X131" s="4">
        <v>6</v>
      </c>
      <c r="Y131" s="4">
        <v>0</v>
      </c>
      <c r="Z131" s="4">
        <v>22</v>
      </c>
      <c r="AA131" s="4">
        <v>27</v>
      </c>
      <c r="AB131" s="4">
        <v>109</v>
      </c>
      <c r="AC131" s="5">
        <f t="shared" si="1"/>
        <v>1.6818181818181819</v>
      </c>
    </row>
    <row r="132" spans="1:29" ht="15.75" customHeight="1">
      <c r="A132" s="1" t="s">
        <v>216</v>
      </c>
      <c r="B132" s="4" t="s">
        <v>107</v>
      </c>
      <c r="C132" s="4" t="s">
        <v>85</v>
      </c>
      <c r="D132" s="4">
        <v>35</v>
      </c>
      <c r="E132" s="4">
        <v>414</v>
      </c>
      <c r="F132" s="4">
        <v>35</v>
      </c>
      <c r="G132" s="4">
        <v>1</v>
      </c>
      <c r="H132" s="4">
        <v>414</v>
      </c>
      <c r="I132" s="4">
        <v>48</v>
      </c>
      <c r="J132" s="4">
        <v>101</v>
      </c>
      <c r="K132" s="4">
        <v>0.47499999999999998</v>
      </c>
      <c r="L132" s="4">
        <v>2</v>
      </c>
      <c r="M132" s="4">
        <v>5</v>
      </c>
      <c r="N132" s="4">
        <v>0.4</v>
      </c>
      <c r="O132" s="4">
        <v>46</v>
      </c>
      <c r="P132" s="4">
        <v>96</v>
      </c>
      <c r="Q132" s="4">
        <v>0.47899999999999998</v>
      </c>
      <c r="R132" s="4">
        <v>36</v>
      </c>
      <c r="S132" s="4">
        <v>54</v>
      </c>
      <c r="T132" s="4">
        <v>0.66700000000000004</v>
      </c>
      <c r="U132" s="4">
        <v>42</v>
      </c>
      <c r="V132" s="4">
        <v>107</v>
      </c>
      <c r="W132" s="4">
        <v>29</v>
      </c>
      <c r="X132" s="4">
        <v>16</v>
      </c>
      <c r="Y132" s="4">
        <v>9</v>
      </c>
      <c r="Z132" s="4">
        <v>32</v>
      </c>
      <c r="AA132" s="4">
        <v>94</v>
      </c>
      <c r="AB132" s="4">
        <v>134</v>
      </c>
      <c r="AC132" s="5">
        <f t="shared" ref="AC132:AC184" si="2">IF(Z132=0,"",W132/Z132)</f>
        <v>0.90625</v>
      </c>
    </row>
    <row r="133" spans="1:29" ht="15.75" customHeight="1">
      <c r="A133" s="1" t="s">
        <v>273</v>
      </c>
      <c r="B133" s="3" t="s">
        <v>96</v>
      </c>
      <c r="C133" s="4" t="s">
        <v>85</v>
      </c>
      <c r="D133" s="4">
        <v>13</v>
      </c>
      <c r="E133" s="4">
        <v>397</v>
      </c>
      <c r="F133" s="4">
        <v>13</v>
      </c>
      <c r="G133" s="4">
        <v>13</v>
      </c>
      <c r="H133" s="4">
        <v>397</v>
      </c>
      <c r="I133" s="4">
        <v>86</v>
      </c>
      <c r="J133" s="4">
        <v>172</v>
      </c>
      <c r="K133" s="4">
        <v>0.5</v>
      </c>
      <c r="L133" s="4">
        <v>21</v>
      </c>
      <c r="M133" s="4">
        <v>47</v>
      </c>
      <c r="N133" s="4">
        <v>0.44700000000000001</v>
      </c>
      <c r="O133" s="4">
        <v>65</v>
      </c>
      <c r="P133" s="4">
        <v>125</v>
      </c>
      <c r="Q133" s="4">
        <v>0.52</v>
      </c>
      <c r="R133" s="4">
        <v>37</v>
      </c>
      <c r="S133" s="4">
        <v>44</v>
      </c>
      <c r="T133" s="4">
        <v>0.84099999999999997</v>
      </c>
      <c r="U133" s="4">
        <v>16</v>
      </c>
      <c r="V133" s="4">
        <v>95</v>
      </c>
      <c r="W133" s="4">
        <v>37</v>
      </c>
      <c r="X133" s="4">
        <v>17</v>
      </c>
      <c r="Y133" s="4">
        <v>14</v>
      </c>
      <c r="Z133" s="4">
        <v>32</v>
      </c>
      <c r="AA133" s="4">
        <v>25</v>
      </c>
      <c r="AB133" s="4">
        <v>230</v>
      </c>
      <c r="AC133" s="5">
        <f t="shared" si="2"/>
        <v>1.15625</v>
      </c>
    </row>
    <row r="134" spans="1:29" ht="15.75" customHeight="1">
      <c r="A134" s="1" t="s">
        <v>229</v>
      </c>
      <c r="B134" s="3" t="s">
        <v>131</v>
      </c>
      <c r="C134" s="4" t="s">
        <v>8</v>
      </c>
      <c r="D134" s="4">
        <v>29</v>
      </c>
      <c r="E134" s="4">
        <v>392</v>
      </c>
      <c r="F134" s="4">
        <v>29</v>
      </c>
      <c r="G134" s="4">
        <v>4</v>
      </c>
      <c r="H134" s="4">
        <v>392</v>
      </c>
      <c r="I134" s="4">
        <v>45</v>
      </c>
      <c r="J134" s="4">
        <v>104</v>
      </c>
      <c r="K134" s="4">
        <v>0.433</v>
      </c>
      <c r="L134" s="4">
        <v>1</v>
      </c>
      <c r="M134" s="4">
        <v>21</v>
      </c>
      <c r="N134" s="4">
        <v>4.8000000000000001E-2</v>
      </c>
      <c r="O134" s="4">
        <v>44</v>
      </c>
      <c r="P134" s="4">
        <v>83</v>
      </c>
      <c r="Q134" s="4">
        <v>0.53</v>
      </c>
      <c r="R134" s="4">
        <v>53</v>
      </c>
      <c r="S134" s="4">
        <v>60</v>
      </c>
      <c r="T134" s="4">
        <v>0.88300000000000001</v>
      </c>
      <c r="U134" s="4">
        <v>16</v>
      </c>
      <c r="V134" s="4">
        <v>79</v>
      </c>
      <c r="W134" s="4">
        <v>17</v>
      </c>
      <c r="X134" s="4">
        <v>20</v>
      </c>
      <c r="Y134" s="4">
        <v>7</v>
      </c>
      <c r="Z134" s="4">
        <v>22</v>
      </c>
      <c r="AA134" s="4">
        <v>47</v>
      </c>
      <c r="AB134" s="4">
        <v>144</v>
      </c>
      <c r="AC134" s="5">
        <f t="shared" si="2"/>
        <v>0.77272727272727271</v>
      </c>
    </row>
    <row r="135" spans="1:29" ht="15.75" customHeight="1">
      <c r="A135" s="1" t="s">
        <v>253</v>
      </c>
      <c r="B135" s="3" t="s">
        <v>140</v>
      </c>
      <c r="C135" s="4" t="s">
        <v>8</v>
      </c>
      <c r="D135" s="4">
        <v>32</v>
      </c>
      <c r="E135" s="4">
        <v>389</v>
      </c>
      <c r="F135" s="4">
        <v>32</v>
      </c>
      <c r="G135" s="4">
        <v>0</v>
      </c>
      <c r="H135" s="4">
        <v>389</v>
      </c>
      <c r="I135" s="4">
        <v>40</v>
      </c>
      <c r="J135" s="4">
        <v>117</v>
      </c>
      <c r="K135" s="4">
        <v>0.34200000000000003</v>
      </c>
      <c r="L135" s="4">
        <v>8</v>
      </c>
      <c r="M135" s="4">
        <v>44</v>
      </c>
      <c r="N135" s="4">
        <v>0.182</v>
      </c>
      <c r="O135" s="4">
        <v>32</v>
      </c>
      <c r="P135" s="4">
        <v>73</v>
      </c>
      <c r="Q135" s="4">
        <v>0.438</v>
      </c>
      <c r="R135" s="4">
        <v>22</v>
      </c>
      <c r="S135" s="4">
        <v>40</v>
      </c>
      <c r="T135" s="4">
        <v>0.55000000000000004</v>
      </c>
      <c r="U135" s="4">
        <v>11</v>
      </c>
      <c r="V135" s="4">
        <v>46</v>
      </c>
      <c r="W135" s="4">
        <v>63</v>
      </c>
      <c r="X135" s="4">
        <v>20</v>
      </c>
      <c r="Y135" s="4">
        <v>5</v>
      </c>
      <c r="Z135" s="4">
        <v>37</v>
      </c>
      <c r="AA135" s="4">
        <v>50</v>
      </c>
      <c r="AB135" s="4">
        <v>110</v>
      </c>
      <c r="AC135" s="5">
        <f t="shared" si="2"/>
        <v>1.7027027027027026</v>
      </c>
    </row>
    <row r="136" spans="1:29" ht="15.75" customHeight="1">
      <c r="A136" s="1" t="s">
        <v>238</v>
      </c>
      <c r="B136" s="3" t="s">
        <v>232</v>
      </c>
      <c r="C136" s="4" t="s">
        <v>8</v>
      </c>
      <c r="D136" s="4">
        <v>29</v>
      </c>
      <c r="E136" s="4">
        <v>388</v>
      </c>
      <c r="F136" s="4">
        <v>29</v>
      </c>
      <c r="G136" s="4">
        <v>1</v>
      </c>
      <c r="H136" s="4">
        <v>388</v>
      </c>
      <c r="I136" s="4">
        <v>63</v>
      </c>
      <c r="J136" s="4">
        <v>151</v>
      </c>
      <c r="K136" s="4">
        <v>0.41699999999999998</v>
      </c>
      <c r="L136" s="4">
        <v>22</v>
      </c>
      <c r="M136" s="4">
        <v>60</v>
      </c>
      <c r="N136" s="4">
        <v>0.36699999999999999</v>
      </c>
      <c r="O136" s="4">
        <v>41</v>
      </c>
      <c r="P136" s="4">
        <v>91</v>
      </c>
      <c r="Q136" s="4">
        <v>0.45100000000000001</v>
      </c>
      <c r="R136" s="4">
        <v>13</v>
      </c>
      <c r="S136" s="4">
        <v>18</v>
      </c>
      <c r="T136" s="4">
        <v>0.72199999999999998</v>
      </c>
      <c r="U136" s="4">
        <v>15</v>
      </c>
      <c r="V136" s="4">
        <v>46</v>
      </c>
      <c r="W136" s="4">
        <v>92</v>
      </c>
      <c r="X136" s="4">
        <v>19</v>
      </c>
      <c r="Y136" s="4">
        <v>1</v>
      </c>
      <c r="Z136" s="4">
        <v>72</v>
      </c>
      <c r="AA136" s="4">
        <v>44</v>
      </c>
      <c r="AB136" s="4">
        <v>161</v>
      </c>
      <c r="AC136" s="5">
        <f t="shared" si="2"/>
        <v>1.2777777777777777</v>
      </c>
    </row>
    <row r="137" spans="1:29" ht="15.75" customHeight="1">
      <c r="A137" s="1" t="s">
        <v>223</v>
      </c>
      <c r="B137" s="3" t="s">
        <v>128</v>
      </c>
      <c r="C137" s="4" t="s">
        <v>88</v>
      </c>
      <c r="D137" s="4">
        <v>40</v>
      </c>
      <c r="E137" s="4">
        <v>373</v>
      </c>
      <c r="F137" s="4">
        <v>40</v>
      </c>
      <c r="G137" s="4">
        <v>2</v>
      </c>
      <c r="H137" s="4">
        <v>373</v>
      </c>
      <c r="I137" s="4">
        <v>88</v>
      </c>
      <c r="J137" s="4">
        <v>151</v>
      </c>
      <c r="K137" s="4">
        <v>0.58299999999999996</v>
      </c>
      <c r="L137" s="4">
        <v>1</v>
      </c>
      <c r="M137" s="4">
        <v>9</v>
      </c>
      <c r="N137" s="4">
        <v>0.111</v>
      </c>
      <c r="O137" s="4">
        <v>87</v>
      </c>
      <c r="P137" s="4">
        <v>142</v>
      </c>
      <c r="Q137" s="4">
        <v>0.61299999999999999</v>
      </c>
      <c r="R137" s="4">
        <v>43</v>
      </c>
      <c r="S137" s="4">
        <v>56</v>
      </c>
      <c r="T137" s="4">
        <v>0.76800000000000002</v>
      </c>
      <c r="U137" s="4">
        <v>46</v>
      </c>
      <c r="V137" s="4">
        <v>133</v>
      </c>
      <c r="W137" s="4">
        <v>11</v>
      </c>
      <c r="X137" s="4">
        <v>13</v>
      </c>
      <c r="Y137" s="4">
        <v>11</v>
      </c>
      <c r="Z137" s="4">
        <v>50</v>
      </c>
      <c r="AA137" s="4">
        <v>64</v>
      </c>
      <c r="AB137" s="4">
        <v>220</v>
      </c>
      <c r="AC137" s="5">
        <f t="shared" si="2"/>
        <v>0.22</v>
      </c>
    </row>
    <row r="138" spans="1:29" ht="15.75" customHeight="1">
      <c r="A138" s="1" t="s">
        <v>227</v>
      </c>
      <c r="B138" s="3" t="s">
        <v>161</v>
      </c>
      <c r="C138" s="4" t="s">
        <v>85</v>
      </c>
      <c r="D138" s="4">
        <v>36</v>
      </c>
      <c r="E138" s="4">
        <v>370</v>
      </c>
      <c r="F138" s="4">
        <v>36</v>
      </c>
      <c r="G138" s="4">
        <v>1</v>
      </c>
      <c r="H138" s="4">
        <v>370</v>
      </c>
      <c r="I138" s="4">
        <v>29</v>
      </c>
      <c r="J138" s="4">
        <v>76</v>
      </c>
      <c r="K138" s="4">
        <v>0.38200000000000001</v>
      </c>
      <c r="L138" s="4">
        <v>3</v>
      </c>
      <c r="M138" s="4">
        <v>19</v>
      </c>
      <c r="N138" s="4">
        <v>0.158</v>
      </c>
      <c r="O138" s="4">
        <v>26</v>
      </c>
      <c r="P138" s="4">
        <v>57</v>
      </c>
      <c r="Q138" s="4">
        <v>0.45600000000000002</v>
      </c>
      <c r="R138" s="4">
        <v>10</v>
      </c>
      <c r="S138" s="4">
        <v>20</v>
      </c>
      <c r="T138" s="4">
        <v>0.5</v>
      </c>
      <c r="U138" s="4">
        <v>27</v>
      </c>
      <c r="V138" s="4">
        <v>67</v>
      </c>
      <c r="W138" s="4">
        <v>17</v>
      </c>
      <c r="X138" s="4">
        <v>15</v>
      </c>
      <c r="Y138" s="4">
        <v>18</v>
      </c>
      <c r="Z138" s="4">
        <v>19</v>
      </c>
      <c r="AA138" s="4">
        <v>49</v>
      </c>
      <c r="AB138" s="4">
        <v>71</v>
      </c>
      <c r="AC138" s="5">
        <f t="shared" si="2"/>
        <v>0.89473684210526316</v>
      </c>
    </row>
    <row r="139" spans="1:29" ht="15.75" customHeight="1">
      <c r="A139" s="1" t="s">
        <v>226</v>
      </c>
      <c r="B139" s="4" t="s">
        <v>157</v>
      </c>
      <c r="C139" s="4" t="s">
        <v>8</v>
      </c>
      <c r="D139" s="4">
        <v>36</v>
      </c>
      <c r="E139" s="4">
        <v>368</v>
      </c>
      <c r="F139" s="4">
        <v>36</v>
      </c>
      <c r="G139" s="4">
        <v>0</v>
      </c>
      <c r="H139" s="4">
        <v>368</v>
      </c>
      <c r="I139" s="4">
        <v>44</v>
      </c>
      <c r="J139" s="4">
        <v>110</v>
      </c>
      <c r="K139" s="4">
        <v>0.4</v>
      </c>
      <c r="L139" s="4">
        <v>11</v>
      </c>
      <c r="M139" s="4">
        <v>45</v>
      </c>
      <c r="N139" s="4">
        <v>0.24399999999999999</v>
      </c>
      <c r="O139" s="4">
        <v>33</v>
      </c>
      <c r="P139" s="4">
        <v>65</v>
      </c>
      <c r="Q139" s="4">
        <v>0.50800000000000001</v>
      </c>
      <c r="R139" s="4">
        <v>9</v>
      </c>
      <c r="S139" s="4">
        <v>12</v>
      </c>
      <c r="T139" s="4">
        <v>0.75</v>
      </c>
      <c r="U139" s="4">
        <v>17</v>
      </c>
      <c r="V139" s="4">
        <v>59</v>
      </c>
      <c r="W139" s="4">
        <v>42</v>
      </c>
      <c r="X139" s="4">
        <v>11</v>
      </c>
      <c r="Y139" s="4">
        <v>3</v>
      </c>
      <c r="Z139" s="4">
        <v>28</v>
      </c>
      <c r="AA139" s="4">
        <v>44</v>
      </c>
      <c r="AB139" s="4">
        <v>108</v>
      </c>
      <c r="AC139" s="5">
        <f t="shared" si="2"/>
        <v>1.5</v>
      </c>
    </row>
    <row r="140" spans="1:29" ht="15.75" customHeight="1">
      <c r="A140" s="1" t="s">
        <v>204</v>
      </c>
      <c r="B140" s="3" t="s">
        <v>128</v>
      </c>
      <c r="C140" s="4" t="s">
        <v>8</v>
      </c>
      <c r="D140" s="4">
        <v>32</v>
      </c>
      <c r="E140" s="4">
        <v>368</v>
      </c>
      <c r="F140" s="4">
        <v>32</v>
      </c>
      <c r="G140" s="4">
        <v>1</v>
      </c>
      <c r="H140" s="4">
        <v>368</v>
      </c>
      <c r="I140" s="4">
        <v>42</v>
      </c>
      <c r="J140" s="4">
        <v>117</v>
      </c>
      <c r="K140" s="4">
        <v>0.35899999999999999</v>
      </c>
      <c r="L140" s="4">
        <v>28</v>
      </c>
      <c r="M140" s="4">
        <v>76</v>
      </c>
      <c r="N140" s="4">
        <v>0.36799999999999999</v>
      </c>
      <c r="O140" s="4">
        <v>14</v>
      </c>
      <c r="P140" s="4">
        <v>41</v>
      </c>
      <c r="Q140" s="4">
        <v>0.34100000000000003</v>
      </c>
      <c r="R140" s="4">
        <v>9</v>
      </c>
      <c r="S140" s="4">
        <v>10</v>
      </c>
      <c r="T140" s="4">
        <v>0.9</v>
      </c>
      <c r="U140" s="4">
        <v>5</v>
      </c>
      <c r="V140" s="4">
        <v>26</v>
      </c>
      <c r="W140" s="4">
        <v>44</v>
      </c>
      <c r="X140" s="4">
        <v>6</v>
      </c>
      <c r="Y140" s="4">
        <v>3</v>
      </c>
      <c r="Z140" s="4">
        <v>17</v>
      </c>
      <c r="AA140" s="4">
        <v>36</v>
      </c>
      <c r="AB140" s="4">
        <v>121</v>
      </c>
      <c r="AC140" s="5">
        <f t="shared" si="2"/>
        <v>2.5882352941176472</v>
      </c>
    </row>
    <row r="141" spans="1:29" ht="15.75" customHeight="1">
      <c r="A141" s="1" t="s">
        <v>189</v>
      </c>
      <c r="B141" s="3" t="s">
        <v>140</v>
      </c>
      <c r="C141" s="4" t="s">
        <v>8</v>
      </c>
      <c r="D141" s="4">
        <v>36</v>
      </c>
      <c r="E141" s="4">
        <v>361</v>
      </c>
      <c r="F141" s="4">
        <v>36</v>
      </c>
      <c r="G141" s="4">
        <v>2</v>
      </c>
      <c r="H141" s="4">
        <v>361</v>
      </c>
      <c r="I141" s="4">
        <v>31</v>
      </c>
      <c r="J141" s="4">
        <v>100</v>
      </c>
      <c r="K141" s="4">
        <v>0.31</v>
      </c>
      <c r="L141" s="4">
        <v>8</v>
      </c>
      <c r="M141" s="4">
        <v>41</v>
      </c>
      <c r="N141" s="4">
        <v>0.19500000000000001</v>
      </c>
      <c r="O141" s="4">
        <v>23</v>
      </c>
      <c r="P141" s="4">
        <v>59</v>
      </c>
      <c r="Q141" s="4">
        <v>0.39</v>
      </c>
      <c r="R141" s="4">
        <v>9</v>
      </c>
      <c r="S141" s="4">
        <v>18</v>
      </c>
      <c r="T141" s="4">
        <v>0.5</v>
      </c>
      <c r="U141" s="4">
        <v>24</v>
      </c>
      <c r="V141" s="4">
        <v>38</v>
      </c>
      <c r="W141" s="4">
        <v>17</v>
      </c>
      <c r="X141" s="4">
        <v>9</v>
      </c>
      <c r="Y141" s="4">
        <v>3</v>
      </c>
      <c r="Z141" s="4">
        <v>22</v>
      </c>
      <c r="AA141" s="4">
        <v>63</v>
      </c>
      <c r="AB141" s="4">
        <v>79</v>
      </c>
      <c r="AC141" s="5">
        <f t="shared" si="2"/>
        <v>0.77272727272727271</v>
      </c>
    </row>
    <row r="142" spans="1:29" ht="15.75" customHeight="1">
      <c r="A142" s="1" t="s">
        <v>135</v>
      </c>
      <c r="B142" s="3" t="s">
        <v>232</v>
      </c>
      <c r="C142" s="4" t="s">
        <v>88</v>
      </c>
      <c r="D142" s="4">
        <v>21</v>
      </c>
      <c r="E142" s="4">
        <v>348</v>
      </c>
      <c r="F142" s="4">
        <v>21</v>
      </c>
      <c r="G142" s="4">
        <v>9</v>
      </c>
      <c r="H142" s="4">
        <v>348</v>
      </c>
      <c r="I142" s="4">
        <v>33</v>
      </c>
      <c r="J142" s="4">
        <v>100</v>
      </c>
      <c r="K142" s="4">
        <v>0.33</v>
      </c>
      <c r="L142" s="4">
        <v>16</v>
      </c>
      <c r="M142" s="4">
        <v>55</v>
      </c>
      <c r="N142" s="4">
        <v>0.29099999999999998</v>
      </c>
      <c r="O142" s="4">
        <v>17</v>
      </c>
      <c r="P142" s="4">
        <v>45</v>
      </c>
      <c r="Q142" s="4">
        <v>0.378</v>
      </c>
      <c r="R142" s="4">
        <v>12</v>
      </c>
      <c r="S142" s="4">
        <v>15</v>
      </c>
      <c r="T142" s="4">
        <v>0.8</v>
      </c>
      <c r="U142" s="4">
        <v>10</v>
      </c>
      <c r="V142" s="4">
        <v>55</v>
      </c>
      <c r="W142" s="4">
        <v>27</v>
      </c>
      <c r="X142" s="4">
        <v>7</v>
      </c>
      <c r="Y142" s="4">
        <v>8</v>
      </c>
      <c r="Z142" s="4">
        <v>19</v>
      </c>
      <c r="AA142" s="4">
        <v>53</v>
      </c>
      <c r="AB142" s="4">
        <v>94</v>
      </c>
      <c r="AC142" s="5">
        <f t="shared" si="2"/>
        <v>1.4210526315789473</v>
      </c>
    </row>
    <row r="143" spans="1:29" ht="15.75" customHeight="1">
      <c r="A143" s="1" t="s">
        <v>269</v>
      </c>
      <c r="B143" s="3" t="s">
        <v>232</v>
      </c>
      <c r="C143" s="4" t="s">
        <v>8</v>
      </c>
      <c r="D143" s="4">
        <v>29</v>
      </c>
      <c r="E143" s="4">
        <v>325</v>
      </c>
      <c r="F143" s="4">
        <v>29</v>
      </c>
      <c r="G143" s="4">
        <v>1</v>
      </c>
      <c r="H143" s="4">
        <v>325</v>
      </c>
      <c r="I143" s="4">
        <v>42</v>
      </c>
      <c r="J143" s="4">
        <v>107</v>
      </c>
      <c r="K143" s="4">
        <v>0.39300000000000002</v>
      </c>
      <c r="L143" s="4">
        <v>10</v>
      </c>
      <c r="M143" s="4">
        <v>53</v>
      </c>
      <c r="N143" s="4">
        <v>0.189</v>
      </c>
      <c r="O143" s="4">
        <v>32</v>
      </c>
      <c r="P143" s="4">
        <v>54</v>
      </c>
      <c r="Q143" s="4">
        <v>0.59299999999999997</v>
      </c>
      <c r="R143" s="4">
        <v>22</v>
      </c>
      <c r="S143" s="4">
        <v>24</v>
      </c>
      <c r="T143" s="4">
        <v>0.91700000000000004</v>
      </c>
      <c r="U143" s="4">
        <v>10</v>
      </c>
      <c r="V143" s="4">
        <v>40</v>
      </c>
      <c r="W143" s="4">
        <v>51</v>
      </c>
      <c r="X143" s="4">
        <v>16</v>
      </c>
      <c r="Y143" s="4">
        <v>1</v>
      </c>
      <c r="Z143" s="4">
        <v>31</v>
      </c>
      <c r="AA143" s="4">
        <v>32</v>
      </c>
      <c r="AB143" s="4">
        <v>116</v>
      </c>
      <c r="AC143" s="5">
        <f t="shared" si="2"/>
        <v>1.6451612903225807</v>
      </c>
    </row>
    <row r="144" spans="1:29" ht="15.75" customHeight="1">
      <c r="A144" s="1" t="s">
        <v>218</v>
      </c>
      <c r="B144" s="3" t="s">
        <v>140</v>
      </c>
      <c r="C144" s="4" t="s">
        <v>85</v>
      </c>
      <c r="D144" s="4">
        <v>35</v>
      </c>
      <c r="E144" s="4">
        <v>324</v>
      </c>
      <c r="F144" s="4">
        <v>35</v>
      </c>
      <c r="G144" s="4">
        <v>3</v>
      </c>
      <c r="H144" s="4">
        <v>324</v>
      </c>
      <c r="I144" s="4">
        <v>39</v>
      </c>
      <c r="J144" s="4">
        <v>91</v>
      </c>
      <c r="K144" s="4">
        <v>0.42899999999999999</v>
      </c>
      <c r="L144" s="4">
        <v>4</v>
      </c>
      <c r="M144" s="4">
        <v>32</v>
      </c>
      <c r="N144" s="4">
        <v>0.125</v>
      </c>
      <c r="O144" s="4">
        <v>35</v>
      </c>
      <c r="P144" s="4">
        <v>59</v>
      </c>
      <c r="Q144" s="4">
        <v>0.59299999999999997</v>
      </c>
      <c r="R144" s="4">
        <v>17</v>
      </c>
      <c r="S144" s="4">
        <v>25</v>
      </c>
      <c r="T144" s="4">
        <v>0.68</v>
      </c>
      <c r="U144" s="4">
        <v>20</v>
      </c>
      <c r="V144" s="4">
        <v>84</v>
      </c>
      <c r="W144" s="4">
        <v>22</v>
      </c>
      <c r="X144" s="4">
        <v>12</v>
      </c>
      <c r="Y144" s="4">
        <v>7</v>
      </c>
      <c r="Z144" s="4">
        <v>23</v>
      </c>
      <c r="AA144" s="4">
        <v>34</v>
      </c>
      <c r="AB144" s="4">
        <v>99</v>
      </c>
      <c r="AC144" s="5">
        <f t="shared" si="2"/>
        <v>0.95652173913043481</v>
      </c>
    </row>
    <row r="145" spans="1:29" ht="15.75" customHeight="1">
      <c r="A145" s="1" t="s">
        <v>150</v>
      </c>
      <c r="B145" s="3" t="s">
        <v>93</v>
      </c>
      <c r="C145" s="4" t="s">
        <v>8</v>
      </c>
      <c r="D145" s="4">
        <v>16</v>
      </c>
      <c r="E145" s="4">
        <v>323</v>
      </c>
      <c r="F145" s="4">
        <v>16</v>
      </c>
      <c r="G145" s="4">
        <v>7</v>
      </c>
      <c r="H145" s="4">
        <v>323</v>
      </c>
      <c r="I145" s="4">
        <v>50</v>
      </c>
      <c r="J145" s="4">
        <v>119</v>
      </c>
      <c r="K145" s="4">
        <v>0.42</v>
      </c>
      <c r="L145" s="4">
        <v>32</v>
      </c>
      <c r="M145" s="4">
        <v>76</v>
      </c>
      <c r="N145" s="4">
        <v>0.42099999999999999</v>
      </c>
      <c r="O145" s="4">
        <v>18</v>
      </c>
      <c r="P145" s="4">
        <v>43</v>
      </c>
      <c r="Q145" s="4">
        <v>0.41899999999999998</v>
      </c>
      <c r="R145" s="4">
        <v>34</v>
      </c>
      <c r="S145" s="4">
        <v>38</v>
      </c>
      <c r="T145" s="4">
        <v>0.89500000000000002</v>
      </c>
      <c r="U145" s="4">
        <v>7</v>
      </c>
      <c r="V145" s="4">
        <v>17</v>
      </c>
      <c r="W145" s="4">
        <v>26</v>
      </c>
      <c r="X145" s="4">
        <v>10</v>
      </c>
      <c r="Y145" s="4">
        <v>0</v>
      </c>
      <c r="Z145" s="4">
        <v>23</v>
      </c>
      <c r="AA145" s="4">
        <v>36</v>
      </c>
      <c r="AB145" s="4">
        <v>166</v>
      </c>
      <c r="AC145" s="5">
        <f t="shared" si="2"/>
        <v>1.1304347826086956</v>
      </c>
    </row>
    <row r="146" spans="1:29" ht="15.75" customHeight="1">
      <c r="A146" s="1" t="s">
        <v>239</v>
      </c>
      <c r="B146" s="4" t="s">
        <v>99</v>
      </c>
      <c r="C146" s="4" t="s">
        <v>85</v>
      </c>
      <c r="D146" s="4">
        <v>28</v>
      </c>
      <c r="E146" s="4">
        <v>319</v>
      </c>
      <c r="F146" s="4">
        <v>28</v>
      </c>
      <c r="G146" s="4">
        <v>1</v>
      </c>
      <c r="H146" s="4">
        <v>319</v>
      </c>
      <c r="I146" s="4">
        <v>23</v>
      </c>
      <c r="J146" s="4">
        <v>53</v>
      </c>
      <c r="K146" s="4">
        <v>0.434</v>
      </c>
      <c r="L146" s="4">
        <v>13</v>
      </c>
      <c r="M146" s="4">
        <v>34</v>
      </c>
      <c r="N146" s="4">
        <v>0.38200000000000001</v>
      </c>
      <c r="O146" s="4">
        <v>10</v>
      </c>
      <c r="P146" s="4">
        <v>19</v>
      </c>
      <c r="Q146" s="4">
        <v>0.52600000000000002</v>
      </c>
      <c r="R146" s="4">
        <v>16</v>
      </c>
      <c r="S146" s="4">
        <v>24</v>
      </c>
      <c r="T146" s="4">
        <v>0.66700000000000004</v>
      </c>
      <c r="U146" s="4">
        <v>10</v>
      </c>
      <c r="V146" s="4">
        <v>47</v>
      </c>
      <c r="W146" s="4">
        <v>19</v>
      </c>
      <c r="X146" s="4">
        <v>6</v>
      </c>
      <c r="Y146" s="4">
        <v>5</v>
      </c>
      <c r="Z146" s="4">
        <v>15</v>
      </c>
      <c r="AA146" s="4">
        <v>54</v>
      </c>
      <c r="AB146" s="4">
        <v>75</v>
      </c>
      <c r="AC146" s="5">
        <f t="shared" si="2"/>
        <v>1.2666666666666666</v>
      </c>
    </row>
    <row r="147" spans="1:29" ht="15.75" customHeight="1">
      <c r="A147" s="1" t="s">
        <v>246</v>
      </c>
      <c r="B147" s="3" t="s">
        <v>99</v>
      </c>
      <c r="C147" s="4" t="s">
        <v>88</v>
      </c>
      <c r="D147" s="4">
        <v>30</v>
      </c>
      <c r="E147" s="4">
        <v>311</v>
      </c>
      <c r="F147" s="4">
        <v>30</v>
      </c>
      <c r="G147" s="4">
        <v>0</v>
      </c>
      <c r="H147" s="4">
        <v>311</v>
      </c>
      <c r="I147" s="4">
        <v>29</v>
      </c>
      <c r="J147" s="4">
        <v>75</v>
      </c>
      <c r="K147" s="4">
        <v>0.38700000000000001</v>
      </c>
      <c r="L147" s="4">
        <v>8</v>
      </c>
      <c r="M147" s="4">
        <v>34</v>
      </c>
      <c r="N147" s="4">
        <v>0.23499999999999999</v>
      </c>
      <c r="O147" s="4">
        <v>21</v>
      </c>
      <c r="P147" s="4">
        <v>41</v>
      </c>
      <c r="Q147" s="4">
        <v>0.51200000000000001</v>
      </c>
      <c r="R147" s="4">
        <v>35</v>
      </c>
      <c r="S147" s="4">
        <v>48</v>
      </c>
      <c r="T147" s="4">
        <v>0.72899999999999998</v>
      </c>
      <c r="U147" s="4">
        <v>26</v>
      </c>
      <c r="V147" s="4">
        <v>82</v>
      </c>
      <c r="W147" s="4">
        <v>13</v>
      </c>
      <c r="X147" s="4">
        <v>4</v>
      </c>
      <c r="Y147" s="4">
        <v>9</v>
      </c>
      <c r="Z147" s="4">
        <v>19</v>
      </c>
      <c r="AA147" s="4">
        <v>42</v>
      </c>
      <c r="AB147" s="4">
        <v>101</v>
      </c>
      <c r="AC147" s="5">
        <f t="shared" si="2"/>
        <v>0.68421052631578949</v>
      </c>
    </row>
    <row r="148" spans="1:29" ht="15.75" customHeight="1">
      <c r="A148" s="1" t="s">
        <v>190</v>
      </c>
      <c r="B148" s="3" t="s">
        <v>240</v>
      </c>
      <c r="C148" s="4" t="s">
        <v>8</v>
      </c>
      <c r="D148" s="4">
        <v>24</v>
      </c>
      <c r="E148" s="4">
        <v>310</v>
      </c>
      <c r="F148" s="4">
        <v>24</v>
      </c>
      <c r="G148" s="4">
        <v>0</v>
      </c>
      <c r="H148" s="4">
        <v>310</v>
      </c>
      <c r="I148" s="4">
        <v>35</v>
      </c>
      <c r="J148" s="4">
        <v>100</v>
      </c>
      <c r="K148" s="4">
        <v>0.35</v>
      </c>
      <c r="L148" s="4">
        <v>19</v>
      </c>
      <c r="M148" s="4">
        <v>67</v>
      </c>
      <c r="N148" s="4">
        <v>0.28399999999999997</v>
      </c>
      <c r="O148" s="4">
        <v>16</v>
      </c>
      <c r="P148" s="4">
        <v>33</v>
      </c>
      <c r="Q148" s="4">
        <v>0.48499999999999999</v>
      </c>
      <c r="R148" s="4">
        <v>9</v>
      </c>
      <c r="S148" s="4">
        <v>12</v>
      </c>
      <c r="T148" s="4">
        <v>0.75</v>
      </c>
      <c r="U148" s="4">
        <v>1</v>
      </c>
      <c r="V148" s="4">
        <v>10</v>
      </c>
      <c r="W148" s="4">
        <v>29</v>
      </c>
      <c r="X148" s="4">
        <v>9</v>
      </c>
      <c r="Y148" s="4">
        <v>1</v>
      </c>
      <c r="Z148" s="4">
        <v>20</v>
      </c>
      <c r="AA148" s="4">
        <v>26</v>
      </c>
      <c r="AB148" s="4">
        <v>98</v>
      </c>
      <c r="AC148" s="5">
        <f t="shared" si="2"/>
        <v>1.45</v>
      </c>
    </row>
    <row r="149" spans="1:29" ht="15.75" customHeight="1">
      <c r="A149" s="1" t="s">
        <v>171</v>
      </c>
      <c r="B149" s="3" t="s">
        <v>107</v>
      </c>
      <c r="C149" s="4" t="s">
        <v>8</v>
      </c>
      <c r="D149" s="4">
        <v>20</v>
      </c>
      <c r="E149" s="4">
        <v>308</v>
      </c>
      <c r="F149" s="4">
        <v>20</v>
      </c>
      <c r="G149" s="4">
        <v>3</v>
      </c>
      <c r="H149" s="4">
        <v>308</v>
      </c>
      <c r="I149" s="4">
        <v>41</v>
      </c>
      <c r="J149" s="4">
        <v>101</v>
      </c>
      <c r="K149" s="4">
        <v>0.40600000000000003</v>
      </c>
      <c r="L149" s="4">
        <v>12</v>
      </c>
      <c r="M149" s="4">
        <v>33</v>
      </c>
      <c r="N149" s="4">
        <v>0.36399999999999999</v>
      </c>
      <c r="O149" s="4">
        <v>29</v>
      </c>
      <c r="P149" s="4">
        <v>68</v>
      </c>
      <c r="Q149" s="4">
        <v>0.42599999999999999</v>
      </c>
      <c r="R149" s="4">
        <v>12</v>
      </c>
      <c r="S149" s="4">
        <v>14</v>
      </c>
      <c r="T149" s="4">
        <v>0.85699999999999998</v>
      </c>
      <c r="U149" s="4">
        <v>6</v>
      </c>
      <c r="V149" s="4">
        <v>25</v>
      </c>
      <c r="W149" s="4">
        <v>37</v>
      </c>
      <c r="X149" s="4">
        <v>15</v>
      </c>
      <c r="Y149" s="4">
        <v>4</v>
      </c>
      <c r="Z149" s="4">
        <v>22</v>
      </c>
      <c r="AA149" s="4">
        <v>26</v>
      </c>
      <c r="AB149" s="4">
        <v>106</v>
      </c>
      <c r="AC149" s="5">
        <f t="shared" si="2"/>
        <v>1.6818181818181819</v>
      </c>
    </row>
    <row r="150" spans="1:29" ht="15.75" customHeight="1">
      <c r="A150" s="1" t="s">
        <v>241</v>
      </c>
      <c r="B150" s="3" t="s">
        <v>96</v>
      </c>
      <c r="C150" s="4" t="s">
        <v>85</v>
      </c>
      <c r="D150" s="4">
        <v>30</v>
      </c>
      <c r="E150" s="4">
        <v>307</v>
      </c>
      <c r="F150" s="4">
        <v>30</v>
      </c>
      <c r="G150" s="4">
        <v>0</v>
      </c>
      <c r="H150" s="4">
        <v>307</v>
      </c>
      <c r="I150" s="4">
        <v>39</v>
      </c>
      <c r="J150" s="4">
        <v>82</v>
      </c>
      <c r="K150" s="4">
        <v>0.47599999999999998</v>
      </c>
      <c r="L150" s="4">
        <v>2</v>
      </c>
      <c r="M150" s="4">
        <v>3</v>
      </c>
      <c r="N150" s="4">
        <v>0.66700000000000004</v>
      </c>
      <c r="O150" s="4">
        <v>37</v>
      </c>
      <c r="P150" s="4">
        <v>79</v>
      </c>
      <c r="Q150" s="4">
        <v>0.46800000000000003</v>
      </c>
      <c r="R150" s="4">
        <v>28</v>
      </c>
      <c r="S150" s="4">
        <v>33</v>
      </c>
      <c r="T150" s="4">
        <v>0.84799999999999998</v>
      </c>
      <c r="U150" s="4">
        <v>35</v>
      </c>
      <c r="V150" s="4">
        <v>59</v>
      </c>
      <c r="W150" s="4">
        <v>20</v>
      </c>
      <c r="X150" s="4">
        <v>17</v>
      </c>
      <c r="Y150" s="4">
        <v>12</v>
      </c>
      <c r="Z150" s="4">
        <v>19</v>
      </c>
      <c r="AA150" s="4">
        <v>37</v>
      </c>
      <c r="AB150" s="4">
        <v>108</v>
      </c>
      <c r="AC150" s="5">
        <f t="shared" si="2"/>
        <v>1.0526315789473684</v>
      </c>
    </row>
    <row r="151" spans="1:29" ht="15.75" customHeight="1">
      <c r="A151" s="1" t="s">
        <v>272</v>
      </c>
      <c r="B151" s="3" t="s">
        <v>93</v>
      </c>
      <c r="C151" s="4" t="s">
        <v>8</v>
      </c>
      <c r="D151" s="4">
        <v>18</v>
      </c>
      <c r="E151" s="4">
        <v>307</v>
      </c>
      <c r="F151" s="4">
        <v>18</v>
      </c>
      <c r="G151" s="4">
        <v>7</v>
      </c>
      <c r="H151" s="4">
        <v>307</v>
      </c>
      <c r="I151" s="4">
        <v>31</v>
      </c>
      <c r="J151" s="4">
        <v>92</v>
      </c>
      <c r="K151" s="4">
        <v>0.33700000000000002</v>
      </c>
      <c r="L151" s="4">
        <v>24</v>
      </c>
      <c r="M151" s="4">
        <v>72</v>
      </c>
      <c r="N151" s="4">
        <v>0.33300000000000002</v>
      </c>
      <c r="O151" s="4">
        <v>7</v>
      </c>
      <c r="P151" s="4">
        <v>20</v>
      </c>
      <c r="Q151" s="4">
        <v>0.35</v>
      </c>
      <c r="R151" s="4">
        <v>11</v>
      </c>
      <c r="S151" s="4">
        <v>11</v>
      </c>
      <c r="T151" s="4">
        <v>1</v>
      </c>
      <c r="U151" s="4">
        <v>6</v>
      </c>
      <c r="V151" s="4">
        <v>31</v>
      </c>
      <c r="W151" s="4">
        <v>38</v>
      </c>
      <c r="X151" s="4">
        <v>12</v>
      </c>
      <c r="Y151" s="4">
        <v>2</v>
      </c>
      <c r="Z151" s="4">
        <v>19</v>
      </c>
      <c r="AA151" s="4">
        <v>34</v>
      </c>
      <c r="AB151" s="4">
        <v>97</v>
      </c>
      <c r="AC151" s="5">
        <f t="shared" si="2"/>
        <v>2</v>
      </c>
    </row>
    <row r="152" spans="1:29" ht="15.75" customHeight="1">
      <c r="A152" s="1" t="s">
        <v>205</v>
      </c>
      <c r="B152" s="3" t="s">
        <v>117</v>
      </c>
      <c r="C152" s="4" t="s">
        <v>85</v>
      </c>
      <c r="D152" s="4">
        <v>28</v>
      </c>
      <c r="E152" s="4">
        <v>306</v>
      </c>
      <c r="F152" s="4">
        <v>28</v>
      </c>
      <c r="G152" s="4">
        <v>1</v>
      </c>
      <c r="H152" s="4">
        <v>306</v>
      </c>
      <c r="I152" s="4">
        <v>51</v>
      </c>
      <c r="J152" s="4">
        <v>95</v>
      </c>
      <c r="K152" s="4">
        <v>0.53700000000000003</v>
      </c>
      <c r="L152" s="4">
        <v>7</v>
      </c>
      <c r="M152" s="4">
        <v>15</v>
      </c>
      <c r="N152" s="4">
        <v>0.46700000000000003</v>
      </c>
      <c r="O152" s="4">
        <v>44</v>
      </c>
      <c r="P152" s="4">
        <v>80</v>
      </c>
      <c r="Q152" s="4">
        <v>0.55000000000000004</v>
      </c>
      <c r="R152" s="4">
        <v>44</v>
      </c>
      <c r="S152" s="4">
        <v>56</v>
      </c>
      <c r="T152" s="4">
        <v>0.78600000000000003</v>
      </c>
      <c r="U152" s="4">
        <v>28</v>
      </c>
      <c r="V152" s="4">
        <v>82</v>
      </c>
      <c r="W152" s="4">
        <v>16</v>
      </c>
      <c r="X152" s="4">
        <v>11</v>
      </c>
      <c r="Y152" s="4">
        <v>19</v>
      </c>
      <c r="Z152" s="4">
        <v>16</v>
      </c>
      <c r="AA152" s="4">
        <v>51</v>
      </c>
      <c r="AB152" s="4">
        <v>153</v>
      </c>
      <c r="AC152" s="5">
        <f t="shared" si="2"/>
        <v>1</v>
      </c>
    </row>
    <row r="153" spans="1:29" ht="15.75" customHeight="1">
      <c r="A153" s="1" t="s">
        <v>201</v>
      </c>
      <c r="B153" s="3" t="s">
        <v>107</v>
      </c>
      <c r="C153" s="4" t="s">
        <v>8</v>
      </c>
      <c r="D153" s="4">
        <v>33</v>
      </c>
      <c r="E153" s="4">
        <v>302</v>
      </c>
      <c r="F153" s="4">
        <v>33</v>
      </c>
      <c r="G153" s="4">
        <v>5</v>
      </c>
      <c r="H153" s="4">
        <v>302</v>
      </c>
      <c r="I153" s="4">
        <v>33</v>
      </c>
      <c r="J153" s="4">
        <v>98</v>
      </c>
      <c r="K153" s="4">
        <v>0.33700000000000002</v>
      </c>
      <c r="L153" s="4">
        <v>9</v>
      </c>
      <c r="M153" s="4">
        <v>50</v>
      </c>
      <c r="N153" s="4">
        <v>0.18</v>
      </c>
      <c r="O153" s="4">
        <v>24</v>
      </c>
      <c r="P153" s="4">
        <v>48</v>
      </c>
      <c r="Q153" s="4">
        <v>0.5</v>
      </c>
      <c r="R153" s="4">
        <v>20</v>
      </c>
      <c r="S153" s="4">
        <v>21</v>
      </c>
      <c r="T153" s="4">
        <v>0.95199999999999996</v>
      </c>
      <c r="U153" s="4">
        <v>14</v>
      </c>
      <c r="V153" s="4">
        <v>41</v>
      </c>
      <c r="W153" s="4">
        <v>14</v>
      </c>
      <c r="X153" s="4">
        <v>5</v>
      </c>
      <c r="Y153" s="4">
        <v>2</v>
      </c>
      <c r="Z153" s="4">
        <v>6</v>
      </c>
      <c r="AA153" s="4">
        <v>47</v>
      </c>
      <c r="AB153" s="4">
        <v>95</v>
      </c>
      <c r="AC153" s="5">
        <f t="shared" si="2"/>
        <v>2.3333333333333335</v>
      </c>
    </row>
    <row r="154" spans="1:29" ht="15.75" customHeight="1">
      <c r="A154" s="1" t="s">
        <v>255</v>
      </c>
      <c r="B154" s="3" t="s">
        <v>137</v>
      </c>
      <c r="C154" s="4" t="s">
        <v>8</v>
      </c>
      <c r="D154" s="4">
        <v>33</v>
      </c>
      <c r="E154" s="4">
        <v>300</v>
      </c>
      <c r="F154" s="4">
        <v>33</v>
      </c>
      <c r="G154" s="4">
        <v>0</v>
      </c>
      <c r="H154" s="4">
        <v>300</v>
      </c>
      <c r="I154" s="4">
        <v>26</v>
      </c>
      <c r="J154" s="4">
        <v>66</v>
      </c>
      <c r="K154" s="4">
        <v>0.39400000000000002</v>
      </c>
      <c r="L154" s="4">
        <v>9</v>
      </c>
      <c r="M154" s="4">
        <v>33</v>
      </c>
      <c r="N154" s="4">
        <v>0.27300000000000002</v>
      </c>
      <c r="O154" s="4">
        <v>17</v>
      </c>
      <c r="P154" s="4">
        <v>33</v>
      </c>
      <c r="Q154" s="4">
        <v>0.51500000000000001</v>
      </c>
      <c r="R154" s="4">
        <v>12</v>
      </c>
      <c r="S154" s="4">
        <v>21</v>
      </c>
      <c r="T154" s="4">
        <v>0.57099999999999995</v>
      </c>
      <c r="U154" s="4">
        <v>10</v>
      </c>
      <c r="V154" s="4">
        <v>33</v>
      </c>
      <c r="W154" s="4">
        <v>16</v>
      </c>
      <c r="X154" s="4">
        <v>14</v>
      </c>
      <c r="Y154" s="4">
        <v>1</v>
      </c>
      <c r="Z154" s="4">
        <v>9</v>
      </c>
      <c r="AA154" s="4">
        <v>37</v>
      </c>
      <c r="AB154" s="4">
        <v>73</v>
      </c>
      <c r="AC154" s="5">
        <f t="shared" si="2"/>
        <v>1.7777777777777777</v>
      </c>
    </row>
    <row r="155" spans="1:29" ht="15.75" customHeight="1">
      <c r="A155" s="1" t="s">
        <v>275</v>
      </c>
      <c r="B155" s="3" t="s">
        <v>114</v>
      </c>
      <c r="C155" s="4" t="s">
        <v>119</v>
      </c>
      <c r="D155" s="4">
        <v>14</v>
      </c>
      <c r="E155" s="4">
        <v>286</v>
      </c>
      <c r="F155" s="4">
        <v>14</v>
      </c>
      <c r="G155" s="4">
        <v>9</v>
      </c>
      <c r="H155" s="4">
        <v>286</v>
      </c>
      <c r="I155" s="4">
        <v>37</v>
      </c>
      <c r="J155" s="4">
        <v>93</v>
      </c>
      <c r="K155" s="4">
        <v>0.39800000000000002</v>
      </c>
      <c r="L155" s="4">
        <v>8</v>
      </c>
      <c r="M155" s="4">
        <v>26</v>
      </c>
      <c r="N155" s="4">
        <v>0.308</v>
      </c>
      <c r="O155" s="4">
        <v>29</v>
      </c>
      <c r="P155" s="4">
        <v>67</v>
      </c>
      <c r="Q155" s="4">
        <v>0.433</v>
      </c>
      <c r="R155" s="4">
        <v>14</v>
      </c>
      <c r="S155" s="4">
        <v>16</v>
      </c>
      <c r="T155" s="4">
        <v>0.875</v>
      </c>
      <c r="U155" s="4">
        <v>7</v>
      </c>
      <c r="V155" s="4">
        <v>56</v>
      </c>
      <c r="W155" s="4">
        <v>25</v>
      </c>
      <c r="X155" s="4">
        <v>11</v>
      </c>
      <c r="Y155" s="4">
        <v>17</v>
      </c>
      <c r="Z155" s="4">
        <v>15</v>
      </c>
      <c r="AA155" s="4">
        <v>35</v>
      </c>
      <c r="AB155" s="4">
        <v>96</v>
      </c>
      <c r="AC155" s="5">
        <f t="shared" si="2"/>
        <v>1.6666666666666667</v>
      </c>
    </row>
    <row r="156" spans="1:29" ht="15.75" customHeight="1">
      <c r="A156" s="1" t="s">
        <v>202</v>
      </c>
      <c r="B156" s="3" t="s">
        <v>117</v>
      </c>
      <c r="C156" s="4" t="s">
        <v>85</v>
      </c>
      <c r="D156" s="4">
        <v>27</v>
      </c>
      <c r="E156" s="4">
        <v>268</v>
      </c>
      <c r="F156" s="4">
        <v>27</v>
      </c>
      <c r="G156" s="4">
        <v>0</v>
      </c>
      <c r="H156" s="4">
        <v>268</v>
      </c>
      <c r="I156" s="4">
        <v>19</v>
      </c>
      <c r="J156" s="4">
        <v>68</v>
      </c>
      <c r="K156" s="4">
        <v>0.27900000000000003</v>
      </c>
      <c r="L156" s="4">
        <v>12</v>
      </c>
      <c r="M156" s="4">
        <v>49</v>
      </c>
      <c r="N156" s="4">
        <v>0.245</v>
      </c>
      <c r="O156" s="4">
        <v>7</v>
      </c>
      <c r="P156" s="4">
        <v>19</v>
      </c>
      <c r="Q156" s="4">
        <v>0.36799999999999999</v>
      </c>
      <c r="R156" s="4">
        <v>3</v>
      </c>
      <c r="S156" s="4">
        <v>4</v>
      </c>
      <c r="T156" s="4">
        <v>0.75</v>
      </c>
      <c r="U156" s="4">
        <v>10</v>
      </c>
      <c r="V156" s="4">
        <v>39</v>
      </c>
      <c r="W156" s="4">
        <v>16</v>
      </c>
      <c r="X156" s="4">
        <v>6</v>
      </c>
      <c r="Y156" s="4">
        <v>10</v>
      </c>
      <c r="Z156" s="4">
        <v>14</v>
      </c>
      <c r="AA156" s="4">
        <v>28</v>
      </c>
      <c r="AB156" s="4">
        <v>53</v>
      </c>
      <c r="AC156" s="5">
        <f t="shared" si="2"/>
        <v>1.1428571428571428</v>
      </c>
    </row>
    <row r="157" spans="1:29" ht="15.75" customHeight="1">
      <c r="A157" s="1" t="s">
        <v>266</v>
      </c>
      <c r="B157" s="3" t="s">
        <v>96</v>
      </c>
      <c r="C157" s="4" t="s">
        <v>85</v>
      </c>
      <c r="D157" s="4">
        <v>18</v>
      </c>
      <c r="E157" s="4">
        <v>261</v>
      </c>
      <c r="F157" s="4">
        <v>18</v>
      </c>
      <c r="G157" s="4">
        <v>0</v>
      </c>
      <c r="H157" s="4">
        <v>261</v>
      </c>
      <c r="I157" s="4">
        <v>25</v>
      </c>
      <c r="J157" s="4">
        <v>65</v>
      </c>
      <c r="K157" s="4">
        <v>0.38500000000000001</v>
      </c>
      <c r="L157" s="4">
        <v>14</v>
      </c>
      <c r="M157" s="4">
        <v>45</v>
      </c>
      <c r="N157" s="4">
        <v>0.311</v>
      </c>
      <c r="O157" s="4">
        <v>11</v>
      </c>
      <c r="P157" s="4">
        <v>20</v>
      </c>
      <c r="Q157" s="4">
        <v>0.55000000000000004</v>
      </c>
      <c r="R157" s="4">
        <v>1</v>
      </c>
      <c r="S157" s="4">
        <v>4</v>
      </c>
      <c r="T157" s="4">
        <v>0.25</v>
      </c>
      <c r="U157" s="4">
        <v>7</v>
      </c>
      <c r="V157" s="4">
        <v>49</v>
      </c>
      <c r="W157" s="4">
        <v>23</v>
      </c>
      <c r="X157" s="4">
        <v>5</v>
      </c>
      <c r="Y157" s="4">
        <v>11</v>
      </c>
      <c r="Z157" s="4">
        <v>10</v>
      </c>
      <c r="AA157" s="4">
        <v>15</v>
      </c>
      <c r="AB157" s="4">
        <v>65</v>
      </c>
      <c r="AC157" s="5">
        <f t="shared" si="2"/>
        <v>2.2999999999999998</v>
      </c>
    </row>
    <row r="158" spans="1:29" ht="15.75" customHeight="1">
      <c r="A158" s="1" t="s">
        <v>222</v>
      </c>
      <c r="B158" s="3" t="s">
        <v>240</v>
      </c>
      <c r="C158" s="4" t="s">
        <v>8</v>
      </c>
      <c r="D158" s="4">
        <v>25</v>
      </c>
      <c r="E158" s="4">
        <v>257</v>
      </c>
      <c r="F158" s="4">
        <v>25</v>
      </c>
      <c r="G158" s="4">
        <v>2</v>
      </c>
      <c r="H158" s="4">
        <v>257</v>
      </c>
      <c r="I158" s="4">
        <v>34</v>
      </c>
      <c r="J158" s="4">
        <v>74</v>
      </c>
      <c r="K158" s="4">
        <v>0.45900000000000002</v>
      </c>
      <c r="L158" s="4">
        <v>7</v>
      </c>
      <c r="M158" s="4">
        <v>26</v>
      </c>
      <c r="N158" s="4">
        <v>0.26900000000000002</v>
      </c>
      <c r="O158" s="4">
        <v>27</v>
      </c>
      <c r="P158" s="4">
        <v>48</v>
      </c>
      <c r="Q158" s="4">
        <v>0.56299999999999994</v>
      </c>
      <c r="R158" s="4">
        <v>9</v>
      </c>
      <c r="S158" s="4">
        <v>14</v>
      </c>
      <c r="T158" s="4">
        <v>0.64300000000000002</v>
      </c>
      <c r="U158" s="4">
        <v>2</v>
      </c>
      <c r="V158" s="4">
        <v>21</v>
      </c>
      <c r="W158" s="4">
        <v>50</v>
      </c>
      <c r="X158" s="4">
        <v>9</v>
      </c>
      <c r="Y158" s="4">
        <v>2</v>
      </c>
      <c r="Z158" s="4">
        <v>21</v>
      </c>
      <c r="AA158" s="4">
        <v>21</v>
      </c>
      <c r="AB158" s="4">
        <v>84</v>
      </c>
      <c r="AC158" s="5">
        <f t="shared" si="2"/>
        <v>2.3809523809523809</v>
      </c>
    </row>
    <row r="159" spans="1:29" ht="15.75" customHeight="1">
      <c r="A159" s="1" t="s">
        <v>197</v>
      </c>
      <c r="B159" s="3" t="s">
        <v>114</v>
      </c>
      <c r="C159" s="4" t="s">
        <v>85</v>
      </c>
      <c r="D159" s="4">
        <v>26</v>
      </c>
      <c r="E159" s="4">
        <v>252</v>
      </c>
      <c r="F159" s="4">
        <v>26</v>
      </c>
      <c r="G159" s="4">
        <v>0</v>
      </c>
      <c r="H159" s="4">
        <v>252</v>
      </c>
      <c r="I159" s="4">
        <v>26</v>
      </c>
      <c r="J159" s="4">
        <v>47</v>
      </c>
      <c r="K159" s="4">
        <v>0.55300000000000005</v>
      </c>
      <c r="L159" s="4">
        <v>6</v>
      </c>
      <c r="M159" s="4">
        <v>11</v>
      </c>
      <c r="N159" s="4">
        <v>0.54500000000000004</v>
      </c>
      <c r="O159" s="4">
        <v>20</v>
      </c>
      <c r="P159" s="4">
        <v>36</v>
      </c>
      <c r="Q159" s="4">
        <v>0.55600000000000005</v>
      </c>
      <c r="R159" s="4">
        <v>12</v>
      </c>
      <c r="S159" s="4">
        <v>17</v>
      </c>
      <c r="T159" s="4">
        <v>0.70599999999999996</v>
      </c>
      <c r="U159" s="4">
        <v>24</v>
      </c>
      <c r="V159" s="4">
        <v>74</v>
      </c>
      <c r="W159" s="4">
        <v>13</v>
      </c>
      <c r="X159" s="4">
        <v>15</v>
      </c>
      <c r="Y159" s="4">
        <v>6</v>
      </c>
      <c r="Z159" s="4">
        <v>12</v>
      </c>
      <c r="AA159" s="4">
        <v>37</v>
      </c>
      <c r="AB159" s="4">
        <v>70</v>
      </c>
      <c r="AC159" s="5">
        <f t="shared" si="2"/>
        <v>1.0833333333333333</v>
      </c>
    </row>
    <row r="160" spans="1:29" ht="15.75" customHeight="1">
      <c r="A160" s="15" t="s">
        <v>270</v>
      </c>
      <c r="B160" s="9" t="s">
        <v>84</v>
      </c>
      <c r="C160" s="9" t="s">
        <v>8</v>
      </c>
      <c r="D160" s="9">
        <v>19</v>
      </c>
      <c r="E160" s="9">
        <v>236</v>
      </c>
      <c r="F160" s="9">
        <v>19</v>
      </c>
      <c r="G160" s="9">
        <v>0</v>
      </c>
      <c r="H160" s="9">
        <v>236</v>
      </c>
      <c r="I160" s="9">
        <v>21</v>
      </c>
      <c r="J160" s="9">
        <v>57</v>
      </c>
      <c r="K160" s="14">
        <v>0.36799999999999999</v>
      </c>
      <c r="L160" s="9">
        <v>11</v>
      </c>
      <c r="M160" s="9">
        <v>35</v>
      </c>
      <c r="N160" s="9">
        <v>0.314</v>
      </c>
      <c r="O160" s="9">
        <v>10</v>
      </c>
      <c r="P160" s="9">
        <v>22</v>
      </c>
      <c r="Q160" s="9">
        <v>0.45500000000000002</v>
      </c>
      <c r="R160" s="9">
        <v>16</v>
      </c>
      <c r="S160" s="9">
        <v>25</v>
      </c>
      <c r="T160" s="9">
        <v>0.64</v>
      </c>
      <c r="U160" s="9">
        <v>6</v>
      </c>
      <c r="V160" s="9">
        <v>37</v>
      </c>
      <c r="W160" s="9">
        <v>35</v>
      </c>
      <c r="X160" s="9">
        <v>3</v>
      </c>
      <c r="Y160" s="9">
        <v>0</v>
      </c>
      <c r="Z160" s="9">
        <v>22</v>
      </c>
      <c r="AA160" s="9">
        <v>16</v>
      </c>
      <c r="AB160" s="9">
        <v>69</v>
      </c>
      <c r="AC160" s="5">
        <f t="shared" si="2"/>
        <v>1.5909090909090908</v>
      </c>
    </row>
    <row r="161" spans="1:29" ht="15.75" customHeight="1">
      <c r="A161" s="15" t="s">
        <v>155</v>
      </c>
      <c r="B161" s="9" t="s">
        <v>117</v>
      </c>
      <c r="C161" s="9" t="s">
        <v>8</v>
      </c>
      <c r="D161" s="9">
        <v>13</v>
      </c>
      <c r="E161" s="9">
        <v>220</v>
      </c>
      <c r="F161" s="9">
        <v>13</v>
      </c>
      <c r="G161" s="9">
        <v>0</v>
      </c>
      <c r="H161" s="9">
        <v>220</v>
      </c>
      <c r="I161" s="9">
        <v>60</v>
      </c>
      <c r="J161" s="9">
        <v>100</v>
      </c>
      <c r="K161" s="14">
        <v>0.6</v>
      </c>
      <c r="L161" s="9">
        <v>11</v>
      </c>
      <c r="M161" s="9">
        <v>21</v>
      </c>
      <c r="N161" s="9">
        <v>0.52400000000000002</v>
      </c>
      <c r="O161" s="9">
        <v>49</v>
      </c>
      <c r="P161" s="9">
        <v>79</v>
      </c>
      <c r="Q161" s="9">
        <v>0.62</v>
      </c>
      <c r="R161" s="9">
        <v>28</v>
      </c>
      <c r="S161" s="9">
        <v>37</v>
      </c>
      <c r="T161" s="9">
        <v>0.75700000000000001</v>
      </c>
      <c r="U161" s="9">
        <v>9</v>
      </c>
      <c r="V161" s="9">
        <v>23</v>
      </c>
      <c r="W161" s="9">
        <v>17</v>
      </c>
      <c r="X161" s="9">
        <v>11</v>
      </c>
      <c r="Y161" s="9">
        <v>4</v>
      </c>
      <c r="Z161" s="9">
        <v>17</v>
      </c>
      <c r="AA161" s="9">
        <v>32</v>
      </c>
      <c r="AB161" s="9">
        <v>159</v>
      </c>
      <c r="AC161" s="5">
        <f t="shared" si="2"/>
        <v>1</v>
      </c>
    </row>
    <row r="162" spans="1:29" ht="15.75" customHeight="1">
      <c r="A162" s="15" t="s">
        <v>242</v>
      </c>
      <c r="B162" s="9" t="s">
        <v>84</v>
      </c>
      <c r="C162" s="9" t="s">
        <v>85</v>
      </c>
      <c r="D162" s="9">
        <v>13</v>
      </c>
      <c r="E162" s="9">
        <v>218</v>
      </c>
      <c r="F162" s="9">
        <v>13</v>
      </c>
      <c r="G162" s="9">
        <v>5</v>
      </c>
      <c r="H162" s="9">
        <v>218</v>
      </c>
      <c r="I162" s="9">
        <v>45</v>
      </c>
      <c r="J162" s="9">
        <v>98</v>
      </c>
      <c r="K162" s="14">
        <v>0.45900000000000002</v>
      </c>
      <c r="L162" s="9">
        <v>20</v>
      </c>
      <c r="M162" s="9">
        <v>52</v>
      </c>
      <c r="N162" s="9">
        <v>0.38500000000000001</v>
      </c>
      <c r="O162" s="9">
        <v>25</v>
      </c>
      <c r="P162" s="9">
        <v>46</v>
      </c>
      <c r="Q162" s="9">
        <v>0.54300000000000004</v>
      </c>
      <c r="R162" s="9">
        <v>25</v>
      </c>
      <c r="S162" s="9">
        <v>29</v>
      </c>
      <c r="T162" s="9">
        <v>0.86199999999999999</v>
      </c>
      <c r="U162" s="9">
        <v>5</v>
      </c>
      <c r="V162" s="9">
        <v>36</v>
      </c>
      <c r="W162" s="9">
        <v>25</v>
      </c>
      <c r="X162" s="9">
        <v>1</v>
      </c>
      <c r="Y162" s="9">
        <v>2</v>
      </c>
      <c r="Z162" s="9">
        <v>22</v>
      </c>
      <c r="AA162" s="9">
        <v>34</v>
      </c>
      <c r="AB162" s="9">
        <v>135</v>
      </c>
      <c r="AC162" s="5">
        <f t="shared" si="2"/>
        <v>1.1363636363636365</v>
      </c>
    </row>
    <row r="163" spans="1:29" ht="15.75" customHeight="1">
      <c r="A163" s="15" t="s">
        <v>281</v>
      </c>
      <c r="B163" s="9" t="s">
        <v>107</v>
      </c>
      <c r="C163" s="9" t="s">
        <v>8</v>
      </c>
      <c r="D163" s="9">
        <v>16</v>
      </c>
      <c r="E163" s="9">
        <v>202</v>
      </c>
      <c r="F163" s="9">
        <v>16</v>
      </c>
      <c r="G163" s="9">
        <v>0</v>
      </c>
      <c r="H163" s="9">
        <v>202</v>
      </c>
      <c r="I163" s="9">
        <v>16</v>
      </c>
      <c r="J163" s="9">
        <v>51</v>
      </c>
      <c r="K163" s="14">
        <v>0.314</v>
      </c>
      <c r="L163" s="9">
        <v>8</v>
      </c>
      <c r="M163" s="9">
        <v>37</v>
      </c>
      <c r="N163" s="9">
        <v>0.216</v>
      </c>
      <c r="O163" s="9">
        <v>8</v>
      </c>
      <c r="P163" s="9">
        <v>14</v>
      </c>
      <c r="Q163" s="9">
        <v>0.57099999999999995</v>
      </c>
      <c r="R163" s="9">
        <v>0</v>
      </c>
      <c r="S163" s="9">
        <v>2</v>
      </c>
      <c r="T163" s="9">
        <v>0</v>
      </c>
      <c r="U163" s="9">
        <v>2</v>
      </c>
      <c r="V163" s="9">
        <v>19</v>
      </c>
      <c r="W163" s="9">
        <v>11</v>
      </c>
      <c r="X163" s="9">
        <v>8</v>
      </c>
      <c r="Y163" s="9">
        <v>1</v>
      </c>
      <c r="Z163" s="9">
        <v>6</v>
      </c>
      <c r="AA163" s="9">
        <v>13</v>
      </c>
      <c r="AB163" s="9">
        <v>40</v>
      </c>
      <c r="AC163" s="5">
        <f t="shared" si="2"/>
        <v>1.8333333333333333</v>
      </c>
    </row>
    <row r="164" spans="1:29" ht="15.75" customHeight="1">
      <c r="A164" s="15" t="s">
        <v>207</v>
      </c>
      <c r="B164" s="9" t="s">
        <v>93</v>
      </c>
      <c r="C164" s="9" t="s">
        <v>88</v>
      </c>
      <c r="D164" s="9">
        <v>19</v>
      </c>
      <c r="E164" s="9">
        <v>202</v>
      </c>
      <c r="F164" s="9">
        <v>19</v>
      </c>
      <c r="G164" s="9">
        <v>1</v>
      </c>
      <c r="H164" s="9">
        <v>202</v>
      </c>
      <c r="I164" s="9">
        <v>19</v>
      </c>
      <c r="J164" s="9">
        <v>58</v>
      </c>
      <c r="K164" s="14">
        <v>0.32800000000000001</v>
      </c>
      <c r="L164" s="9">
        <v>7</v>
      </c>
      <c r="M164" s="9">
        <v>26</v>
      </c>
      <c r="N164" s="9">
        <v>0.26900000000000002</v>
      </c>
      <c r="O164" s="9">
        <v>12</v>
      </c>
      <c r="P164" s="9">
        <v>32</v>
      </c>
      <c r="Q164" s="9">
        <v>0.375</v>
      </c>
      <c r="R164" s="9">
        <v>12</v>
      </c>
      <c r="S164" s="9">
        <v>17</v>
      </c>
      <c r="T164" s="9">
        <v>0.70599999999999996</v>
      </c>
      <c r="U164" s="9">
        <v>13</v>
      </c>
      <c r="V164" s="9">
        <v>45</v>
      </c>
      <c r="W164" s="9">
        <v>12</v>
      </c>
      <c r="X164" s="9">
        <v>10</v>
      </c>
      <c r="Y164" s="9">
        <v>14</v>
      </c>
      <c r="Z164" s="9">
        <v>11</v>
      </c>
      <c r="AA164" s="9">
        <v>30</v>
      </c>
      <c r="AB164" s="9">
        <v>57</v>
      </c>
      <c r="AC164" s="5">
        <f t="shared" si="2"/>
        <v>1.0909090909090908</v>
      </c>
    </row>
    <row r="165" spans="1:29" ht="15.75" customHeight="1">
      <c r="A165" s="15" t="s">
        <v>271</v>
      </c>
      <c r="B165" s="9" t="s">
        <v>117</v>
      </c>
      <c r="C165" s="9" t="s">
        <v>8</v>
      </c>
      <c r="D165" s="9">
        <v>12</v>
      </c>
      <c r="E165" s="9">
        <v>196</v>
      </c>
      <c r="F165" s="9">
        <v>12</v>
      </c>
      <c r="G165" s="9">
        <v>1</v>
      </c>
      <c r="H165" s="9">
        <v>196</v>
      </c>
      <c r="I165" s="9">
        <v>17</v>
      </c>
      <c r="J165" s="9">
        <v>61</v>
      </c>
      <c r="K165" s="14">
        <v>0.27900000000000003</v>
      </c>
      <c r="L165" s="9">
        <v>11</v>
      </c>
      <c r="M165" s="9">
        <v>29</v>
      </c>
      <c r="N165" s="9">
        <v>0.379</v>
      </c>
      <c r="O165" s="9">
        <v>6</v>
      </c>
      <c r="P165" s="9">
        <v>32</v>
      </c>
      <c r="Q165" s="9">
        <v>0.188</v>
      </c>
      <c r="R165" s="9">
        <v>3</v>
      </c>
      <c r="S165" s="9">
        <v>6</v>
      </c>
      <c r="T165" s="9">
        <v>0.5</v>
      </c>
      <c r="U165" s="9">
        <v>0</v>
      </c>
      <c r="V165" s="9">
        <v>19</v>
      </c>
      <c r="W165" s="9">
        <v>26</v>
      </c>
      <c r="X165" s="9">
        <v>3</v>
      </c>
      <c r="Y165" s="9">
        <v>2</v>
      </c>
      <c r="Z165" s="9">
        <v>13</v>
      </c>
      <c r="AA165" s="9">
        <v>12</v>
      </c>
      <c r="AB165" s="9">
        <v>48</v>
      </c>
      <c r="AC165" s="5">
        <f t="shared" si="2"/>
        <v>2</v>
      </c>
    </row>
    <row r="166" spans="1:29" ht="15.75" customHeight="1">
      <c r="A166" s="15" t="s">
        <v>279</v>
      </c>
      <c r="B166" s="9" t="s">
        <v>232</v>
      </c>
      <c r="C166" s="9" t="s">
        <v>8</v>
      </c>
      <c r="D166" s="9">
        <v>14</v>
      </c>
      <c r="E166" s="9">
        <v>187</v>
      </c>
      <c r="F166" s="9">
        <v>14</v>
      </c>
      <c r="G166" s="9">
        <v>2</v>
      </c>
      <c r="H166" s="9">
        <v>187</v>
      </c>
      <c r="I166" s="9">
        <v>24</v>
      </c>
      <c r="J166" s="9">
        <v>53</v>
      </c>
      <c r="K166" s="14">
        <v>0.45300000000000001</v>
      </c>
      <c r="L166" s="9">
        <v>6</v>
      </c>
      <c r="M166" s="9">
        <v>18</v>
      </c>
      <c r="N166" s="9">
        <v>0.33300000000000002</v>
      </c>
      <c r="O166" s="9">
        <v>18</v>
      </c>
      <c r="P166" s="9">
        <v>35</v>
      </c>
      <c r="Q166" s="9">
        <v>0.51400000000000001</v>
      </c>
      <c r="R166" s="9">
        <v>19</v>
      </c>
      <c r="S166" s="9">
        <v>26</v>
      </c>
      <c r="T166" s="9">
        <v>0.73099999999999998</v>
      </c>
      <c r="U166" s="9">
        <v>6</v>
      </c>
      <c r="V166" s="9">
        <v>23</v>
      </c>
      <c r="W166" s="9">
        <v>53</v>
      </c>
      <c r="X166" s="9">
        <v>8</v>
      </c>
      <c r="Y166" s="9">
        <v>1</v>
      </c>
      <c r="Z166" s="9">
        <v>30</v>
      </c>
      <c r="AA166" s="9">
        <v>29</v>
      </c>
      <c r="AB166" s="9">
        <v>73</v>
      </c>
      <c r="AC166" s="5">
        <f t="shared" si="2"/>
        <v>1.7666666666666666</v>
      </c>
    </row>
    <row r="167" spans="1:29" ht="15.75" customHeight="1">
      <c r="A167" s="15" t="s">
        <v>276</v>
      </c>
      <c r="B167" s="9" t="s">
        <v>131</v>
      </c>
      <c r="C167" s="9" t="s">
        <v>94</v>
      </c>
      <c r="D167" s="9">
        <v>11</v>
      </c>
      <c r="E167" s="9">
        <v>178</v>
      </c>
      <c r="F167" s="9">
        <v>11</v>
      </c>
      <c r="G167" s="9">
        <v>0</v>
      </c>
      <c r="H167" s="9">
        <v>178</v>
      </c>
      <c r="I167" s="9">
        <v>31</v>
      </c>
      <c r="J167" s="9">
        <v>94</v>
      </c>
      <c r="K167" s="14">
        <v>0.33</v>
      </c>
      <c r="L167" s="9">
        <v>7</v>
      </c>
      <c r="M167" s="9">
        <v>25</v>
      </c>
      <c r="N167" s="9">
        <v>0.28000000000000003</v>
      </c>
      <c r="O167" s="9">
        <v>24</v>
      </c>
      <c r="P167" s="9">
        <v>69</v>
      </c>
      <c r="Q167" s="9">
        <v>0.34799999999999998</v>
      </c>
      <c r="R167" s="9">
        <v>28</v>
      </c>
      <c r="S167" s="9">
        <v>38</v>
      </c>
      <c r="T167" s="9">
        <v>0.73699999999999999</v>
      </c>
      <c r="U167" s="9">
        <v>5</v>
      </c>
      <c r="V167" s="9">
        <v>34</v>
      </c>
      <c r="W167" s="9">
        <v>7</v>
      </c>
      <c r="X167" s="9">
        <v>7</v>
      </c>
      <c r="Y167" s="9">
        <v>2</v>
      </c>
      <c r="Z167" s="9">
        <v>9</v>
      </c>
      <c r="AA167" s="9">
        <v>22</v>
      </c>
      <c r="AB167" s="9">
        <v>97</v>
      </c>
      <c r="AC167" s="5">
        <f t="shared" si="2"/>
        <v>0.77777777777777779</v>
      </c>
    </row>
    <row r="168" spans="1:29" ht="15.75" customHeight="1">
      <c r="A168" s="15" t="s">
        <v>260</v>
      </c>
      <c r="B168" s="9" t="s">
        <v>161</v>
      </c>
      <c r="C168" s="9" t="s">
        <v>8</v>
      </c>
      <c r="D168" s="9">
        <v>19</v>
      </c>
      <c r="E168" s="9">
        <v>178</v>
      </c>
      <c r="F168" s="9">
        <v>19</v>
      </c>
      <c r="G168" s="9">
        <v>1</v>
      </c>
      <c r="H168" s="9">
        <v>178</v>
      </c>
      <c r="I168" s="9">
        <v>19</v>
      </c>
      <c r="J168" s="9">
        <v>55</v>
      </c>
      <c r="K168" s="14">
        <v>0.34499999999999997</v>
      </c>
      <c r="L168" s="9">
        <v>8</v>
      </c>
      <c r="M168" s="9">
        <v>26</v>
      </c>
      <c r="N168" s="9">
        <v>0.308</v>
      </c>
      <c r="O168" s="9">
        <v>11</v>
      </c>
      <c r="P168" s="9">
        <v>29</v>
      </c>
      <c r="Q168" s="9">
        <v>0.379</v>
      </c>
      <c r="R168" s="9">
        <v>14</v>
      </c>
      <c r="S168" s="9">
        <v>18</v>
      </c>
      <c r="T168" s="9">
        <v>0.77800000000000002</v>
      </c>
      <c r="U168" s="9">
        <v>6</v>
      </c>
      <c r="V168" s="9">
        <v>16</v>
      </c>
      <c r="W168" s="9">
        <v>22</v>
      </c>
      <c r="X168" s="9">
        <v>4</v>
      </c>
      <c r="Y168" s="9">
        <v>0</v>
      </c>
      <c r="Z168" s="9">
        <v>14</v>
      </c>
      <c r="AA168" s="9">
        <v>32</v>
      </c>
      <c r="AB168" s="9">
        <v>60</v>
      </c>
      <c r="AC168" s="5">
        <f t="shared" si="2"/>
        <v>1.5714285714285714</v>
      </c>
    </row>
    <row r="169" spans="1:29" ht="15.75" customHeight="1">
      <c r="A169" s="15" t="s">
        <v>261</v>
      </c>
      <c r="B169" s="9" t="s">
        <v>128</v>
      </c>
      <c r="C169" s="9" t="s">
        <v>85</v>
      </c>
      <c r="D169" s="9">
        <v>33</v>
      </c>
      <c r="E169" s="9">
        <v>167</v>
      </c>
      <c r="F169" s="9">
        <v>33</v>
      </c>
      <c r="G169" s="9">
        <v>1</v>
      </c>
      <c r="H169" s="9">
        <v>167</v>
      </c>
      <c r="I169" s="9">
        <v>19</v>
      </c>
      <c r="J169" s="9">
        <v>57</v>
      </c>
      <c r="K169" s="14">
        <v>0.33300000000000002</v>
      </c>
      <c r="L169" s="9">
        <v>6</v>
      </c>
      <c r="M169" s="9">
        <v>29</v>
      </c>
      <c r="N169" s="9">
        <v>0.20699999999999999</v>
      </c>
      <c r="O169" s="9">
        <v>13</v>
      </c>
      <c r="P169" s="9">
        <v>28</v>
      </c>
      <c r="Q169" s="9">
        <v>0.46400000000000002</v>
      </c>
      <c r="R169" s="9">
        <v>15</v>
      </c>
      <c r="S169" s="9">
        <v>21</v>
      </c>
      <c r="T169" s="9">
        <v>0.71399999999999997</v>
      </c>
      <c r="U169" s="9">
        <v>14</v>
      </c>
      <c r="V169" s="9">
        <v>34</v>
      </c>
      <c r="W169" s="9">
        <v>7</v>
      </c>
      <c r="X169" s="9">
        <v>2</v>
      </c>
      <c r="Y169" s="9">
        <v>0</v>
      </c>
      <c r="Z169" s="9">
        <v>8</v>
      </c>
      <c r="AA169" s="9">
        <v>31</v>
      </c>
      <c r="AB169" s="9">
        <v>59</v>
      </c>
      <c r="AC169" s="5">
        <f t="shared" si="2"/>
        <v>0.875</v>
      </c>
    </row>
    <row r="170" spans="1:29" ht="15.75" customHeight="1">
      <c r="A170" s="15" t="s">
        <v>280</v>
      </c>
      <c r="B170" s="9" t="s">
        <v>117</v>
      </c>
      <c r="C170" s="9" t="s">
        <v>8</v>
      </c>
      <c r="D170" s="9">
        <v>11</v>
      </c>
      <c r="E170" s="9">
        <v>167</v>
      </c>
      <c r="F170" s="9">
        <v>11</v>
      </c>
      <c r="G170" s="9">
        <v>0</v>
      </c>
      <c r="H170" s="9">
        <v>167</v>
      </c>
      <c r="I170" s="9">
        <v>18</v>
      </c>
      <c r="J170" s="9">
        <v>49</v>
      </c>
      <c r="K170" s="14">
        <v>0.36699999999999999</v>
      </c>
      <c r="L170" s="9">
        <v>13</v>
      </c>
      <c r="M170" s="9">
        <v>34</v>
      </c>
      <c r="N170" s="9">
        <v>0.38200000000000001</v>
      </c>
      <c r="O170" s="9">
        <v>5</v>
      </c>
      <c r="P170" s="9">
        <v>15</v>
      </c>
      <c r="Q170" s="9">
        <v>0.33300000000000002</v>
      </c>
      <c r="R170" s="9">
        <v>9</v>
      </c>
      <c r="S170" s="9">
        <v>9</v>
      </c>
      <c r="T170" s="9">
        <v>1</v>
      </c>
      <c r="U170" s="9">
        <v>3</v>
      </c>
      <c r="V170" s="9">
        <v>13</v>
      </c>
      <c r="W170" s="9">
        <v>19</v>
      </c>
      <c r="X170" s="9">
        <v>8</v>
      </c>
      <c r="Y170" s="9">
        <v>0</v>
      </c>
      <c r="Z170" s="9">
        <v>4</v>
      </c>
      <c r="AA170" s="9">
        <v>12</v>
      </c>
      <c r="AB170" s="9">
        <v>58</v>
      </c>
      <c r="AC170" s="5">
        <f t="shared" si="2"/>
        <v>4.75</v>
      </c>
    </row>
    <row r="171" spans="1:29" ht="15.75" customHeight="1">
      <c r="A171" s="15" t="s">
        <v>284</v>
      </c>
      <c r="B171" s="9" t="s">
        <v>161</v>
      </c>
      <c r="C171" s="9" t="s">
        <v>85</v>
      </c>
      <c r="D171" s="9">
        <v>11</v>
      </c>
      <c r="E171" s="9">
        <v>154</v>
      </c>
      <c r="F171" s="9">
        <v>11</v>
      </c>
      <c r="G171" s="9">
        <v>0</v>
      </c>
      <c r="H171" s="9">
        <v>154</v>
      </c>
      <c r="I171" s="9">
        <v>13</v>
      </c>
      <c r="J171" s="9">
        <v>27</v>
      </c>
      <c r="K171" s="14">
        <v>0.48099999999999998</v>
      </c>
      <c r="L171" s="9">
        <v>5</v>
      </c>
      <c r="M171" s="9">
        <v>11</v>
      </c>
      <c r="N171" s="9">
        <v>0.45500000000000002</v>
      </c>
      <c r="O171" s="9">
        <v>8</v>
      </c>
      <c r="P171" s="9">
        <v>16</v>
      </c>
      <c r="Q171" s="9">
        <v>0.5</v>
      </c>
      <c r="R171" s="9">
        <v>6</v>
      </c>
      <c r="S171" s="9">
        <v>7</v>
      </c>
      <c r="T171" s="9">
        <v>0.85699999999999998</v>
      </c>
      <c r="U171" s="9">
        <v>10</v>
      </c>
      <c r="V171" s="9">
        <v>23</v>
      </c>
      <c r="W171" s="9">
        <v>12</v>
      </c>
      <c r="X171" s="9">
        <v>2</v>
      </c>
      <c r="Y171" s="9">
        <v>0</v>
      </c>
      <c r="Z171" s="9">
        <v>4</v>
      </c>
      <c r="AA171" s="9">
        <v>35</v>
      </c>
      <c r="AB171" s="9">
        <v>37</v>
      </c>
      <c r="AC171" s="5">
        <f t="shared" si="2"/>
        <v>3</v>
      </c>
    </row>
    <row r="172" spans="1:29" ht="15.75" customHeight="1">
      <c r="A172" s="15" t="s">
        <v>274</v>
      </c>
      <c r="B172" s="9" t="s">
        <v>128</v>
      </c>
      <c r="C172" s="9" t="s">
        <v>85</v>
      </c>
      <c r="D172" s="9">
        <v>9</v>
      </c>
      <c r="E172" s="9">
        <v>152</v>
      </c>
      <c r="F172" s="9">
        <v>9</v>
      </c>
      <c r="G172" s="9">
        <v>0</v>
      </c>
      <c r="H172" s="9">
        <v>152</v>
      </c>
      <c r="I172" s="9">
        <v>27</v>
      </c>
      <c r="J172" s="9">
        <v>52</v>
      </c>
      <c r="K172" s="14">
        <v>0.51900000000000002</v>
      </c>
      <c r="L172" s="9">
        <v>1</v>
      </c>
      <c r="M172" s="9">
        <v>6</v>
      </c>
      <c r="N172" s="9">
        <v>0.16700000000000001</v>
      </c>
      <c r="O172" s="9">
        <v>26</v>
      </c>
      <c r="P172" s="9">
        <v>46</v>
      </c>
      <c r="Q172" s="9">
        <v>0.56499999999999995</v>
      </c>
      <c r="R172" s="9">
        <v>19</v>
      </c>
      <c r="S172" s="9">
        <v>21</v>
      </c>
      <c r="T172" s="9">
        <v>0.90500000000000003</v>
      </c>
      <c r="U172" s="9">
        <v>18</v>
      </c>
      <c r="V172" s="9">
        <v>50</v>
      </c>
      <c r="W172" s="9">
        <v>18</v>
      </c>
      <c r="X172" s="9">
        <v>3</v>
      </c>
      <c r="Y172" s="9">
        <v>6</v>
      </c>
      <c r="Z172" s="9">
        <v>9</v>
      </c>
      <c r="AA172" s="9">
        <v>22</v>
      </c>
      <c r="AB172" s="9">
        <v>74</v>
      </c>
      <c r="AC172" s="5">
        <f t="shared" si="2"/>
        <v>2</v>
      </c>
    </row>
    <row r="173" spans="1:29" ht="15.75" customHeight="1">
      <c r="A173" s="15" t="s">
        <v>265</v>
      </c>
      <c r="B173" s="9" t="s">
        <v>93</v>
      </c>
      <c r="C173" s="9" t="s">
        <v>85</v>
      </c>
      <c r="D173" s="9">
        <v>16</v>
      </c>
      <c r="E173" s="9">
        <v>149</v>
      </c>
      <c r="F173" s="9">
        <v>16</v>
      </c>
      <c r="G173" s="9">
        <v>0</v>
      </c>
      <c r="H173" s="9">
        <v>149</v>
      </c>
      <c r="I173" s="9">
        <v>22</v>
      </c>
      <c r="J173" s="9">
        <v>45</v>
      </c>
      <c r="K173" s="14">
        <v>0.48899999999999999</v>
      </c>
      <c r="L173" s="9">
        <v>5</v>
      </c>
      <c r="M173" s="9">
        <v>15</v>
      </c>
      <c r="N173" s="9">
        <v>0.33300000000000002</v>
      </c>
      <c r="O173" s="9">
        <v>17</v>
      </c>
      <c r="P173" s="9">
        <v>30</v>
      </c>
      <c r="Q173" s="9">
        <v>0.56699999999999995</v>
      </c>
      <c r="R173" s="9">
        <v>9</v>
      </c>
      <c r="S173" s="9">
        <v>14</v>
      </c>
      <c r="T173" s="9">
        <v>0.64300000000000002</v>
      </c>
      <c r="U173" s="9">
        <v>8</v>
      </c>
      <c r="V173" s="9">
        <v>22</v>
      </c>
      <c r="W173" s="9">
        <v>7</v>
      </c>
      <c r="X173" s="9">
        <v>4</v>
      </c>
      <c r="Y173" s="9">
        <v>1</v>
      </c>
      <c r="Z173" s="9">
        <v>11</v>
      </c>
      <c r="AA173" s="9">
        <v>31</v>
      </c>
      <c r="AB173" s="9">
        <v>58</v>
      </c>
      <c r="AC173" s="5">
        <f t="shared" si="2"/>
        <v>0.63636363636363635</v>
      </c>
    </row>
    <row r="174" spans="1:29" ht="15.75" customHeight="1">
      <c r="A174" t="s">
        <v>164</v>
      </c>
      <c r="B174" s="9" t="s">
        <v>114</v>
      </c>
      <c r="C174" s="9" t="s">
        <v>8</v>
      </c>
      <c r="D174" s="9">
        <v>10</v>
      </c>
      <c r="E174" s="9">
        <v>148</v>
      </c>
      <c r="F174" s="9">
        <v>10</v>
      </c>
      <c r="G174" s="9">
        <v>0</v>
      </c>
      <c r="H174" s="9">
        <v>148</v>
      </c>
      <c r="I174" s="9">
        <v>12</v>
      </c>
      <c r="J174" s="9">
        <v>26</v>
      </c>
      <c r="K174" s="9">
        <v>0.46200000000000002</v>
      </c>
      <c r="L174" s="9">
        <v>9</v>
      </c>
      <c r="M174" s="9">
        <v>20</v>
      </c>
      <c r="N174" s="9">
        <v>0.45</v>
      </c>
      <c r="O174" s="9">
        <v>3</v>
      </c>
      <c r="P174" s="9">
        <v>6</v>
      </c>
      <c r="Q174" s="9">
        <v>0.5</v>
      </c>
      <c r="R174" s="9">
        <v>5</v>
      </c>
      <c r="S174" s="9">
        <v>6</v>
      </c>
      <c r="T174" s="9">
        <v>0.83299999999999996</v>
      </c>
      <c r="U174" s="9">
        <v>1</v>
      </c>
      <c r="V174" s="9">
        <v>13</v>
      </c>
      <c r="W174" s="9">
        <v>11</v>
      </c>
      <c r="X174" s="9">
        <v>5</v>
      </c>
      <c r="Y174" s="9">
        <v>1</v>
      </c>
      <c r="Z174" s="9">
        <v>10</v>
      </c>
      <c r="AA174" s="9">
        <v>13</v>
      </c>
      <c r="AB174" s="9">
        <v>38</v>
      </c>
      <c r="AC174" s="5">
        <f t="shared" si="2"/>
        <v>1.1000000000000001</v>
      </c>
    </row>
    <row r="175" spans="1:29" ht="15.75" customHeight="1">
      <c r="A175" t="s">
        <v>259</v>
      </c>
      <c r="B175" s="9" t="s">
        <v>140</v>
      </c>
      <c r="C175" s="9" t="s">
        <v>8</v>
      </c>
      <c r="D175" s="9">
        <v>20</v>
      </c>
      <c r="E175" s="9">
        <v>143</v>
      </c>
      <c r="F175" s="9">
        <v>20</v>
      </c>
      <c r="G175" s="9">
        <v>0</v>
      </c>
      <c r="H175" s="9">
        <v>143</v>
      </c>
      <c r="I175" s="9">
        <v>19</v>
      </c>
      <c r="J175" s="9">
        <v>44</v>
      </c>
      <c r="K175" s="9">
        <v>0.432</v>
      </c>
      <c r="L175" s="9">
        <v>8</v>
      </c>
      <c r="M175" s="9">
        <v>21</v>
      </c>
      <c r="N175" s="9">
        <v>0.38100000000000001</v>
      </c>
      <c r="O175" s="9">
        <v>11</v>
      </c>
      <c r="P175" s="9">
        <v>23</v>
      </c>
      <c r="Q175" s="9">
        <v>0.47799999999999998</v>
      </c>
      <c r="R175" s="9">
        <v>9</v>
      </c>
      <c r="S175" s="9">
        <v>11</v>
      </c>
      <c r="T175" s="9">
        <v>0.81799999999999995</v>
      </c>
      <c r="U175" s="9">
        <v>1</v>
      </c>
      <c r="V175" s="9">
        <v>11</v>
      </c>
      <c r="W175" s="9">
        <v>18</v>
      </c>
      <c r="X175" s="9">
        <v>4</v>
      </c>
      <c r="Y175" s="9">
        <v>1</v>
      </c>
      <c r="Z175" s="9">
        <v>11</v>
      </c>
      <c r="AA175" s="9">
        <v>18</v>
      </c>
      <c r="AB175" s="9">
        <v>55</v>
      </c>
      <c r="AC175" s="5">
        <f t="shared" si="2"/>
        <v>1.6363636363636365</v>
      </c>
    </row>
    <row r="176" spans="1:29" ht="15.75" customHeight="1">
      <c r="A176" t="s">
        <v>285</v>
      </c>
      <c r="B176" s="9" t="s">
        <v>137</v>
      </c>
      <c r="C176" s="9" t="s">
        <v>8</v>
      </c>
      <c r="D176" s="9">
        <v>9</v>
      </c>
      <c r="E176" s="9">
        <v>138</v>
      </c>
      <c r="F176" s="9">
        <v>9</v>
      </c>
      <c r="G176" s="9">
        <v>1</v>
      </c>
      <c r="H176" s="9">
        <v>138</v>
      </c>
      <c r="I176" s="9">
        <v>16</v>
      </c>
      <c r="J176" s="9">
        <v>34</v>
      </c>
      <c r="K176" s="9">
        <v>0.47099999999999997</v>
      </c>
      <c r="L176" s="9">
        <v>1</v>
      </c>
      <c r="M176" s="9">
        <v>7</v>
      </c>
      <c r="N176" s="9">
        <v>0.14299999999999999</v>
      </c>
      <c r="O176" s="9">
        <v>15</v>
      </c>
      <c r="P176" s="9">
        <v>27</v>
      </c>
      <c r="Q176" s="9">
        <v>0.55600000000000005</v>
      </c>
      <c r="R176" s="9">
        <v>10</v>
      </c>
      <c r="S176" s="9">
        <v>14</v>
      </c>
      <c r="T176" s="9">
        <v>0.71399999999999997</v>
      </c>
      <c r="U176" s="9">
        <v>1</v>
      </c>
      <c r="V176" s="9">
        <v>9</v>
      </c>
      <c r="W176" s="9">
        <v>22</v>
      </c>
      <c r="X176" s="9">
        <v>9</v>
      </c>
      <c r="Y176" s="9">
        <v>0</v>
      </c>
      <c r="Z176" s="9">
        <v>14</v>
      </c>
      <c r="AA176" s="9">
        <v>16</v>
      </c>
      <c r="AB176" s="9">
        <v>43</v>
      </c>
      <c r="AC176" s="5">
        <f t="shared" si="2"/>
        <v>1.5714285714285714</v>
      </c>
    </row>
    <row r="177" spans="1:29" ht="15.75" customHeight="1">
      <c r="A177" t="s">
        <v>277</v>
      </c>
      <c r="B177" s="9" t="s">
        <v>84</v>
      </c>
      <c r="C177" s="9" t="s">
        <v>88</v>
      </c>
      <c r="D177" s="9">
        <v>22</v>
      </c>
      <c r="E177" s="9">
        <v>120</v>
      </c>
      <c r="F177" s="9">
        <v>22</v>
      </c>
      <c r="G177" s="9">
        <v>0</v>
      </c>
      <c r="H177" s="9">
        <v>120</v>
      </c>
      <c r="I177" s="9">
        <v>11</v>
      </c>
      <c r="J177" s="9">
        <v>20</v>
      </c>
      <c r="K177" s="9">
        <v>0.55000000000000004</v>
      </c>
      <c r="L177" s="9">
        <v>2</v>
      </c>
      <c r="M177" s="9">
        <v>8</v>
      </c>
      <c r="N177" s="9">
        <v>0.25</v>
      </c>
      <c r="O177" s="9">
        <v>9</v>
      </c>
      <c r="P177" s="9">
        <v>12</v>
      </c>
      <c r="Q177" s="9">
        <v>0.75</v>
      </c>
      <c r="R177" s="9">
        <v>7</v>
      </c>
      <c r="S177" s="9">
        <v>12</v>
      </c>
      <c r="T177" s="9">
        <v>0.58299999999999996</v>
      </c>
      <c r="U177" s="9">
        <v>8</v>
      </c>
      <c r="V177" s="9">
        <v>24</v>
      </c>
      <c r="W177" s="9">
        <v>7</v>
      </c>
      <c r="X177" s="9">
        <v>2</v>
      </c>
      <c r="Y177" s="9">
        <v>2</v>
      </c>
      <c r="Z177" s="9">
        <v>6</v>
      </c>
      <c r="AA177" s="9">
        <v>17</v>
      </c>
      <c r="AB177" s="9">
        <v>31</v>
      </c>
      <c r="AC177" s="5">
        <f t="shared" si="2"/>
        <v>1.1666666666666667</v>
      </c>
    </row>
    <row r="178" spans="1:29" ht="15.75" customHeight="1">
      <c r="A178" t="s">
        <v>263</v>
      </c>
      <c r="B178" s="9" t="s">
        <v>137</v>
      </c>
      <c r="C178" s="9" t="s">
        <v>8</v>
      </c>
      <c r="D178" s="9">
        <v>17</v>
      </c>
      <c r="E178" s="9">
        <v>120</v>
      </c>
      <c r="F178" s="9">
        <v>17</v>
      </c>
      <c r="G178" s="9">
        <v>0</v>
      </c>
      <c r="H178" s="9">
        <v>120</v>
      </c>
      <c r="I178" s="9">
        <v>13</v>
      </c>
      <c r="J178" s="9">
        <v>35</v>
      </c>
      <c r="K178" s="9">
        <v>0.371</v>
      </c>
      <c r="L178" s="9">
        <v>8</v>
      </c>
      <c r="M178" s="9">
        <v>26</v>
      </c>
      <c r="N178" s="9">
        <v>0.308</v>
      </c>
      <c r="O178" s="9">
        <v>5</v>
      </c>
      <c r="P178" s="9">
        <v>9</v>
      </c>
      <c r="Q178" s="9">
        <v>0.55600000000000005</v>
      </c>
      <c r="R178" s="9">
        <v>5</v>
      </c>
      <c r="S178" s="9">
        <v>8</v>
      </c>
      <c r="T178" s="9">
        <v>0.625</v>
      </c>
      <c r="U178" s="9">
        <v>5</v>
      </c>
      <c r="V178" s="9">
        <v>19</v>
      </c>
      <c r="W178" s="9">
        <v>6</v>
      </c>
      <c r="X178" s="9">
        <v>5</v>
      </c>
      <c r="Y178" s="9">
        <v>3</v>
      </c>
      <c r="Z178" s="9">
        <v>3</v>
      </c>
      <c r="AA178" s="9">
        <v>15</v>
      </c>
      <c r="AB178" s="9">
        <v>39</v>
      </c>
      <c r="AC178" s="5">
        <f t="shared" si="2"/>
        <v>2</v>
      </c>
    </row>
    <row r="179" spans="1:29" ht="15.75" customHeight="1">
      <c r="A179" t="s">
        <v>130</v>
      </c>
      <c r="B179" s="9" t="s">
        <v>131</v>
      </c>
      <c r="C179" s="9" t="s">
        <v>85</v>
      </c>
      <c r="D179" s="9">
        <v>4</v>
      </c>
      <c r="E179" s="9">
        <v>118</v>
      </c>
      <c r="F179" s="9">
        <v>4</v>
      </c>
      <c r="G179" s="9">
        <v>4</v>
      </c>
      <c r="H179" s="9">
        <v>118</v>
      </c>
      <c r="I179" s="9">
        <v>24</v>
      </c>
      <c r="J179" s="9">
        <v>60</v>
      </c>
      <c r="K179" s="9">
        <v>0.4</v>
      </c>
      <c r="L179" s="9">
        <v>6</v>
      </c>
      <c r="M179" s="9">
        <v>21</v>
      </c>
      <c r="N179" s="9">
        <v>0.28599999999999998</v>
      </c>
      <c r="O179" s="9">
        <v>18</v>
      </c>
      <c r="P179" s="9">
        <v>39</v>
      </c>
      <c r="Q179" s="9">
        <v>0.46200000000000002</v>
      </c>
      <c r="R179" s="9">
        <v>18</v>
      </c>
      <c r="S179" s="9">
        <v>22</v>
      </c>
      <c r="T179" s="9">
        <v>0.81799999999999995</v>
      </c>
      <c r="U179" s="9">
        <v>4</v>
      </c>
      <c r="V179" s="9">
        <v>19</v>
      </c>
      <c r="W179" s="9">
        <v>8</v>
      </c>
      <c r="X179" s="9">
        <v>1</v>
      </c>
      <c r="Y179" s="9">
        <v>7</v>
      </c>
      <c r="Z179" s="9">
        <v>8</v>
      </c>
      <c r="AA179" s="9">
        <v>7</v>
      </c>
      <c r="AB179" s="9">
        <v>72</v>
      </c>
      <c r="AC179" s="5">
        <f t="shared" si="2"/>
        <v>1</v>
      </c>
    </row>
    <row r="180" spans="1:29" ht="15.75" customHeight="1">
      <c r="A180" t="s">
        <v>286</v>
      </c>
      <c r="B180" s="9" t="s">
        <v>91</v>
      </c>
      <c r="C180" s="9" t="s">
        <v>94</v>
      </c>
      <c r="D180" s="9">
        <v>15</v>
      </c>
      <c r="E180" s="9">
        <v>116</v>
      </c>
      <c r="F180" s="9">
        <v>15</v>
      </c>
      <c r="G180" s="9">
        <v>0</v>
      </c>
      <c r="H180" s="9">
        <v>116</v>
      </c>
      <c r="I180" s="9">
        <v>13</v>
      </c>
      <c r="J180" s="9">
        <v>39</v>
      </c>
      <c r="K180" s="9">
        <v>0.33300000000000002</v>
      </c>
      <c r="L180" s="9">
        <v>8</v>
      </c>
      <c r="M180" s="9">
        <v>23</v>
      </c>
      <c r="N180" s="9">
        <v>0.34799999999999998</v>
      </c>
      <c r="O180" s="9">
        <v>5</v>
      </c>
      <c r="P180" s="9">
        <v>16</v>
      </c>
      <c r="Q180" s="9">
        <v>0.313</v>
      </c>
      <c r="R180" s="9">
        <v>5</v>
      </c>
      <c r="S180" s="9">
        <v>6</v>
      </c>
      <c r="T180" s="9">
        <v>0.83299999999999996</v>
      </c>
      <c r="U180" s="9">
        <v>2</v>
      </c>
      <c r="V180" s="9">
        <v>9</v>
      </c>
      <c r="W180" s="9">
        <v>14</v>
      </c>
      <c r="X180" s="9">
        <v>2</v>
      </c>
      <c r="Y180" s="9">
        <v>1</v>
      </c>
      <c r="Z180" s="9">
        <v>10</v>
      </c>
      <c r="AA180" s="9">
        <v>12</v>
      </c>
      <c r="AB180" s="9">
        <v>39</v>
      </c>
      <c r="AC180" s="5">
        <f t="shared" si="2"/>
        <v>1.4</v>
      </c>
    </row>
    <row r="181" spans="1:29" ht="15.75" customHeight="1">
      <c r="A181" t="s">
        <v>287</v>
      </c>
      <c r="B181" s="9" t="s">
        <v>96</v>
      </c>
      <c r="C181" s="9" t="s">
        <v>8</v>
      </c>
      <c r="D181" s="9">
        <v>21</v>
      </c>
      <c r="E181" s="9">
        <v>112</v>
      </c>
      <c r="F181" s="9">
        <v>21</v>
      </c>
      <c r="G181" s="9">
        <v>0</v>
      </c>
      <c r="H181" s="9">
        <v>112</v>
      </c>
      <c r="I181" s="9">
        <v>10</v>
      </c>
      <c r="J181" s="9">
        <v>23</v>
      </c>
      <c r="K181" s="9">
        <v>0.435</v>
      </c>
      <c r="L181" s="9">
        <v>0</v>
      </c>
      <c r="M181" s="9">
        <v>6</v>
      </c>
      <c r="N181" s="9">
        <v>0</v>
      </c>
      <c r="O181" s="9">
        <v>10</v>
      </c>
      <c r="P181" s="9">
        <v>17</v>
      </c>
      <c r="Q181" s="9">
        <v>0.58799999999999997</v>
      </c>
      <c r="R181" s="9">
        <v>16</v>
      </c>
      <c r="S181" s="9">
        <v>21</v>
      </c>
      <c r="T181" s="9">
        <v>0.76200000000000001</v>
      </c>
      <c r="U181" s="9">
        <v>7</v>
      </c>
      <c r="V181" s="9">
        <v>22</v>
      </c>
      <c r="W181" s="9">
        <v>23</v>
      </c>
      <c r="X181" s="9">
        <v>3</v>
      </c>
      <c r="Y181" s="9">
        <v>3</v>
      </c>
      <c r="Z181" s="9">
        <v>11</v>
      </c>
      <c r="AA181" s="9">
        <v>17</v>
      </c>
      <c r="AB181" s="9">
        <v>36</v>
      </c>
      <c r="AC181" s="5">
        <f t="shared" si="2"/>
        <v>2.0909090909090908</v>
      </c>
    </row>
    <row r="182" spans="1:29" ht="15.75" customHeight="1">
      <c r="A182" t="s">
        <v>282</v>
      </c>
      <c r="B182" s="9" t="s">
        <v>137</v>
      </c>
      <c r="C182" s="9" t="s">
        <v>85</v>
      </c>
      <c r="D182" s="9">
        <v>16</v>
      </c>
      <c r="E182" s="9">
        <v>110</v>
      </c>
      <c r="F182" s="9">
        <v>16</v>
      </c>
      <c r="G182" s="9">
        <v>0</v>
      </c>
      <c r="H182" s="9">
        <v>110</v>
      </c>
      <c r="I182" s="9">
        <v>18</v>
      </c>
      <c r="J182" s="9">
        <v>36</v>
      </c>
      <c r="K182" s="9">
        <v>0.5</v>
      </c>
      <c r="L182" s="9">
        <v>10</v>
      </c>
      <c r="M182" s="9">
        <v>20</v>
      </c>
      <c r="N182" s="9">
        <v>0.5</v>
      </c>
      <c r="O182" s="9">
        <v>8</v>
      </c>
      <c r="P182" s="9">
        <v>16</v>
      </c>
      <c r="Q182" s="9">
        <v>0.5</v>
      </c>
      <c r="R182" s="9">
        <v>15</v>
      </c>
      <c r="S182" s="9">
        <v>19</v>
      </c>
      <c r="T182" s="9">
        <v>0.78900000000000003</v>
      </c>
      <c r="U182" s="9">
        <v>9</v>
      </c>
      <c r="V182" s="9">
        <v>22</v>
      </c>
      <c r="W182" s="9">
        <v>5</v>
      </c>
      <c r="X182" s="9">
        <v>1</v>
      </c>
      <c r="Y182" s="9">
        <v>2</v>
      </c>
      <c r="Z182" s="9">
        <v>14</v>
      </c>
      <c r="AA182" s="9">
        <v>24</v>
      </c>
      <c r="AB182" s="9">
        <v>61</v>
      </c>
      <c r="AC182" s="5">
        <f t="shared" si="2"/>
        <v>0.35714285714285715</v>
      </c>
    </row>
    <row r="183" spans="1:29" ht="15.75" customHeight="1">
      <c r="A183" t="s">
        <v>288</v>
      </c>
      <c r="B183" s="9" t="s">
        <v>114</v>
      </c>
      <c r="C183" s="9" t="s">
        <v>94</v>
      </c>
      <c r="D183" s="9">
        <v>14</v>
      </c>
      <c r="E183" s="9">
        <v>104</v>
      </c>
      <c r="F183" s="9">
        <v>14</v>
      </c>
      <c r="G183" s="9">
        <v>0</v>
      </c>
      <c r="H183" s="9">
        <v>104</v>
      </c>
      <c r="I183" s="9">
        <v>5</v>
      </c>
      <c r="J183" s="9">
        <v>18</v>
      </c>
      <c r="K183" s="9">
        <v>0.27800000000000002</v>
      </c>
      <c r="L183" s="9">
        <v>3</v>
      </c>
      <c r="M183" s="9">
        <v>10</v>
      </c>
      <c r="N183" s="9">
        <v>0.3</v>
      </c>
      <c r="O183" s="9">
        <v>2</v>
      </c>
      <c r="P183" s="9">
        <v>8</v>
      </c>
      <c r="Q183" s="9">
        <v>0.25</v>
      </c>
      <c r="R183" s="9">
        <v>4</v>
      </c>
      <c r="S183" s="9">
        <v>4</v>
      </c>
      <c r="T183" s="9">
        <v>1</v>
      </c>
      <c r="U183" s="9">
        <v>12</v>
      </c>
      <c r="V183" s="9">
        <v>22</v>
      </c>
      <c r="W183" s="9">
        <v>4</v>
      </c>
      <c r="X183" s="9">
        <v>2</v>
      </c>
      <c r="Y183" s="9">
        <v>0</v>
      </c>
      <c r="Z183" s="9">
        <v>2</v>
      </c>
      <c r="AA183" s="9">
        <v>9</v>
      </c>
      <c r="AB183" s="9">
        <v>17</v>
      </c>
      <c r="AC183" s="5">
        <f t="shared" si="2"/>
        <v>2</v>
      </c>
    </row>
    <row r="184" spans="1:29" ht="15.75" customHeight="1">
      <c r="A184" t="s">
        <v>283</v>
      </c>
      <c r="B184" s="9" t="s">
        <v>240</v>
      </c>
      <c r="C184" s="9" t="s">
        <v>8</v>
      </c>
      <c r="D184" s="9">
        <v>17</v>
      </c>
      <c r="E184" s="9">
        <v>100</v>
      </c>
      <c r="F184" s="9">
        <v>17</v>
      </c>
      <c r="G184" s="9">
        <v>0</v>
      </c>
      <c r="H184" s="9">
        <v>100</v>
      </c>
      <c r="I184" s="9">
        <v>12</v>
      </c>
      <c r="J184" s="9">
        <v>31</v>
      </c>
      <c r="K184" s="9">
        <v>0.38700000000000001</v>
      </c>
      <c r="L184" s="9">
        <v>3</v>
      </c>
      <c r="M184" s="9">
        <v>9</v>
      </c>
      <c r="N184" s="9">
        <v>0.33300000000000002</v>
      </c>
      <c r="O184" s="9">
        <v>9</v>
      </c>
      <c r="P184" s="9">
        <v>22</v>
      </c>
      <c r="Q184" s="9">
        <v>0.40899999999999997</v>
      </c>
      <c r="R184" s="9">
        <v>21</v>
      </c>
      <c r="S184" s="9">
        <v>27</v>
      </c>
      <c r="T184" s="9">
        <v>0.77800000000000002</v>
      </c>
      <c r="U184" s="9">
        <v>4</v>
      </c>
      <c r="V184" s="9">
        <v>15</v>
      </c>
      <c r="W184" s="9">
        <v>7</v>
      </c>
      <c r="X184" s="9">
        <v>1</v>
      </c>
      <c r="Y184" s="9">
        <v>1</v>
      </c>
      <c r="Z184" s="9">
        <v>11</v>
      </c>
      <c r="AA184" s="9">
        <v>8</v>
      </c>
      <c r="AB184" s="9">
        <v>48</v>
      </c>
      <c r="AC184" s="5">
        <f t="shared" si="2"/>
        <v>0.63636363636363635</v>
      </c>
    </row>
    <row r="185" spans="1:29" ht="15.75" customHeight="1"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5"/>
    </row>
    <row r="186" spans="1:29" ht="15.75" customHeight="1"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5"/>
    </row>
    <row r="187" spans="1:29" ht="15.75" customHeight="1"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5"/>
    </row>
    <row r="188" spans="1:29" ht="15.75" customHeight="1"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5"/>
    </row>
    <row r="189" spans="1:29" ht="15.75" customHeight="1"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5"/>
    </row>
    <row r="190" spans="1:29" ht="15.75" customHeight="1"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5"/>
    </row>
    <row r="191" spans="1:29" ht="15.75" customHeight="1"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5"/>
    </row>
    <row r="192" spans="1:29" ht="15.75" customHeight="1"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5"/>
    </row>
    <row r="193" spans="2:29" ht="15.75" customHeight="1"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5"/>
    </row>
    <row r="194" spans="2:29" ht="15.75" customHeight="1"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5"/>
    </row>
    <row r="195" spans="2:29" ht="15.75" customHeight="1"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5"/>
    </row>
    <row r="196" spans="2:29" ht="15.75" customHeight="1"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5"/>
    </row>
    <row r="197" spans="2:29" ht="15.75" customHeight="1"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5"/>
    </row>
    <row r="198" spans="2:29" ht="15.75" customHeight="1"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5"/>
    </row>
    <row r="199" spans="2:29" ht="15.75" customHeight="1"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5"/>
    </row>
    <row r="200" spans="2:29" ht="15.75" customHeight="1"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5"/>
    </row>
    <row r="201" spans="2:29" ht="15.75" customHeight="1"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5"/>
    </row>
    <row r="202" spans="2:29" ht="15.75" customHeight="1"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5"/>
    </row>
    <row r="203" spans="2:29" ht="15.75" customHeight="1"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5"/>
    </row>
    <row r="204" spans="2:29" ht="15.75" customHeight="1"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5"/>
    </row>
    <row r="205" spans="2:29" ht="15.75" customHeight="1"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5"/>
    </row>
    <row r="206" spans="2:29" ht="15.75" customHeight="1"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5"/>
    </row>
    <row r="207" spans="2:29" ht="15.75" customHeight="1"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5"/>
    </row>
    <row r="208" spans="2:29" ht="15.75" customHeight="1"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5"/>
    </row>
    <row r="209" spans="2:29" ht="15.75" customHeight="1"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5"/>
    </row>
    <row r="210" spans="2:29" ht="15.75" customHeight="1"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5"/>
    </row>
    <row r="211" spans="2:29" ht="15.75" customHeight="1"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5"/>
    </row>
    <row r="212" spans="2:29" ht="15.75" customHeight="1"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5"/>
    </row>
    <row r="213" spans="2:29" ht="15.75" customHeight="1"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5"/>
    </row>
    <row r="214" spans="2:29" ht="15.75" customHeight="1"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5"/>
    </row>
    <row r="215" spans="2:29" ht="15.75" customHeight="1"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5"/>
    </row>
    <row r="216" spans="2:29" ht="15.75" customHeight="1"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5"/>
    </row>
    <row r="217" spans="2:29" ht="15.75" customHeight="1"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5"/>
    </row>
    <row r="218" spans="2:29" ht="15.75" customHeight="1"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5"/>
    </row>
    <row r="219" spans="2:29" ht="15.75" customHeight="1"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5"/>
    </row>
    <row r="220" spans="2:29" ht="15.75" customHeight="1"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5"/>
    </row>
    <row r="221" spans="2:29" ht="15.75" customHeight="1"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5"/>
    </row>
    <row r="222" spans="2:29" ht="15.75" customHeight="1"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5"/>
    </row>
    <row r="223" spans="2:29" ht="15.75" customHeight="1"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5" t="str">
        <f t="shared" ref="AC223:AC259" si="3">IF(Z223=0,"",W223/Z223)</f>
        <v/>
      </c>
    </row>
    <row r="224" spans="2:29" ht="15.75" customHeight="1"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5" t="str">
        <f t="shared" si="3"/>
        <v/>
      </c>
    </row>
    <row r="225" spans="2:29" ht="15.75" customHeight="1"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5" t="str">
        <f t="shared" si="3"/>
        <v/>
      </c>
    </row>
    <row r="226" spans="2:29" ht="15.75" customHeight="1"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5" t="str">
        <f t="shared" si="3"/>
        <v/>
      </c>
    </row>
    <row r="227" spans="2:29" ht="15.75" customHeight="1"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5" t="str">
        <f t="shared" si="3"/>
        <v/>
      </c>
    </row>
    <row r="228" spans="2:29" ht="15.75" customHeight="1"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5" t="str">
        <f t="shared" si="3"/>
        <v/>
      </c>
    </row>
    <row r="229" spans="2:29" ht="15.75" customHeight="1"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5" t="str">
        <f t="shared" si="3"/>
        <v/>
      </c>
    </row>
    <row r="230" spans="2:29" ht="15.75" customHeight="1"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5" t="str">
        <f t="shared" si="3"/>
        <v/>
      </c>
    </row>
    <row r="231" spans="2:29" ht="15.75" customHeight="1"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5" t="str">
        <f t="shared" si="3"/>
        <v/>
      </c>
    </row>
    <row r="232" spans="2:29" ht="15.75" customHeight="1"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5" t="str">
        <f t="shared" si="3"/>
        <v/>
      </c>
    </row>
    <row r="233" spans="2:29" ht="15.75" customHeight="1"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5" t="str">
        <f t="shared" si="3"/>
        <v/>
      </c>
    </row>
    <row r="234" spans="2:29" ht="15.75" customHeight="1"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5" t="str">
        <f t="shared" si="3"/>
        <v/>
      </c>
    </row>
    <row r="235" spans="2:29" ht="15.75" customHeight="1"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5" t="str">
        <f t="shared" si="3"/>
        <v/>
      </c>
    </row>
    <row r="236" spans="2:29" ht="15.75" customHeight="1"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5" t="str">
        <f t="shared" si="3"/>
        <v/>
      </c>
    </row>
    <row r="237" spans="2:29" ht="15.75" customHeight="1"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5" t="str">
        <f t="shared" si="3"/>
        <v/>
      </c>
    </row>
    <row r="238" spans="2:29" ht="15.75" customHeight="1"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5" t="str">
        <f t="shared" si="3"/>
        <v/>
      </c>
    </row>
    <row r="239" spans="2:29" ht="15.75" customHeight="1"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5" t="str">
        <f t="shared" si="3"/>
        <v/>
      </c>
    </row>
    <row r="240" spans="2:29" ht="15.75" customHeight="1"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5" t="str">
        <f t="shared" si="3"/>
        <v/>
      </c>
    </row>
    <row r="241" spans="2:29" ht="15.75" customHeight="1"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5" t="str">
        <f t="shared" si="3"/>
        <v/>
      </c>
    </row>
    <row r="242" spans="2:29" ht="15.75" customHeight="1"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5" t="str">
        <f t="shared" si="3"/>
        <v/>
      </c>
    </row>
    <row r="243" spans="2:29" ht="15.75" customHeight="1"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5" t="str">
        <f t="shared" si="3"/>
        <v/>
      </c>
    </row>
    <row r="244" spans="2:29" ht="15.75" customHeight="1"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5" t="str">
        <f t="shared" si="3"/>
        <v/>
      </c>
    </row>
    <row r="245" spans="2:29" ht="15.75" customHeight="1"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5" t="str">
        <f t="shared" si="3"/>
        <v/>
      </c>
    </row>
    <row r="246" spans="2:29" ht="15.75" customHeight="1"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5" t="str">
        <f t="shared" si="3"/>
        <v/>
      </c>
    </row>
    <row r="247" spans="2:29" ht="15.75" customHeight="1"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5" t="str">
        <f t="shared" si="3"/>
        <v/>
      </c>
    </row>
    <row r="248" spans="2:29" ht="15.75" customHeight="1"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5" t="str">
        <f t="shared" si="3"/>
        <v/>
      </c>
    </row>
    <row r="249" spans="2:29" ht="15.75" customHeight="1"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5" t="str">
        <f t="shared" si="3"/>
        <v/>
      </c>
    </row>
    <row r="250" spans="2:29" ht="15.75" customHeight="1"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5" t="str">
        <f t="shared" si="3"/>
        <v/>
      </c>
    </row>
    <row r="251" spans="2:29" ht="15.75" customHeight="1"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5" t="str">
        <f t="shared" si="3"/>
        <v/>
      </c>
    </row>
    <row r="252" spans="2:29" ht="15.75" customHeight="1"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5" t="str">
        <f t="shared" si="3"/>
        <v/>
      </c>
    </row>
    <row r="253" spans="2:29" ht="15.75" customHeight="1"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5" t="str">
        <f t="shared" si="3"/>
        <v/>
      </c>
    </row>
    <row r="254" spans="2:29" ht="15.75" customHeight="1"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5" t="str">
        <f t="shared" si="3"/>
        <v/>
      </c>
    </row>
    <row r="255" spans="2:29" ht="15.75" customHeight="1"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5" t="str">
        <f t="shared" si="3"/>
        <v/>
      </c>
    </row>
    <row r="256" spans="2:29" ht="15.75" customHeight="1"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5" t="str">
        <f t="shared" si="3"/>
        <v/>
      </c>
    </row>
    <row r="257" spans="2:29" ht="15.75" customHeight="1"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5" t="str">
        <f t="shared" si="3"/>
        <v/>
      </c>
    </row>
    <row r="258" spans="2:29" ht="15.75" customHeight="1"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5" t="str">
        <f t="shared" si="3"/>
        <v/>
      </c>
    </row>
    <row r="259" spans="2:29" ht="15.75" customHeight="1"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5" t="str">
        <f t="shared" si="3"/>
        <v/>
      </c>
    </row>
    <row r="260" spans="2:29" ht="15.75" customHeight="1"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5" t="str">
        <f t="shared" ref="AC260:AC298" si="4">IF(Z260=0,"",W260/Z260)</f>
        <v/>
      </c>
    </row>
    <row r="261" spans="2:29" ht="15.75" customHeight="1"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5" t="str">
        <f t="shared" si="4"/>
        <v/>
      </c>
    </row>
    <row r="262" spans="2:29" ht="15.75" customHeight="1"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5" t="str">
        <f t="shared" si="4"/>
        <v/>
      </c>
    </row>
    <row r="263" spans="2:29" ht="15.75" customHeight="1"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5" t="str">
        <f t="shared" si="4"/>
        <v/>
      </c>
    </row>
    <row r="264" spans="2:29" ht="15.75" customHeight="1"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5" t="str">
        <f t="shared" si="4"/>
        <v/>
      </c>
    </row>
    <row r="265" spans="2:29" ht="15.75" customHeight="1"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5" t="str">
        <f t="shared" si="4"/>
        <v/>
      </c>
    </row>
    <row r="266" spans="2:29" ht="15.75" customHeight="1"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5" t="str">
        <f t="shared" si="4"/>
        <v/>
      </c>
    </row>
    <row r="267" spans="2:29" ht="15.75" customHeight="1"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5" t="str">
        <f t="shared" si="4"/>
        <v/>
      </c>
    </row>
    <row r="268" spans="2:29" ht="15.75" customHeight="1"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5" t="str">
        <f t="shared" si="4"/>
        <v/>
      </c>
    </row>
    <row r="269" spans="2:29" ht="15.75" customHeight="1"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5" t="str">
        <f t="shared" si="4"/>
        <v/>
      </c>
    </row>
    <row r="270" spans="2:29" ht="15.75" customHeight="1"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5" t="str">
        <f t="shared" si="4"/>
        <v/>
      </c>
    </row>
    <row r="271" spans="2:29" ht="15.75" customHeight="1"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5" t="str">
        <f t="shared" si="4"/>
        <v/>
      </c>
    </row>
    <row r="272" spans="2:29" ht="15.75" customHeight="1"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5" t="str">
        <f t="shared" si="4"/>
        <v/>
      </c>
    </row>
    <row r="273" spans="2:29" ht="15.75" customHeight="1"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5" t="str">
        <f t="shared" si="4"/>
        <v/>
      </c>
    </row>
    <row r="274" spans="2:29" ht="15.75" customHeight="1"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5" t="str">
        <f t="shared" si="4"/>
        <v/>
      </c>
    </row>
    <row r="275" spans="2:29" ht="15.75" customHeight="1"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5" t="str">
        <f t="shared" si="4"/>
        <v/>
      </c>
    </row>
    <row r="276" spans="2:29" ht="15.75" customHeight="1"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5" t="str">
        <f t="shared" si="4"/>
        <v/>
      </c>
    </row>
    <row r="277" spans="2:29" ht="15.75" customHeight="1"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5" t="str">
        <f t="shared" si="4"/>
        <v/>
      </c>
    </row>
    <row r="278" spans="2:29" ht="15.75" customHeight="1"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5" t="str">
        <f t="shared" si="4"/>
        <v/>
      </c>
    </row>
    <row r="279" spans="2:29" ht="15.75" customHeight="1"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5" t="str">
        <f t="shared" si="4"/>
        <v/>
      </c>
    </row>
    <row r="280" spans="2:29" ht="15.75" customHeight="1"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5" t="str">
        <f t="shared" si="4"/>
        <v/>
      </c>
    </row>
    <row r="281" spans="2:29" ht="15.75" customHeight="1"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5" t="str">
        <f t="shared" si="4"/>
        <v/>
      </c>
    </row>
    <row r="282" spans="2:29" ht="15.75" customHeight="1"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5" t="str">
        <f t="shared" si="4"/>
        <v/>
      </c>
    </row>
    <row r="283" spans="2:29" ht="15.75" customHeight="1"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5" t="str">
        <f t="shared" si="4"/>
        <v/>
      </c>
    </row>
    <row r="284" spans="2:29" ht="15.75" customHeight="1"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5" t="str">
        <f t="shared" si="4"/>
        <v/>
      </c>
    </row>
    <row r="285" spans="2:29" ht="15.75" customHeight="1"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5" t="str">
        <f t="shared" si="4"/>
        <v/>
      </c>
    </row>
    <row r="286" spans="2:29" ht="15.75" customHeight="1"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5" t="str">
        <f t="shared" si="4"/>
        <v/>
      </c>
    </row>
    <row r="287" spans="2:29" ht="15.75" customHeight="1"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5" t="str">
        <f t="shared" si="4"/>
        <v/>
      </c>
    </row>
    <row r="288" spans="2:29" ht="15.75" customHeight="1"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5" t="str">
        <f t="shared" si="4"/>
        <v/>
      </c>
    </row>
    <row r="289" spans="1:29" ht="15.75" customHeight="1"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5" t="str">
        <f t="shared" si="4"/>
        <v/>
      </c>
    </row>
    <row r="290" spans="1:29" ht="15.75" customHeight="1"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5" t="str">
        <f t="shared" si="4"/>
        <v/>
      </c>
    </row>
    <row r="291" spans="1:29" ht="15.75" customHeight="1"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5" t="str">
        <f t="shared" si="4"/>
        <v/>
      </c>
    </row>
    <row r="292" spans="1:29" ht="15.75" customHeight="1"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5" t="str">
        <f t="shared" si="4"/>
        <v/>
      </c>
    </row>
    <row r="293" spans="1:29" ht="15.75" customHeight="1"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5" t="str">
        <f t="shared" si="4"/>
        <v/>
      </c>
    </row>
    <row r="294" spans="1:29" ht="15.75" customHeight="1"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5" t="str">
        <f t="shared" si="4"/>
        <v/>
      </c>
    </row>
    <row r="295" spans="1:29" ht="15.75" customHeight="1"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5" t="str">
        <f t="shared" si="4"/>
        <v/>
      </c>
    </row>
    <row r="296" spans="1:29" ht="15.75" customHeight="1"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5" t="str">
        <f t="shared" si="4"/>
        <v/>
      </c>
    </row>
    <row r="297" spans="1:29" ht="15.75" customHeight="1"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5" t="str">
        <f t="shared" si="4"/>
        <v/>
      </c>
    </row>
    <row r="298" spans="1:29" ht="15.75" customHeight="1"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5" t="str">
        <f t="shared" si="4"/>
        <v/>
      </c>
    </row>
    <row r="299" spans="1:29" ht="15.75" customHeight="1"/>
    <row r="300" spans="1:29" ht="15.75" customHeight="1">
      <c r="A300" t="s">
        <v>75</v>
      </c>
      <c r="D300" s="19">
        <f>SUM(D3:D298)</f>
        <v>5816</v>
      </c>
      <c r="E300" s="19">
        <f t="shared" ref="E300:AB300" si="5">SUM(E3:E298)</f>
        <v>121723</v>
      </c>
      <c r="F300" s="19">
        <f t="shared" si="5"/>
        <v>5816</v>
      </c>
      <c r="G300" s="19">
        <f t="shared" si="5"/>
        <v>3077</v>
      </c>
      <c r="H300" s="19">
        <f t="shared" si="5"/>
        <v>121723</v>
      </c>
      <c r="I300" s="19">
        <f t="shared" si="5"/>
        <v>18883</v>
      </c>
      <c r="J300" s="19">
        <f t="shared" si="5"/>
        <v>41647</v>
      </c>
      <c r="K300" s="19">
        <f t="shared" si="5"/>
        <v>80.339000000000027</v>
      </c>
      <c r="L300" s="19">
        <f t="shared" si="5"/>
        <v>5269</v>
      </c>
      <c r="M300" s="19">
        <f t="shared" si="5"/>
        <v>15426</v>
      </c>
      <c r="N300" s="19">
        <f t="shared" si="5"/>
        <v>57.185999999999986</v>
      </c>
      <c r="O300" s="19">
        <f t="shared" si="5"/>
        <v>13614</v>
      </c>
      <c r="P300" s="19">
        <f t="shared" si="5"/>
        <v>26221</v>
      </c>
      <c r="Q300" s="19">
        <f t="shared" si="5"/>
        <v>92.072999999999993</v>
      </c>
      <c r="R300" s="19">
        <f t="shared" si="5"/>
        <v>9956</v>
      </c>
      <c r="S300" s="19">
        <f t="shared" si="5"/>
        <v>12635</v>
      </c>
      <c r="T300" s="19">
        <f t="shared" si="5"/>
        <v>140.86300000000003</v>
      </c>
      <c r="U300" s="19">
        <f t="shared" si="5"/>
        <v>5161</v>
      </c>
      <c r="V300" s="19">
        <f t="shared" si="5"/>
        <v>20246</v>
      </c>
      <c r="W300" s="19">
        <f t="shared" si="5"/>
        <v>12521</v>
      </c>
      <c r="X300" s="19">
        <f t="shared" si="5"/>
        <v>4458</v>
      </c>
      <c r="Y300" s="19">
        <f t="shared" si="5"/>
        <v>2407</v>
      </c>
      <c r="Z300" s="19">
        <f t="shared" si="5"/>
        <v>7919</v>
      </c>
      <c r="AA300" s="19">
        <f t="shared" si="5"/>
        <v>11878</v>
      </c>
      <c r="AB300" s="19">
        <f t="shared" si="5"/>
        <v>52994</v>
      </c>
      <c r="AC300" s="6"/>
    </row>
    <row r="301" spans="1:29" ht="15.75" customHeight="1">
      <c r="A301" t="s">
        <v>76</v>
      </c>
      <c r="D301" s="18">
        <f>AB300/(2*(J300+0.44*S300))-0.001</f>
        <v>0.56030101003253796</v>
      </c>
      <c r="E301" s="18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</row>
    <row r="302" spans="1:29" ht="15.75" customHeight="1">
      <c r="A302" t="s">
        <v>77</v>
      </c>
      <c r="D302" s="18">
        <f>AB300/((J300+0.44*S300+Z300))</f>
        <v>0.96133542795154314</v>
      </c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</row>
    <row r="303" spans="1:29" ht="15.75" customHeight="1">
      <c r="A303" t="s">
        <v>78</v>
      </c>
      <c r="D303" s="10">
        <f>L300/M300</f>
        <v>0.34156618695708546</v>
      </c>
    </row>
    <row r="304" spans="1:29" ht="15.75" customHeight="1">
      <c r="A304" t="s">
        <v>79</v>
      </c>
      <c r="D304" s="10">
        <f>O300/P300</f>
        <v>0.51920216620266202</v>
      </c>
    </row>
    <row r="305" spans="1:4" ht="15.75" customHeight="1">
      <c r="A305" t="s">
        <v>80</v>
      </c>
      <c r="D305" s="10">
        <f>I300/J300</f>
        <v>0.45340600763560401</v>
      </c>
    </row>
    <row r="306" spans="1:4" ht="15.75" customHeight="1">
      <c r="A306" t="s">
        <v>81</v>
      </c>
      <c r="D306" s="10">
        <f>(I300+0.5*L300)/(J300)</f>
        <v>0.51666386534444253</v>
      </c>
    </row>
    <row r="307" spans="1:4" ht="15.75" customHeight="1">
      <c r="A307" t="s">
        <v>82</v>
      </c>
      <c r="D307" s="10">
        <f>R300/S300</f>
        <v>0.7879699248120301</v>
      </c>
    </row>
    <row r="308" spans="1:4" ht="15.75" customHeight="1"/>
    <row r="309" spans="1:4" ht="15.75" customHeight="1"/>
    <row r="310" spans="1:4" ht="15.75" customHeight="1"/>
    <row r="311" spans="1:4" ht="15.75" customHeight="1"/>
    <row r="312" spans="1:4" ht="15.75" customHeight="1"/>
    <row r="313" spans="1:4" ht="15.75" customHeight="1"/>
    <row r="314" spans="1:4" ht="15.75" customHeight="1"/>
    <row r="315" spans="1:4" ht="15.75" customHeight="1"/>
    <row r="316" spans="1:4" ht="15.75" customHeight="1"/>
    <row r="317" spans="1:4" ht="15.75" customHeight="1"/>
    <row r="318" spans="1:4" ht="15.75" customHeight="1"/>
    <row r="319" spans="1:4" ht="15.75" customHeight="1"/>
    <row r="320" spans="1:4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  <row r="1128" ht="15.75" customHeight="1"/>
    <row r="1129" ht="15.75" customHeight="1"/>
    <row r="1130" ht="15.75" customHeight="1"/>
    <row r="1131" ht="15.75" customHeight="1"/>
    <row r="1132" ht="15.75" customHeight="1"/>
    <row r="1133" ht="15.75" customHeight="1"/>
    <row r="1134" ht="15.75" customHeight="1"/>
    <row r="1135" ht="15.75" customHeight="1"/>
    <row r="1136" ht="15.75" customHeight="1"/>
    <row r="1137" ht="15.75" customHeight="1"/>
    <row r="1138" ht="15.75" customHeight="1"/>
  </sheetData>
  <autoFilter ref="A2:AC2"/>
  <mergeCells count="1">
    <mergeCell ref="A1:AC1"/>
  </mergeCells>
  <conditionalFormatting sqref="D3:D298">
    <cfRule type="colorScale" priority="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1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1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1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1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3:S298">
    <cfRule type="colorScale" priority="1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1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1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3:V298">
    <cfRule type="colorScale" priority="1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3:W298">
    <cfRule type="colorScale" priority="1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1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2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21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A3:AA298">
    <cfRule type="colorScale" priority="22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3:AB298">
    <cfRule type="colorScale" priority="2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2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E1"/>
    </sheetView>
  </sheetViews>
  <sheetFormatPr baseColWidth="10" defaultColWidth="12.3984375" defaultRowHeight="15" customHeight="1"/>
  <cols>
    <col min="1" max="1" width="25.59765625" customWidth="1"/>
    <col min="2" max="28" width="7.59765625" customWidth="1"/>
    <col min="29" max="29" width="10.3984375" customWidth="1"/>
    <col min="30" max="30" width="12.59765625" bestFit="1" customWidth="1"/>
    <col min="31" max="31" width="13.3984375" bestFit="1" customWidth="1"/>
  </cols>
  <sheetData>
    <row r="1" spans="1:38" ht="24.6">
      <c r="A1" s="22" t="s">
        <v>67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H1" s="23" t="s">
        <v>68</v>
      </c>
      <c r="AI1" s="23"/>
      <c r="AJ1" s="23"/>
      <c r="AK1" s="23"/>
      <c r="AL1" s="23"/>
    </row>
    <row r="2" spans="1:38" ht="13.8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10</v>
      </c>
      <c r="H2" s="2" t="s">
        <v>9</v>
      </c>
      <c r="I2" s="2" t="s">
        <v>11</v>
      </c>
      <c r="J2" s="2" t="s">
        <v>12</v>
      </c>
      <c r="K2" s="2" t="s">
        <v>13</v>
      </c>
      <c r="L2" s="2" t="s">
        <v>14</v>
      </c>
      <c r="M2" s="2" t="s">
        <v>15</v>
      </c>
      <c r="N2" s="2" t="s">
        <v>16</v>
      </c>
      <c r="O2" s="2" t="s">
        <v>17</v>
      </c>
      <c r="P2" s="2" t="s">
        <v>18</v>
      </c>
      <c r="Q2" s="2" t="s">
        <v>19</v>
      </c>
      <c r="R2" s="2" t="s">
        <v>20</v>
      </c>
      <c r="S2" s="2" t="s">
        <v>21</v>
      </c>
      <c r="T2" s="2" t="s">
        <v>22</v>
      </c>
      <c r="U2" s="2" t="s">
        <v>23</v>
      </c>
      <c r="V2" s="2" t="s">
        <v>24</v>
      </c>
      <c r="W2" s="2" t="s">
        <v>25</v>
      </c>
      <c r="X2" s="2" t="s">
        <v>26</v>
      </c>
      <c r="Y2" s="2" t="s">
        <v>27</v>
      </c>
      <c r="Z2" s="2" t="s">
        <v>28</v>
      </c>
      <c r="AA2" s="2" t="s">
        <v>29</v>
      </c>
      <c r="AB2" s="2" t="s">
        <v>30</v>
      </c>
      <c r="AC2" s="2" t="s">
        <v>51</v>
      </c>
      <c r="AD2" s="2" t="s">
        <v>72</v>
      </c>
      <c r="AE2" s="2" t="s">
        <v>73</v>
      </c>
      <c r="AH2" s="2" t="s">
        <v>72</v>
      </c>
      <c r="AI2" s="2" t="s">
        <v>73</v>
      </c>
      <c r="AJ2" s="2" t="s">
        <v>30</v>
      </c>
      <c r="AK2" s="2" t="s">
        <v>9</v>
      </c>
      <c r="AL2" s="2" t="s">
        <v>22</v>
      </c>
    </row>
    <row r="3" spans="1:38" ht="13.8">
      <c r="A3" s="20" t="s">
        <v>127</v>
      </c>
      <c r="B3" s="7" t="s">
        <v>128</v>
      </c>
      <c r="C3" s="4" t="s">
        <v>8</v>
      </c>
      <c r="D3" s="4">
        <v>40</v>
      </c>
      <c r="E3" s="4">
        <v>1376</v>
      </c>
      <c r="F3" s="4">
        <v>40</v>
      </c>
      <c r="G3" s="4">
        <v>40</v>
      </c>
      <c r="H3" s="4">
        <v>34.4</v>
      </c>
      <c r="I3" s="4">
        <v>5.9</v>
      </c>
      <c r="J3" s="4">
        <v>14.5</v>
      </c>
      <c r="K3" s="4">
        <v>0.40500000000000003</v>
      </c>
      <c r="L3" s="4">
        <v>3.2</v>
      </c>
      <c r="M3" s="4">
        <v>9</v>
      </c>
      <c r="N3" s="4">
        <v>0.36</v>
      </c>
      <c r="O3" s="4">
        <v>2.6</v>
      </c>
      <c r="P3" s="4">
        <v>5.5</v>
      </c>
      <c r="Q3" s="4">
        <v>0.47699999999999998</v>
      </c>
      <c r="R3" s="4">
        <v>3.2</v>
      </c>
      <c r="S3" s="4">
        <v>3.7</v>
      </c>
      <c r="T3" s="4">
        <v>0.877</v>
      </c>
      <c r="U3" s="4">
        <v>0.7</v>
      </c>
      <c r="V3" s="4">
        <v>3.9</v>
      </c>
      <c r="W3" s="4">
        <v>3.7</v>
      </c>
      <c r="X3" s="4">
        <v>2.4</v>
      </c>
      <c r="Y3" s="4">
        <v>0.9</v>
      </c>
      <c r="Z3" s="4">
        <v>1.4</v>
      </c>
      <c r="AA3" s="4">
        <v>2.9</v>
      </c>
      <c r="AB3" s="4">
        <v>18.100000000000001</v>
      </c>
      <c r="AC3" s="10">
        <f>(AB3)/(J3+(0.44*S3)+Z3)</f>
        <v>1.032633500684619</v>
      </c>
      <c r="AD3" s="10">
        <f>Y3/AA3</f>
        <v>0.31034482758620691</v>
      </c>
      <c r="AE3" s="12">
        <f>100*(AC3/TOTAL_BASIC!$D$302)</f>
        <v>107.41656560863476</v>
      </c>
      <c r="AF3" s="9"/>
      <c r="AG3" s="9"/>
      <c r="AH3" s="12">
        <f>(PERCENTRANK(AD$3:AD$298,AD3))*100</f>
        <v>80.600000000000009</v>
      </c>
      <c r="AI3" s="12">
        <f>(PERCENTRANK(AE$3:AE$298,AE3))*100</f>
        <v>81.699999999999989</v>
      </c>
      <c r="AJ3" s="12">
        <f>(PERCENTRANK(AB$3:AB$298,AB3))*100</f>
        <v>93.300000000000011</v>
      </c>
      <c r="AK3" s="12">
        <f>(PERCENTRANK(H$3:H$298,H3))*100</f>
        <v>100</v>
      </c>
      <c r="AL3" s="12">
        <f>(PERCENTRANK(T$3:T$298,T3))*100</f>
        <v>83.399999999999991</v>
      </c>
    </row>
    <row r="4" spans="1:38" ht="13.8">
      <c r="A4" s="1" t="s">
        <v>159</v>
      </c>
      <c r="B4" s="7" t="s">
        <v>157</v>
      </c>
      <c r="C4" s="4" t="s">
        <v>8</v>
      </c>
      <c r="D4" s="4">
        <v>41</v>
      </c>
      <c r="E4" s="4">
        <v>1347</v>
      </c>
      <c r="F4" s="4">
        <v>41</v>
      </c>
      <c r="G4" s="4">
        <v>41</v>
      </c>
      <c r="H4" s="4">
        <v>32.9</v>
      </c>
      <c r="I4" s="4">
        <v>8.9</v>
      </c>
      <c r="J4" s="4">
        <v>17.100000000000001</v>
      </c>
      <c r="K4" s="4">
        <v>0.51800000000000002</v>
      </c>
      <c r="L4" s="4">
        <v>3.1</v>
      </c>
      <c r="M4" s="4">
        <v>6.8</v>
      </c>
      <c r="N4" s="4">
        <v>0.46200000000000002</v>
      </c>
      <c r="O4" s="4">
        <v>5.8</v>
      </c>
      <c r="P4" s="4">
        <v>10.4</v>
      </c>
      <c r="Q4" s="4">
        <v>0.55400000000000005</v>
      </c>
      <c r="R4" s="4">
        <v>4.3</v>
      </c>
      <c r="S4" s="4">
        <v>5.0999999999999996</v>
      </c>
      <c r="T4" s="4">
        <v>0.84399999999999997</v>
      </c>
      <c r="U4" s="4">
        <v>0.5</v>
      </c>
      <c r="V4" s="4">
        <v>1.7</v>
      </c>
      <c r="W4" s="4">
        <v>2.8</v>
      </c>
      <c r="X4" s="4">
        <v>1.1000000000000001</v>
      </c>
      <c r="Y4" s="4">
        <v>0.1</v>
      </c>
      <c r="Z4" s="4">
        <v>1.7</v>
      </c>
      <c r="AA4" s="4">
        <v>2.4</v>
      </c>
      <c r="AB4" s="4">
        <v>25.2</v>
      </c>
      <c r="AC4" s="10">
        <f t="shared" ref="AC4:AC67" si="0">(AB4)/(J4+(0.44*S4)+Z4)</f>
        <v>1.1974909712982322</v>
      </c>
      <c r="AD4" s="10">
        <f t="shared" ref="AD4:AD67" si="1">Y4/AA4</f>
        <v>4.1666666666666671E-2</v>
      </c>
      <c r="AE4" s="12">
        <f>100*(AC4/TOTAL_BASIC!$D$302)</f>
        <v>124.56536360569797</v>
      </c>
      <c r="AF4" s="9"/>
      <c r="AG4" s="9"/>
      <c r="AH4" s="12">
        <f t="shared" ref="AH4:AH67" si="2">(PERCENTRANK(AD$3:AD$298,AD4))*100</f>
        <v>12.7</v>
      </c>
      <c r="AI4" s="12">
        <f t="shared" ref="AI4:AI67" si="3">(PERCENTRANK(AE$3:AE$298,AE4))*100</f>
        <v>98.8</v>
      </c>
      <c r="AJ4" s="12">
        <f t="shared" ref="AJ4:AJ67" si="4">(PERCENTRANK(AB$3:AB$298,AB4))*100</f>
        <v>99.4</v>
      </c>
      <c r="AK4" s="12">
        <f t="shared" ref="AK4:AK67" si="5">(PERCENTRANK(H$3:H$298,H4))*100</f>
        <v>97.2</v>
      </c>
      <c r="AL4" s="12">
        <f t="shared" ref="AL4:AL67" si="6">(PERCENTRANK(T$3:T$298,T4))*100</f>
        <v>66.8</v>
      </c>
    </row>
    <row r="5" spans="1:38" ht="13.8">
      <c r="A5" s="1" t="s">
        <v>149</v>
      </c>
      <c r="B5" s="7" t="s">
        <v>128</v>
      </c>
      <c r="C5" s="4" t="s">
        <v>8</v>
      </c>
      <c r="D5" s="4">
        <v>41</v>
      </c>
      <c r="E5" s="4">
        <v>1341</v>
      </c>
      <c r="F5" s="4">
        <v>41</v>
      </c>
      <c r="G5" s="4">
        <v>41</v>
      </c>
      <c r="H5" s="4">
        <v>32.700000000000003</v>
      </c>
      <c r="I5" s="4">
        <v>6.4</v>
      </c>
      <c r="J5" s="4">
        <v>14</v>
      </c>
      <c r="K5" s="4">
        <v>0.45800000000000002</v>
      </c>
      <c r="L5" s="4">
        <v>1.8</v>
      </c>
      <c r="M5" s="4">
        <v>5.6</v>
      </c>
      <c r="N5" s="4">
        <v>0.32900000000000001</v>
      </c>
      <c r="O5" s="4">
        <v>4.5999999999999996</v>
      </c>
      <c r="P5" s="4">
        <v>8.4</v>
      </c>
      <c r="Q5" s="4">
        <v>0.54300000000000004</v>
      </c>
      <c r="R5" s="4">
        <v>4.4000000000000004</v>
      </c>
      <c r="S5" s="4">
        <v>5.5</v>
      </c>
      <c r="T5" s="4">
        <v>0.79700000000000004</v>
      </c>
      <c r="U5" s="4">
        <v>0.7</v>
      </c>
      <c r="V5" s="4">
        <v>3.5</v>
      </c>
      <c r="W5" s="4">
        <v>2.6</v>
      </c>
      <c r="X5" s="4">
        <v>1.3</v>
      </c>
      <c r="Y5" s="4">
        <v>0.4</v>
      </c>
      <c r="Z5" s="4">
        <v>1.5</v>
      </c>
      <c r="AA5" s="4">
        <v>2.8</v>
      </c>
      <c r="AB5" s="4">
        <v>19.100000000000001</v>
      </c>
      <c r="AC5" s="10">
        <f t="shared" si="0"/>
        <v>1.0658482142857142</v>
      </c>
      <c r="AD5" s="10">
        <f t="shared" si="1"/>
        <v>0.14285714285714288</v>
      </c>
      <c r="AE5" s="12">
        <f>100*(AC5/TOTAL_BASIC!$D$302)</f>
        <v>110.87162537605334</v>
      </c>
      <c r="AF5" s="9"/>
      <c r="AG5" s="9"/>
      <c r="AH5" s="12">
        <f t="shared" si="2"/>
        <v>51.9</v>
      </c>
      <c r="AI5" s="12">
        <f t="shared" si="3"/>
        <v>90</v>
      </c>
      <c r="AJ5" s="12">
        <f t="shared" si="4"/>
        <v>94.399999999999991</v>
      </c>
      <c r="AK5" s="12">
        <f t="shared" si="5"/>
        <v>95.5</v>
      </c>
      <c r="AL5" s="12">
        <f t="shared" si="6"/>
        <v>49.7</v>
      </c>
    </row>
    <row r="6" spans="1:38" ht="13.8">
      <c r="A6" s="1" t="s">
        <v>95</v>
      </c>
      <c r="B6" s="7" t="s">
        <v>96</v>
      </c>
      <c r="C6" s="4" t="s">
        <v>8</v>
      </c>
      <c r="D6" s="4">
        <v>41</v>
      </c>
      <c r="E6" s="4">
        <v>1337</v>
      </c>
      <c r="F6" s="4">
        <v>41</v>
      </c>
      <c r="G6" s="4">
        <v>41</v>
      </c>
      <c r="H6" s="4">
        <v>32.6</v>
      </c>
      <c r="I6" s="4">
        <v>5.9</v>
      </c>
      <c r="J6" s="4">
        <v>12.8</v>
      </c>
      <c r="K6" s="4">
        <v>0.46100000000000002</v>
      </c>
      <c r="L6" s="4">
        <v>2.9</v>
      </c>
      <c r="M6" s="4">
        <v>7</v>
      </c>
      <c r="N6" s="4">
        <v>0.41399999999999998</v>
      </c>
      <c r="O6" s="4">
        <v>3</v>
      </c>
      <c r="P6" s="4">
        <v>5.9</v>
      </c>
      <c r="Q6" s="4">
        <v>0.51700000000000002</v>
      </c>
      <c r="R6" s="4">
        <v>3.3</v>
      </c>
      <c r="S6" s="4">
        <v>3.6</v>
      </c>
      <c r="T6" s="4">
        <v>0.91900000000000004</v>
      </c>
      <c r="U6" s="4">
        <v>0.6</v>
      </c>
      <c r="V6" s="4">
        <v>3.1</v>
      </c>
      <c r="W6" s="4">
        <v>2.1</v>
      </c>
      <c r="X6" s="4">
        <v>1.7</v>
      </c>
      <c r="Y6" s="4">
        <v>0.2</v>
      </c>
      <c r="Z6" s="4">
        <v>1.3</v>
      </c>
      <c r="AA6" s="4">
        <v>1.9</v>
      </c>
      <c r="AB6" s="4">
        <v>18</v>
      </c>
      <c r="AC6" s="10">
        <f t="shared" si="0"/>
        <v>1.1476664116296862</v>
      </c>
      <c r="AD6" s="10">
        <f t="shared" si="1"/>
        <v>0.10526315789473685</v>
      </c>
      <c r="AE6" s="12">
        <f>100*(AC6/TOTAL_BASIC!$D$302)</f>
        <v>119.382515016136</v>
      </c>
      <c r="AF6" s="9"/>
      <c r="AG6" s="9"/>
      <c r="AH6" s="12">
        <f t="shared" si="2"/>
        <v>37</v>
      </c>
      <c r="AI6" s="12">
        <f t="shared" si="3"/>
        <v>97.2</v>
      </c>
      <c r="AJ6" s="12">
        <f t="shared" si="4"/>
        <v>92.2</v>
      </c>
      <c r="AK6" s="12">
        <f t="shared" si="5"/>
        <v>95</v>
      </c>
      <c r="AL6" s="12">
        <f t="shared" si="6"/>
        <v>94.399999999999991</v>
      </c>
    </row>
    <row r="7" spans="1:38" ht="13.8">
      <c r="A7" s="1" t="s">
        <v>83</v>
      </c>
      <c r="B7" s="7" t="s">
        <v>84</v>
      </c>
      <c r="C7" s="4" t="s">
        <v>85</v>
      </c>
      <c r="D7" s="4">
        <v>40</v>
      </c>
      <c r="E7" s="4">
        <v>1325</v>
      </c>
      <c r="F7" s="4">
        <v>40</v>
      </c>
      <c r="G7" s="4">
        <v>40</v>
      </c>
      <c r="H7" s="4">
        <v>33.1</v>
      </c>
      <c r="I7" s="4">
        <v>7</v>
      </c>
      <c r="J7" s="4">
        <v>15</v>
      </c>
      <c r="K7" s="4">
        <v>0.46500000000000002</v>
      </c>
      <c r="L7" s="4">
        <v>0.8</v>
      </c>
      <c r="M7" s="4">
        <v>3</v>
      </c>
      <c r="N7" s="4">
        <v>0.26100000000000001</v>
      </c>
      <c r="O7" s="4">
        <v>6.2</v>
      </c>
      <c r="P7" s="4">
        <v>12</v>
      </c>
      <c r="Q7" s="4">
        <v>0.51600000000000001</v>
      </c>
      <c r="R7" s="4">
        <v>5.8</v>
      </c>
      <c r="S7" s="4">
        <v>6.9</v>
      </c>
      <c r="T7" s="4">
        <v>0.84399999999999997</v>
      </c>
      <c r="U7" s="4">
        <v>1.5</v>
      </c>
      <c r="V7" s="4">
        <v>8.1999999999999993</v>
      </c>
      <c r="W7" s="4">
        <v>3.2</v>
      </c>
      <c r="X7" s="4">
        <v>1.4</v>
      </c>
      <c r="Y7" s="4">
        <v>1.3</v>
      </c>
      <c r="Z7" s="4">
        <v>2</v>
      </c>
      <c r="AA7" s="4">
        <v>2.1</v>
      </c>
      <c r="AB7" s="4">
        <v>20.5</v>
      </c>
      <c r="AC7" s="10">
        <f t="shared" si="0"/>
        <v>1.0231583150329406</v>
      </c>
      <c r="AD7" s="10">
        <f t="shared" si="1"/>
        <v>0.61904761904761907</v>
      </c>
      <c r="AE7" s="12">
        <f>100*(AC7/TOTAL_BASIC!$D$302)</f>
        <v>106.43093818076927</v>
      </c>
      <c r="AF7" s="9"/>
      <c r="AG7" s="9"/>
      <c r="AH7" s="12">
        <f t="shared" si="2"/>
        <v>96.1</v>
      </c>
      <c r="AI7" s="12">
        <f t="shared" si="3"/>
        <v>78.400000000000006</v>
      </c>
      <c r="AJ7" s="12">
        <f t="shared" si="4"/>
        <v>96.6</v>
      </c>
      <c r="AK7" s="12">
        <f t="shared" si="5"/>
        <v>98.3</v>
      </c>
      <c r="AL7" s="12">
        <f t="shared" si="6"/>
        <v>66.8</v>
      </c>
    </row>
    <row r="8" spans="1:38" ht="13.8">
      <c r="A8" s="1" t="s">
        <v>121</v>
      </c>
      <c r="B8" s="7" t="s">
        <v>117</v>
      </c>
      <c r="C8" s="4" t="s">
        <v>8</v>
      </c>
      <c r="D8" s="4">
        <v>40</v>
      </c>
      <c r="E8" s="4">
        <v>1309</v>
      </c>
      <c r="F8" s="4">
        <v>40</v>
      </c>
      <c r="G8" s="4">
        <v>40</v>
      </c>
      <c r="H8" s="4">
        <v>32.700000000000003</v>
      </c>
      <c r="I8" s="4">
        <v>4.3</v>
      </c>
      <c r="J8" s="4">
        <v>10</v>
      </c>
      <c r="K8" s="4">
        <v>0.434</v>
      </c>
      <c r="L8" s="4">
        <v>1.7</v>
      </c>
      <c r="M8" s="4">
        <v>4.7</v>
      </c>
      <c r="N8" s="4">
        <v>0.36499999999999999</v>
      </c>
      <c r="O8" s="4">
        <v>2.6</v>
      </c>
      <c r="P8" s="4">
        <v>5.3</v>
      </c>
      <c r="Q8" s="4">
        <v>0.495</v>
      </c>
      <c r="R8" s="4">
        <v>1.5</v>
      </c>
      <c r="S8" s="4">
        <v>1.6</v>
      </c>
      <c r="T8" s="4">
        <v>0.93700000000000006</v>
      </c>
      <c r="U8" s="4">
        <v>0.3</v>
      </c>
      <c r="V8" s="4">
        <v>3.3</v>
      </c>
      <c r="W8" s="4">
        <v>6.8</v>
      </c>
      <c r="X8" s="4">
        <v>1.3</v>
      </c>
      <c r="Y8" s="4">
        <v>0.4</v>
      </c>
      <c r="Z8" s="4">
        <v>2.7</v>
      </c>
      <c r="AA8" s="4">
        <v>2.1</v>
      </c>
      <c r="AB8" s="4">
        <v>11.9</v>
      </c>
      <c r="AC8" s="10">
        <f t="shared" si="0"/>
        <v>0.88779468815279028</v>
      </c>
      <c r="AD8" s="10">
        <f t="shared" si="1"/>
        <v>0.19047619047619047</v>
      </c>
      <c r="AE8" s="12">
        <f>100*(AC8/TOTAL_BASIC!$D$302)</f>
        <v>92.350147756911781</v>
      </c>
      <c r="AF8" s="9"/>
      <c r="AG8" s="9"/>
      <c r="AH8" s="12">
        <f t="shared" si="2"/>
        <v>64.600000000000009</v>
      </c>
      <c r="AI8" s="12">
        <f t="shared" si="3"/>
        <v>38.1</v>
      </c>
      <c r="AJ8" s="12">
        <f t="shared" si="4"/>
        <v>72.899999999999991</v>
      </c>
      <c r="AK8" s="12">
        <f t="shared" si="5"/>
        <v>95.5</v>
      </c>
      <c r="AL8" s="12">
        <f t="shared" si="6"/>
        <v>96.6</v>
      </c>
    </row>
    <row r="9" spans="1:38" ht="13.8">
      <c r="A9" s="1" t="s">
        <v>97</v>
      </c>
      <c r="B9" s="7" t="s">
        <v>93</v>
      </c>
      <c r="C9" s="4" t="s">
        <v>85</v>
      </c>
      <c r="D9" s="4">
        <v>39</v>
      </c>
      <c r="E9" s="4">
        <v>1304</v>
      </c>
      <c r="F9" s="4">
        <v>39</v>
      </c>
      <c r="G9" s="4">
        <v>39</v>
      </c>
      <c r="H9" s="4">
        <v>33.4</v>
      </c>
      <c r="I9" s="4">
        <v>5.5</v>
      </c>
      <c r="J9" s="4">
        <v>10.6</v>
      </c>
      <c r="K9" s="4">
        <v>0.51700000000000002</v>
      </c>
      <c r="L9" s="4">
        <v>0</v>
      </c>
      <c r="M9" s="4">
        <v>0.1</v>
      </c>
      <c r="N9" s="4">
        <v>0.33300000000000002</v>
      </c>
      <c r="O9" s="4">
        <v>5.4</v>
      </c>
      <c r="P9" s="4">
        <v>10.5</v>
      </c>
      <c r="Q9" s="4">
        <v>0.51800000000000002</v>
      </c>
      <c r="R9" s="4">
        <v>3.4</v>
      </c>
      <c r="S9" s="4">
        <v>4.9000000000000004</v>
      </c>
      <c r="T9" s="4">
        <v>0.69099999999999995</v>
      </c>
      <c r="U9" s="4">
        <v>1.7</v>
      </c>
      <c r="V9" s="4">
        <v>7.7</v>
      </c>
      <c r="W9" s="4">
        <v>8.4</v>
      </c>
      <c r="X9" s="4">
        <v>1.4</v>
      </c>
      <c r="Y9" s="4">
        <v>0.4</v>
      </c>
      <c r="Z9" s="4">
        <v>3.6</v>
      </c>
      <c r="AA9" s="4">
        <v>2.6</v>
      </c>
      <c r="AB9" s="4">
        <v>14.3</v>
      </c>
      <c r="AC9" s="10">
        <f t="shared" si="0"/>
        <v>0.87429689410613842</v>
      </c>
      <c r="AD9" s="10">
        <f t="shared" si="1"/>
        <v>0.15384615384615385</v>
      </c>
      <c r="AE9" s="12">
        <f>100*(AC9/TOTAL_BASIC!$D$302)</f>
        <v>90.946080700378388</v>
      </c>
      <c r="AF9" s="9"/>
      <c r="AG9" s="9"/>
      <c r="AH9" s="12">
        <f t="shared" si="2"/>
        <v>53.5</v>
      </c>
      <c r="AI9" s="12">
        <f t="shared" si="3"/>
        <v>32</v>
      </c>
      <c r="AJ9" s="12">
        <f t="shared" si="4"/>
        <v>79.5</v>
      </c>
      <c r="AK9" s="12">
        <f t="shared" si="5"/>
        <v>99.4</v>
      </c>
      <c r="AL9" s="12">
        <f t="shared" si="6"/>
        <v>20.399999999999999</v>
      </c>
    </row>
    <row r="10" spans="1:38" ht="13.8">
      <c r="A10" s="1" t="s">
        <v>116</v>
      </c>
      <c r="B10" s="7" t="s">
        <v>117</v>
      </c>
      <c r="C10" s="4" t="s">
        <v>8</v>
      </c>
      <c r="D10" s="4">
        <v>40</v>
      </c>
      <c r="E10" s="4">
        <v>1291</v>
      </c>
      <c r="F10" s="4">
        <v>40</v>
      </c>
      <c r="G10" s="4">
        <v>40</v>
      </c>
      <c r="H10" s="4">
        <v>32.299999999999997</v>
      </c>
      <c r="I10" s="4">
        <v>6.9</v>
      </c>
      <c r="J10" s="4">
        <v>14.1</v>
      </c>
      <c r="K10" s="4">
        <v>0.48899999999999999</v>
      </c>
      <c r="L10" s="4">
        <v>2.4</v>
      </c>
      <c r="M10" s="4">
        <v>6.1</v>
      </c>
      <c r="N10" s="4">
        <v>0.38800000000000001</v>
      </c>
      <c r="O10" s="4">
        <v>4.5</v>
      </c>
      <c r="P10" s="4">
        <v>7.9</v>
      </c>
      <c r="Q10" s="4">
        <v>0.56799999999999995</v>
      </c>
      <c r="R10" s="4">
        <v>3.2</v>
      </c>
      <c r="S10" s="4">
        <v>3.4</v>
      </c>
      <c r="T10" s="4">
        <v>0.93400000000000005</v>
      </c>
      <c r="U10" s="4">
        <v>0.8</v>
      </c>
      <c r="V10" s="4">
        <v>4.4000000000000004</v>
      </c>
      <c r="W10" s="4">
        <v>6.6</v>
      </c>
      <c r="X10" s="4">
        <v>0.8</v>
      </c>
      <c r="Y10" s="4">
        <v>0.3</v>
      </c>
      <c r="Z10" s="4">
        <v>2.5</v>
      </c>
      <c r="AA10" s="4">
        <v>2.1</v>
      </c>
      <c r="AB10" s="4">
        <v>19.3</v>
      </c>
      <c r="AC10" s="10">
        <f t="shared" si="0"/>
        <v>1.0665340406719717</v>
      </c>
      <c r="AD10" s="10">
        <f t="shared" si="1"/>
        <v>0.14285714285714285</v>
      </c>
      <c r="AE10" s="12">
        <f>100*(AC10/TOTAL_BASIC!$D$302)</f>
        <v>110.94296638422973</v>
      </c>
      <c r="AF10" s="9"/>
      <c r="AG10" s="9"/>
      <c r="AH10" s="12">
        <f t="shared" si="2"/>
        <v>51.300000000000004</v>
      </c>
      <c r="AI10" s="12">
        <f t="shared" si="3"/>
        <v>90.600000000000009</v>
      </c>
      <c r="AJ10" s="12">
        <f t="shared" si="4"/>
        <v>95</v>
      </c>
      <c r="AK10" s="12">
        <f t="shared" si="5"/>
        <v>94.399999999999991</v>
      </c>
      <c r="AL10" s="12">
        <f t="shared" si="6"/>
        <v>96.1</v>
      </c>
    </row>
    <row r="11" spans="1:38" ht="13.8">
      <c r="A11" s="1" t="s">
        <v>98</v>
      </c>
      <c r="B11" s="7" t="s">
        <v>99</v>
      </c>
      <c r="C11" s="4" t="s">
        <v>8</v>
      </c>
      <c r="D11" s="4">
        <v>39</v>
      </c>
      <c r="E11" s="4">
        <v>1281</v>
      </c>
      <c r="F11" s="4">
        <v>39</v>
      </c>
      <c r="G11" s="4">
        <v>39</v>
      </c>
      <c r="H11" s="4">
        <v>32.799999999999997</v>
      </c>
      <c r="I11" s="4">
        <v>7.8</v>
      </c>
      <c r="J11" s="4">
        <v>15.3</v>
      </c>
      <c r="K11" s="4">
        <v>0.50800000000000001</v>
      </c>
      <c r="L11" s="4">
        <v>1.8</v>
      </c>
      <c r="M11" s="4">
        <v>4.5999999999999996</v>
      </c>
      <c r="N11" s="4">
        <v>0.39100000000000001</v>
      </c>
      <c r="O11" s="4">
        <v>6</v>
      </c>
      <c r="P11" s="4">
        <v>10.7</v>
      </c>
      <c r="Q11" s="4">
        <v>0.55800000000000005</v>
      </c>
      <c r="R11" s="4">
        <v>3.1</v>
      </c>
      <c r="S11" s="4">
        <v>3.5</v>
      </c>
      <c r="T11" s="4">
        <v>0.875</v>
      </c>
      <c r="U11" s="4">
        <v>0.7</v>
      </c>
      <c r="V11" s="4">
        <v>4.0999999999999996</v>
      </c>
      <c r="W11" s="4">
        <v>5.8</v>
      </c>
      <c r="X11" s="4">
        <v>0.9</v>
      </c>
      <c r="Y11" s="4">
        <v>0.4</v>
      </c>
      <c r="Z11" s="4">
        <v>2.2000000000000002</v>
      </c>
      <c r="AA11" s="4">
        <v>2.5</v>
      </c>
      <c r="AB11" s="4">
        <v>20.399999999999999</v>
      </c>
      <c r="AC11" s="10">
        <f t="shared" si="0"/>
        <v>1.0714285714285714</v>
      </c>
      <c r="AD11" s="10">
        <f t="shared" si="1"/>
        <v>0.16</v>
      </c>
      <c r="AE11" s="12">
        <f>100*(AC11/TOTAL_BASIC!$D$302)</f>
        <v>111.45210509006411</v>
      </c>
      <c r="AF11" s="9"/>
      <c r="AG11" s="9"/>
      <c r="AH11" s="12">
        <f t="shared" si="2"/>
        <v>57.999999999999993</v>
      </c>
      <c r="AI11" s="12">
        <f t="shared" si="3"/>
        <v>91.7</v>
      </c>
      <c r="AJ11" s="12">
        <f t="shared" si="4"/>
        <v>96.1</v>
      </c>
      <c r="AK11" s="12">
        <f t="shared" si="5"/>
        <v>96.6</v>
      </c>
      <c r="AL11" s="12">
        <f t="shared" si="6"/>
        <v>81.2</v>
      </c>
    </row>
    <row r="12" spans="1:38" ht="13.8">
      <c r="A12" s="1" t="s">
        <v>151</v>
      </c>
      <c r="B12" s="7" t="s">
        <v>128</v>
      </c>
      <c r="C12" s="4" t="s">
        <v>85</v>
      </c>
      <c r="D12" s="4">
        <v>40</v>
      </c>
      <c r="E12" s="4">
        <v>1256</v>
      </c>
      <c r="F12" s="4">
        <v>40</v>
      </c>
      <c r="G12" s="4">
        <v>40</v>
      </c>
      <c r="H12" s="4">
        <v>31.4</v>
      </c>
      <c r="I12" s="4">
        <v>5.8</v>
      </c>
      <c r="J12" s="4">
        <v>13</v>
      </c>
      <c r="K12" s="4">
        <v>0.44600000000000001</v>
      </c>
      <c r="L12" s="4">
        <v>0.3</v>
      </c>
      <c r="M12" s="4">
        <v>1.3</v>
      </c>
      <c r="N12" s="4">
        <v>0.19600000000000001</v>
      </c>
      <c r="O12" s="4">
        <v>5.6</v>
      </c>
      <c r="P12" s="4">
        <v>11.7</v>
      </c>
      <c r="Q12" s="4">
        <v>0.47299999999999998</v>
      </c>
      <c r="R12" s="4">
        <v>4.5999999999999996</v>
      </c>
      <c r="S12" s="4">
        <v>6.3</v>
      </c>
      <c r="T12" s="4">
        <v>0.73599999999999999</v>
      </c>
      <c r="U12" s="4">
        <v>5</v>
      </c>
      <c r="V12" s="4">
        <v>12.4</v>
      </c>
      <c r="W12" s="4">
        <v>2.8</v>
      </c>
      <c r="X12" s="4">
        <v>1.8</v>
      </c>
      <c r="Y12" s="4">
        <v>0.7</v>
      </c>
      <c r="Z12" s="4">
        <v>3.2</v>
      </c>
      <c r="AA12" s="4">
        <v>3.8</v>
      </c>
      <c r="AB12" s="4">
        <v>16.5</v>
      </c>
      <c r="AC12" s="10">
        <f t="shared" si="0"/>
        <v>0.86970271979759639</v>
      </c>
      <c r="AD12" s="10">
        <f t="shared" si="1"/>
        <v>0.18421052631578946</v>
      </c>
      <c r="AE12" s="12">
        <f>100*(AC12/TOTAL_BASIC!$D$302)</f>
        <v>90.468185662396536</v>
      </c>
      <c r="AF12" s="9"/>
      <c r="AG12" s="9"/>
      <c r="AH12" s="12">
        <f t="shared" si="2"/>
        <v>61.8</v>
      </c>
      <c r="AI12" s="12">
        <f t="shared" si="3"/>
        <v>29.799999999999997</v>
      </c>
      <c r="AJ12" s="12">
        <f t="shared" si="4"/>
        <v>88.3</v>
      </c>
      <c r="AK12" s="12">
        <f t="shared" si="5"/>
        <v>91.7</v>
      </c>
      <c r="AL12" s="12">
        <f t="shared" si="6"/>
        <v>31.4</v>
      </c>
    </row>
    <row r="13" spans="1:38" ht="13.8">
      <c r="A13" s="1" t="s">
        <v>92</v>
      </c>
      <c r="B13" s="7" t="s">
        <v>93</v>
      </c>
      <c r="C13" s="4" t="s">
        <v>94</v>
      </c>
      <c r="D13" s="4">
        <v>38</v>
      </c>
      <c r="E13" s="4">
        <v>1252</v>
      </c>
      <c r="F13" s="4">
        <v>38</v>
      </c>
      <c r="G13" s="4">
        <v>38</v>
      </c>
      <c r="H13" s="4">
        <v>32.9</v>
      </c>
      <c r="I13" s="4">
        <v>7.2</v>
      </c>
      <c r="J13" s="4">
        <v>16.100000000000001</v>
      </c>
      <c r="K13" s="4">
        <v>0.44500000000000001</v>
      </c>
      <c r="L13" s="4">
        <v>1.7</v>
      </c>
      <c r="M13" s="4">
        <v>5.7</v>
      </c>
      <c r="N13" s="4">
        <v>0.29799999999999999</v>
      </c>
      <c r="O13" s="4">
        <v>5.4</v>
      </c>
      <c r="P13" s="4">
        <v>10.3</v>
      </c>
      <c r="Q13" s="4">
        <v>0.52700000000000002</v>
      </c>
      <c r="R13" s="4">
        <v>5.3</v>
      </c>
      <c r="S13" s="4">
        <v>6.7</v>
      </c>
      <c r="T13" s="4">
        <v>0.78800000000000003</v>
      </c>
      <c r="U13" s="4">
        <v>0.5</v>
      </c>
      <c r="V13" s="4">
        <v>3.6</v>
      </c>
      <c r="W13" s="4">
        <v>1.9</v>
      </c>
      <c r="X13" s="4">
        <v>0.8</v>
      </c>
      <c r="Y13" s="4">
        <v>0.1</v>
      </c>
      <c r="Z13" s="4">
        <v>2.4</v>
      </c>
      <c r="AA13" s="4">
        <v>2.7</v>
      </c>
      <c r="AB13" s="4">
        <v>21.3</v>
      </c>
      <c r="AC13" s="10">
        <f t="shared" si="0"/>
        <v>0.99309958970533385</v>
      </c>
      <c r="AD13" s="10">
        <f t="shared" si="1"/>
        <v>3.7037037037037035E-2</v>
      </c>
      <c r="AE13" s="12">
        <f>100*(AC13/TOTAL_BASIC!$D$302)</f>
        <v>103.3041705142892</v>
      </c>
      <c r="AF13" s="9"/>
      <c r="AG13" s="9"/>
      <c r="AH13" s="12">
        <f t="shared" si="2"/>
        <v>11</v>
      </c>
      <c r="AI13" s="12">
        <f t="shared" si="3"/>
        <v>66.2</v>
      </c>
      <c r="AJ13" s="12">
        <f t="shared" si="4"/>
        <v>97.7</v>
      </c>
      <c r="AK13" s="12">
        <f t="shared" si="5"/>
        <v>97.2</v>
      </c>
      <c r="AL13" s="12">
        <f t="shared" si="6"/>
        <v>46.400000000000006</v>
      </c>
    </row>
    <row r="14" spans="1:38" ht="13.8">
      <c r="A14" s="1" t="s">
        <v>166</v>
      </c>
      <c r="B14" s="7" t="s">
        <v>128</v>
      </c>
      <c r="C14" s="4" t="s">
        <v>8</v>
      </c>
      <c r="D14" s="4">
        <v>40</v>
      </c>
      <c r="E14" s="4">
        <v>1251</v>
      </c>
      <c r="F14" s="4">
        <v>40</v>
      </c>
      <c r="G14" s="4">
        <v>40</v>
      </c>
      <c r="H14" s="4">
        <v>31.3</v>
      </c>
      <c r="I14" s="4">
        <v>3.8</v>
      </c>
      <c r="J14" s="4">
        <v>8.6999999999999993</v>
      </c>
      <c r="K14" s="4">
        <v>0.435</v>
      </c>
      <c r="L14" s="4">
        <v>0.9</v>
      </c>
      <c r="M14" s="4">
        <v>3.1</v>
      </c>
      <c r="N14" s="4">
        <v>0.28999999999999998</v>
      </c>
      <c r="O14" s="4">
        <v>2.9</v>
      </c>
      <c r="P14" s="4">
        <v>5.6</v>
      </c>
      <c r="Q14" s="4">
        <v>0.51600000000000001</v>
      </c>
      <c r="R14" s="4">
        <v>3</v>
      </c>
      <c r="S14" s="4">
        <v>3.9</v>
      </c>
      <c r="T14" s="4">
        <v>0.76300000000000001</v>
      </c>
      <c r="U14" s="4">
        <v>0.7</v>
      </c>
      <c r="V14" s="4">
        <v>3.6</v>
      </c>
      <c r="W14" s="4">
        <v>7.2</v>
      </c>
      <c r="X14" s="4">
        <v>1.9</v>
      </c>
      <c r="Y14" s="4">
        <v>0.3</v>
      </c>
      <c r="Z14" s="4">
        <v>2.5</v>
      </c>
      <c r="AA14" s="4">
        <v>2.6</v>
      </c>
      <c r="AB14" s="4">
        <v>11.4</v>
      </c>
      <c r="AC14" s="10">
        <f t="shared" si="0"/>
        <v>0.88262620006193881</v>
      </c>
      <c r="AD14" s="10">
        <f t="shared" si="1"/>
        <v>0.11538461538461538</v>
      </c>
      <c r="AE14" s="12">
        <f>100*(AC14/TOTAL_BASIC!$D$302)</f>
        <v>91.812511470910678</v>
      </c>
      <c r="AF14" s="9"/>
      <c r="AG14" s="9"/>
      <c r="AH14" s="12">
        <f t="shared" si="2"/>
        <v>41.4</v>
      </c>
      <c r="AI14" s="12">
        <f t="shared" si="3"/>
        <v>35.9</v>
      </c>
      <c r="AJ14" s="12">
        <f t="shared" si="4"/>
        <v>71.2</v>
      </c>
      <c r="AK14" s="12">
        <f t="shared" si="5"/>
        <v>91.100000000000009</v>
      </c>
      <c r="AL14" s="12">
        <f t="shared" si="6"/>
        <v>38.6</v>
      </c>
    </row>
    <row r="15" spans="1:38" ht="13.8">
      <c r="A15" s="1" t="s">
        <v>102</v>
      </c>
      <c r="B15" s="7" t="s">
        <v>99</v>
      </c>
      <c r="C15" s="4" t="s">
        <v>85</v>
      </c>
      <c r="D15" s="4">
        <v>39</v>
      </c>
      <c r="E15" s="4">
        <v>1238</v>
      </c>
      <c r="F15" s="4">
        <v>39</v>
      </c>
      <c r="G15" s="4">
        <v>39</v>
      </c>
      <c r="H15" s="4">
        <v>31.7</v>
      </c>
      <c r="I15" s="4">
        <v>5.9</v>
      </c>
      <c r="J15" s="4">
        <v>10.1</v>
      </c>
      <c r="K15" s="4">
        <v>0.58599999999999997</v>
      </c>
      <c r="L15" s="4">
        <v>0</v>
      </c>
      <c r="M15" s="4">
        <v>0.3</v>
      </c>
      <c r="N15" s="4">
        <v>9.0999999999999998E-2</v>
      </c>
      <c r="O15" s="4">
        <v>5.9</v>
      </c>
      <c r="P15" s="4">
        <v>9.8000000000000007</v>
      </c>
      <c r="Q15" s="4">
        <v>0.60099999999999998</v>
      </c>
      <c r="R15" s="4">
        <v>2.5</v>
      </c>
      <c r="S15" s="4">
        <v>3.6</v>
      </c>
      <c r="T15" s="4">
        <v>0.69</v>
      </c>
      <c r="U15" s="4">
        <v>2.8</v>
      </c>
      <c r="V15" s="4">
        <v>11.1</v>
      </c>
      <c r="W15" s="4">
        <v>5.0999999999999996</v>
      </c>
      <c r="X15" s="4">
        <v>0.7</v>
      </c>
      <c r="Y15" s="4">
        <v>0.1</v>
      </c>
      <c r="Z15" s="4">
        <v>1.9</v>
      </c>
      <c r="AA15" s="4">
        <v>2.1</v>
      </c>
      <c r="AB15" s="4">
        <v>14.4</v>
      </c>
      <c r="AC15" s="10">
        <f t="shared" si="0"/>
        <v>1.0600706713780919</v>
      </c>
      <c r="AD15" s="10">
        <f t="shared" si="1"/>
        <v>4.7619047619047616E-2</v>
      </c>
      <c r="AE15" s="12">
        <f>100*(AC15/TOTAL_BASIC!$D$302)</f>
        <v>110.27063401137084</v>
      </c>
      <c r="AF15" s="9"/>
      <c r="AG15" s="9"/>
      <c r="AH15" s="12">
        <f t="shared" si="2"/>
        <v>15.4</v>
      </c>
      <c r="AI15" s="12">
        <f t="shared" si="3"/>
        <v>88.3</v>
      </c>
      <c r="AJ15" s="12">
        <f t="shared" si="4"/>
        <v>82.3</v>
      </c>
      <c r="AK15" s="12">
        <f t="shared" si="5"/>
        <v>92.800000000000011</v>
      </c>
      <c r="AL15" s="12">
        <f t="shared" si="6"/>
        <v>19.8</v>
      </c>
    </row>
    <row r="16" spans="1:38" ht="13.8">
      <c r="A16" s="1" t="s">
        <v>154</v>
      </c>
      <c r="B16" s="7" t="s">
        <v>137</v>
      </c>
      <c r="C16" s="4" t="s">
        <v>85</v>
      </c>
      <c r="D16" s="4">
        <v>40</v>
      </c>
      <c r="E16" s="4">
        <v>1237</v>
      </c>
      <c r="F16" s="4">
        <v>40</v>
      </c>
      <c r="G16" s="4">
        <v>40</v>
      </c>
      <c r="H16" s="4">
        <v>30.9</v>
      </c>
      <c r="I16" s="4">
        <v>6.8</v>
      </c>
      <c r="J16" s="4">
        <v>13.1</v>
      </c>
      <c r="K16" s="4">
        <v>0.51700000000000002</v>
      </c>
      <c r="L16" s="4">
        <v>1.4</v>
      </c>
      <c r="M16" s="4">
        <v>3.5</v>
      </c>
      <c r="N16" s="4">
        <v>0.4</v>
      </c>
      <c r="O16" s="4">
        <v>5.4</v>
      </c>
      <c r="P16" s="4">
        <v>9.6</v>
      </c>
      <c r="Q16" s="4">
        <v>0.56000000000000005</v>
      </c>
      <c r="R16" s="4">
        <v>2.2999999999999998</v>
      </c>
      <c r="S16" s="4">
        <v>2.6</v>
      </c>
      <c r="T16" s="4">
        <v>0.85699999999999998</v>
      </c>
      <c r="U16" s="4">
        <v>1.7</v>
      </c>
      <c r="V16" s="4">
        <v>8.8000000000000007</v>
      </c>
      <c r="W16" s="4">
        <v>3</v>
      </c>
      <c r="X16" s="4">
        <v>1.2</v>
      </c>
      <c r="Y16" s="4">
        <v>0.3</v>
      </c>
      <c r="Z16" s="4">
        <v>1.9</v>
      </c>
      <c r="AA16" s="4">
        <v>1.7</v>
      </c>
      <c r="AB16" s="4">
        <v>17.2</v>
      </c>
      <c r="AC16" s="10">
        <f t="shared" si="0"/>
        <v>1.0654112983151636</v>
      </c>
      <c r="AD16" s="10">
        <f t="shared" si="1"/>
        <v>0.17647058823529413</v>
      </c>
      <c r="AE16" s="12">
        <f>100*(AC16/TOTAL_BASIC!$D$302)</f>
        <v>110.8261765183657</v>
      </c>
      <c r="AF16" s="9"/>
      <c r="AG16" s="9"/>
      <c r="AH16" s="12">
        <f t="shared" si="2"/>
        <v>59.599999999999994</v>
      </c>
      <c r="AI16" s="12">
        <f t="shared" si="3"/>
        <v>89.5</v>
      </c>
      <c r="AJ16" s="12">
        <f t="shared" si="4"/>
        <v>91.100000000000009</v>
      </c>
      <c r="AK16" s="12">
        <f t="shared" si="5"/>
        <v>90</v>
      </c>
      <c r="AL16" s="12">
        <f t="shared" si="6"/>
        <v>74</v>
      </c>
    </row>
    <row r="17" spans="1:38" ht="13.8">
      <c r="A17" s="1" t="s">
        <v>139</v>
      </c>
      <c r="B17" s="7" t="s">
        <v>140</v>
      </c>
      <c r="C17" s="4" t="s">
        <v>8</v>
      </c>
      <c r="D17" s="4">
        <v>37</v>
      </c>
      <c r="E17" s="4">
        <v>1228</v>
      </c>
      <c r="F17" s="4">
        <v>37</v>
      </c>
      <c r="G17" s="4">
        <v>37</v>
      </c>
      <c r="H17" s="4">
        <v>33.200000000000003</v>
      </c>
      <c r="I17" s="4">
        <v>5.3</v>
      </c>
      <c r="J17" s="4">
        <v>11.2</v>
      </c>
      <c r="K17" s="4">
        <v>0.47499999999999998</v>
      </c>
      <c r="L17" s="4">
        <v>1.4</v>
      </c>
      <c r="M17" s="4">
        <v>4.0999999999999996</v>
      </c>
      <c r="N17" s="4">
        <v>0.33600000000000002</v>
      </c>
      <c r="O17" s="4">
        <v>3.9</v>
      </c>
      <c r="P17" s="4">
        <v>7.1</v>
      </c>
      <c r="Q17" s="4">
        <v>0.55500000000000005</v>
      </c>
      <c r="R17" s="4">
        <v>4.8</v>
      </c>
      <c r="S17" s="4">
        <v>5.5</v>
      </c>
      <c r="T17" s="4">
        <v>0.872</v>
      </c>
      <c r="U17" s="4">
        <v>0.9</v>
      </c>
      <c r="V17" s="4">
        <v>3.7</v>
      </c>
      <c r="W17" s="4">
        <v>4.3</v>
      </c>
      <c r="X17" s="4">
        <v>1.2</v>
      </c>
      <c r="Y17" s="4">
        <v>0.6</v>
      </c>
      <c r="Z17" s="4">
        <v>2.5</v>
      </c>
      <c r="AA17" s="4">
        <v>2.1</v>
      </c>
      <c r="AB17" s="4">
        <v>16.8</v>
      </c>
      <c r="AC17" s="10">
        <f t="shared" si="0"/>
        <v>1.0421836228287844</v>
      </c>
      <c r="AD17" s="10">
        <f t="shared" si="1"/>
        <v>0.2857142857142857</v>
      </c>
      <c r="AE17" s="12">
        <f>100*(AC17/TOTAL_BASIC!$D$302)</f>
        <v>108.40998807768025</v>
      </c>
      <c r="AF17" s="9"/>
      <c r="AG17" s="9"/>
      <c r="AH17" s="12">
        <f t="shared" si="2"/>
        <v>78.400000000000006</v>
      </c>
      <c r="AI17" s="12">
        <f t="shared" si="3"/>
        <v>85</v>
      </c>
      <c r="AJ17" s="12">
        <f t="shared" si="4"/>
        <v>89.5</v>
      </c>
      <c r="AK17" s="12">
        <f t="shared" si="5"/>
        <v>98.8</v>
      </c>
      <c r="AL17" s="12">
        <f t="shared" si="6"/>
        <v>80.100000000000009</v>
      </c>
    </row>
    <row r="18" spans="1:38" ht="13.8">
      <c r="A18" s="1" t="s">
        <v>103</v>
      </c>
      <c r="B18" s="7" t="s">
        <v>96</v>
      </c>
      <c r="C18" s="4" t="s">
        <v>8</v>
      </c>
      <c r="D18" s="4">
        <v>40</v>
      </c>
      <c r="E18" s="4">
        <v>1221</v>
      </c>
      <c r="F18" s="4">
        <v>40</v>
      </c>
      <c r="G18" s="4">
        <v>40</v>
      </c>
      <c r="H18" s="4">
        <v>30.5</v>
      </c>
      <c r="I18" s="4">
        <v>6</v>
      </c>
      <c r="J18" s="4">
        <v>13.3</v>
      </c>
      <c r="K18" s="4">
        <v>0.45200000000000001</v>
      </c>
      <c r="L18" s="4">
        <v>1.2</v>
      </c>
      <c r="M18" s="4">
        <v>3.2</v>
      </c>
      <c r="N18" s="4">
        <v>0.373</v>
      </c>
      <c r="O18" s="4">
        <v>4.9000000000000004</v>
      </c>
      <c r="P18" s="4">
        <v>10.199999999999999</v>
      </c>
      <c r="Q18" s="4">
        <v>0.47699999999999998</v>
      </c>
      <c r="R18" s="4">
        <v>1</v>
      </c>
      <c r="S18" s="4">
        <v>1.3</v>
      </c>
      <c r="T18" s="4">
        <v>0.82</v>
      </c>
      <c r="U18" s="4">
        <v>0.9</v>
      </c>
      <c r="V18" s="4">
        <v>5</v>
      </c>
      <c r="W18" s="4">
        <v>4.3</v>
      </c>
      <c r="X18" s="4">
        <v>1.2</v>
      </c>
      <c r="Y18" s="4">
        <v>0.3</v>
      </c>
      <c r="Z18" s="4">
        <v>1.8</v>
      </c>
      <c r="AA18" s="4">
        <v>2.2000000000000002</v>
      </c>
      <c r="AB18" s="4">
        <v>14.3</v>
      </c>
      <c r="AC18" s="10">
        <f t="shared" si="0"/>
        <v>0.9124553343542624</v>
      </c>
      <c r="AD18" s="10">
        <f t="shared" si="1"/>
        <v>0.13636363636363635</v>
      </c>
      <c r="AE18" s="12">
        <f>100*(AC18/TOTAL_BASIC!$D$302)</f>
        <v>94.915396626811457</v>
      </c>
      <c r="AF18" s="9"/>
      <c r="AG18" s="9"/>
      <c r="AH18" s="12">
        <f t="shared" si="2"/>
        <v>50.8</v>
      </c>
      <c r="AI18" s="12">
        <f t="shared" si="3"/>
        <v>43</v>
      </c>
      <c r="AJ18" s="12">
        <f t="shared" si="4"/>
        <v>79.5</v>
      </c>
      <c r="AK18" s="12">
        <f t="shared" si="5"/>
        <v>87.8</v>
      </c>
      <c r="AL18" s="12">
        <f t="shared" si="6"/>
        <v>57.999999999999993</v>
      </c>
    </row>
    <row r="19" spans="1:38" ht="13.8">
      <c r="A19" s="1" t="s">
        <v>101</v>
      </c>
      <c r="B19" s="7" t="s">
        <v>99</v>
      </c>
      <c r="C19" s="4" t="s">
        <v>8</v>
      </c>
      <c r="D19" s="4">
        <v>41</v>
      </c>
      <c r="E19" s="4">
        <v>1219</v>
      </c>
      <c r="F19" s="4">
        <v>41</v>
      </c>
      <c r="G19" s="4">
        <v>41</v>
      </c>
      <c r="H19" s="4">
        <v>29.7</v>
      </c>
      <c r="I19" s="4">
        <v>4.9000000000000004</v>
      </c>
      <c r="J19" s="4">
        <v>12.3</v>
      </c>
      <c r="K19" s="4">
        <v>0.4</v>
      </c>
      <c r="L19" s="4">
        <v>1.8</v>
      </c>
      <c r="M19" s="4">
        <v>5.3</v>
      </c>
      <c r="N19" s="4">
        <v>0.32900000000000001</v>
      </c>
      <c r="O19" s="4">
        <v>3.2</v>
      </c>
      <c r="P19" s="4">
        <v>7</v>
      </c>
      <c r="Q19" s="4">
        <v>0.45500000000000002</v>
      </c>
      <c r="R19" s="4">
        <v>3.5</v>
      </c>
      <c r="S19" s="4">
        <v>4</v>
      </c>
      <c r="T19" s="4">
        <v>0.88900000000000001</v>
      </c>
      <c r="U19" s="4">
        <v>0.8</v>
      </c>
      <c r="V19" s="4">
        <v>3.1</v>
      </c>
      <c r="W19" s="4">
        <v>3.2</v>
      </c>
      <c r="X19" s="4">
        <v>1</v>
      </c>
      <c r="Y19" s="4">
        <v>0</v>
      </c>
      <c r="Z19" s="4">
        <v>1.6</v>
      </c>
      <c r="AA19" s="4">
        <v>2.2000000000000002</v>
      </c>
      <c r="AB19" s="4">
        <v>15.1</v>
      </c>
      <c r="AC19" s="10">
        <f t="shared" si="0"/>
        <v>0.96424010217113665</v>
      </c>
      <c r="AD19" s="10">
        <f t="shared" si="1"/>
        <v>0</v>
      </c>
      <c r="AE19" s="12">
        <f>100*(AC19/TOTAL_BASIC!$D$302)</f>
        <v>100.3021499192829</v>
      </c>
      <c r="AF19" s="9"/>
      <c r="AG19" s="9"/>
      <c r="AH19" s="12">
        <f t="shared" si="2"/>
        <v>0</v>
      </c>
      <c r="AI19" s="12">
        <f t="shared" si="3"/>
        <v>56.899999999999991</v>
      </c>
      <c r="AJ19" s="12">
        <f t="shared" si="4"/>
        <v>85.6</v>
      </c>
      <c r="AK19" s="12">
        <f t="shared" si="5"/>
        <v>86.1</v>
      </c>
      <c r="AL19" s="12">
        <f t="shared" si="6"/>
        <v>87.2</v>
      </c>
    </row>
    <row r="20" spans="1:38" ht="13.8">
      <c r="A20" s="1" t="s">
        <v>132</v>
      </c>
      <c r="B20" s="7" t="s">
        <v>117</v>
      </c>
      <c r="C20" s="4" t="s">
        <v>88</v>
      </c>
      <c r="D20" s="4">
        <v>38</v>
      </c>
      <c r="E20" s="4">
        <v>1214</v>
      </c>
      <c r="F20" s="4">
        <v>38</v>
      </c>
      <c r="G20" s="4">
        <v>38</v>
      </c>
      <c r="H20" s="4">
        <v>31.9</v>
      </c>
      <c r="I20" s="4">
        <v>9.1999999999999993</v>
      </c>
      <c r="J20" s="4">
        <v>17.399999999999999</v>
      </c>
      <c r="K20" s="4">
        <v>0.52600000000000002</v>
      </c>
      <c r="L20" s="4">
        <v>0.9</v>
      </c>
      <c r="M20" s="4">
        <v>2.2999999999999998</v>
      </c>
      <c r="N20" s="4">
        <v>0.40400000000000003</v>
      </c>
      <c r="O20" s="4">
        <v>8.1999999999999993</v>
      </c>
      <c r="P20" s="4">
        <v>15.1</v>
      </c>
      <c r="Q20" s="4">
        <v>0.54500000000000004</v>
      </c>
      <c r="R20" s="4">
        <v>6.8</v>
      </c>
      <c r="S20" s="4">
        <v>7.9</v>
      </c>
      <c r="T20" s="4">
        <v>0.86299999999999999</v>
      </c>
      <c r="U20" s="4">
        <v>1.8</v>
      </c>
      <c r="V20" s="4">
        <v>9.4</v>
      </c>
      <c r="W20" s="4">
        <v>3.2</v>
      </c>
      <c r="X20" s="4">
        <v>1.4</v>
      </c>
      <c r="Y20" s="4">
        <v>2</v>
      </c>
      <c r="Z20" s="4">
        <v>2.4</v>
      </c>
      <c r="AA20" s="4">
        <v>1.9</v>
      </c>
      <c r="AB20" s="4">
        <v>26.1</v>
      </c>
      <c r="AC20" s="10">
        <f t="shared" si="0"/>
        <v>1.1213266884344391</v>
      </c>
      <c r="AD20" s="10">
        <f t="shared" si="1"/>
        <v>1.0526315789473684</v>
      </c>
      <c r="AE20" s="12">
        <f>100*(AC20/TOTAL_BASIC!$D$302)</f>
        <v>116.64260525837611</v>
      </c>
      <c r="AF20" s="9"/>
      <c r="AG20" s="9"/>
      <c r="AH20" s="12">
        <f t="shared" si="2"/>
        <v>100</v>
      </c>
      <c r="AI20" s="12">
        <f t="shared" si="3"/>
        <v>95</v>
      </c>
      <c r="AJ20" s="12">
        <f t="shared" si="4"/>
        <v>100</v>
      </c>
      <c r="AK20" s="12">
        <f t="shared" si="5"/>
        <v>93.899999999999991</v>
      </c>
      <c r="AL20" s="12">
        <f t="shared" si="6"/>
        <v>77.3</v>
      </c>
    </row>
    <row r="21" spans="1:38" ht="15.75" customHeight="1">
      <c r="A21" s="1" t="s">
        <v>104</v>
      </c>
      <c r="B21" s="7" t="s">
        <v>96</v>
      </c>
      <c r="C21" s="4" t="s">
        <v>8</v>
      </c>
      <c r="D21" s="4">
        <v>39</v>
      </c>
      <c r="E21" s="4">
        <v>1209</v>
      </c>
      <c r="F21" s="4">
        <v>39</v>
      </c>
      <c r="G21" s="4">
        <v>39</v>
      </c>
      <c r="H21" s="4">
        <v>31</v>
      </c>
      <c r="I21" s="4">
        <v>7</v>
      </c>
      <c r="J21" s="4">
        <v>14.3</v>
      </c>
      <c r="K21" s="4">
        <v>0.48799999999999999</v>
      </c>
      <c r="L21" s="4">
        <v>1.6</v>
      </c>
      <c r="M21" s="4">
        <v>4.2</v>
      </c>
      <c r="N21" s="4">
        <v>0.38900000000000001</v>
      </c>
      <c r="O21" s="4">
        <v>5.4</v>
      </c>
      <c r="P21" s="4">
        <v>10.1</v>
      </c>
      <c r="Q21" s="4">
        <v>0.52900000000000003</v>
      </c>
      <c r="R21" s="4">
        <v>4.2</v>
      </c>
      <c r="S21" s="4">
        <v>4.8</v>
      </c>
      <c r="T21" s="4">
        <v>0.86599999999999999</v>
      </c>
      <c r="U21" s="4">
        <v>0.6</v>
      </c>
      <c r="V21" s="4">
        <v>4.7</v>
      </c>
      <c r="W21" s="4">
        <v>5.9</v>
      </c>
      <c r="X21" s="4">
        <v>1.3</v>
      </c>
      <c r="Y21" s="4">
        <v>0.6</v>
      </c>
      <c r="Z21" s="4">
        <v>3.1</v>
      </c>
      <c r="AA21" s="4">
        <v>3</v>
      </c>
      <c r="AB21" s="4">
        <v>19.7</v>
      </c>
      <c r="AC21" s="10">
        <f t="shared" si="0"/>
        <v>1.0096350963509635</v>
      </c>
      <c r="AD21" s="10">
        <f t="shared" si="1"/>
        <v>0.19999999999999998</v>
      </c>
      <c r="AE21" s="12">
        <f>100*(AC21/TOTAL_BASIC!$D$302)</f>
        <v>105.0242264037163</v>
      </c>
      <c r="AF21" s="9"/>
      <c r="AG21" s="9"/>
      <c r="AH21" s="12">
        <f t="shared" si="2"/>
        <v>66.8</v>
      </c>
      <c r="AI21" s="12">
        <f t="shared" si="3"/>
        <v>73.400000000000006</v>
      </c>
      <c r="AJ21" s="12">
        <f t="shared" si="4"/>
        <v>95.5</v>
      </c>
      <c r="AK21" s="12">
        <f t="shared" si="5"/>
        <v>90.600000000000009</v>
      </c>
      <c r="AL21" s="12">
        <f t="shared" si="6"/>
        <v>77.900000000000006</v>
      </c>
    </row>
    <row r="22" spans="1:38" ht="15.75" customHeight="1">
      <c r="A22" s="1" t="s">
        <v>115</v>
      </c>
      <c r="B22" s="7" t="s">
        <v>96</v>
      </c>
      <c r="C22" s="4" t="s">
        <v>85</v>
      </c>
      <c r="D22" s="4">
        <v>41</v>
      </c>
      <c r="E22" s="4">
        <v>1196</v>
      </c>
      <c r="F22" s="4">
        <v>41</v>
      </c>
      <c r="G22" s="4">
        <v>41</v>
      </c>
      <c r="H22" s="4">
        <v>29.2</v>
      </c>
      <c r="I22" s="4">
        <v>6</v>
      </c>
      <c r="J22" s="4">
        <v>10.199999999999999</v>
      </c>
      <c r="K22" s="4">
        <v>0.58899999999999997</v>
      </c>
      <c r="L22" s="4">
        <v>0.1</v>
      </c>
      <c r="M22" s="4">
        <v>0.4</v>
      </c>
      <c r="N22" s="4">
        <v>0.188</v>
      </c>
      <c r="O22" s="4">
        <v>6</v>
      </c>
      <c r="P22" s="4">
        <v>9.8000000000000007</v>
      </c>
      <c r="Q22" s="4">
        <v>0.60499999999999998</v>
      </c>
      <c r="R22" s="4">
        <v>2.7</v>
      </c>
      <c r="S22" s="4">
        <v>3.7</v>
      </c>
      <c r="T22" s="4">
        <v>0.72199999999999998</v>
      </c>
      <c r="U22" s="4">
        <v>3.3</v>
      </c>
      <c r="V22" s="4">
        <v>7.6</v>
      </c>
      <c r="W22" s="4">
        <v>3.3</v>
      </c>
      <c r="X22" s="4">
        <v>1.7</v>
      </c>
      <c r="Y22" s="4">
        <v>1</v>
      </c>
      <c r="Z22" s="4">
        <v>2.5</v>
      </c>
      <c r="AA22" s="4">
        <v>3.5</v>
      </c>
      <c r="AB22" s="4">
        <v>14.8</v>
      </c>
      <c r="AC22" s="10">
        <f t="shared" si="0"/>
        <v>1.0329424902289224</v>
      </c>
      <c r="AD22" s="10">
        <f t="shared" si="1"/>
        <v>0.2857142857142857</v>
      </c>
      <c r="AE22" s="12">
        <f>100*(AC22/TOTAL_BASIC!$D$302)</f>
        <v>107.44870730812062</v>
      </c>
      <c r="AF22" s="9"/>
      <c r="AG22" s="9"/>
      <c r="AH22" s="12">
        <f t="shared" si="2"/>
        <v>78.400000000000006</v>
      </c>
      <c r="AI22" s="12">
        <f t="shared" si="3"/>
        <v>82.3</v>
      </c>
      <c r="AJ22" s="12">
        <f t="shared" si="4"/>
        <v>85</v>
      </c>
      <c r="AK22" s="12">
        <f t="shared" si="5"/>
        <v>82.3</v>
      </c>
      <c r="AL22" s="12">
        <f t="shared" si="6"/>
        <v>27</v>
      </c>
    </row>
    <row r="23" spans="1:38" ht="15.75" customHeight="1">
      <c r="A23" s="1" t="s">
        <v>109</v>
      </c>
      <c r="B23" s="7" t="s">
        <v>232</v>
      </c>
      <c r="C23" s="4" t="s">
        <v>85</v>
      </c>
      <c r="D23" s="4">
        <v>39</v>
      </c>
      <c r="E23" s="4">
        <v>1195</v>
      </c>
      <c r="F23" s="4">
        <v>39</v>
      </c>
      <c r="G23" s="4">
        <v>39</v>
      </c>
      <c r="H23" s="4">
        <v>30.6</v>
      </c>
      <c r="I23" s="4">
        <v>4.8</v>
      </c>
      <c r="J23" s="4">
        <v>11.8</v>
      </c>
      <c r="K23" s="4">
        <v>0.40400000000000003</v>
      </c>
      <c r="L23" s="4">
        <v>2.7</v>
      </c>
      <c r="M23" s="4">
        <v>7.4</v>
      </c>
      <c r="N23" s="4">
        <v>0.36799999999999999</v>
      </c>
      <c r="O23" s="4">
        <v>2.1</v>
      </c>
      <c r="P23" s="4">
        <v>4.4000000000000004</v>
      </c>
      <c r="Q23" s="4">
        <v>0.46500000000000002</v>
      </c>
      <c r="R23" s="4">
        <v>2</v>
      </c>
      <c r="S23" s="4">
        <v>2.2999999999999998</v>
      </c>
      <c r="T23" s="4">
        <v>0.878</v>
      </c>
      <c r="U23" s="4">
        <v>0.7</v>
      </c>
      <c r="V23" s="4">
        <v>4.5</v>
      </c>
      <c r="W23" s="4">
        <v>2.2000000000000002</v>
      </c>
      <c r="X23" s="4">
        <v>1.6</v>
      </c>
      <c r="Y23" s="4">
        <v>0.4</v>
      </c>
      <c r="Z23" s="4">
        <v>1.2</v>
      </c>
      <c r="AA23" s="4">
        <v>2.1</v>
      </c>
      <c r="AB23" s="4">
        <v>14.3</v>
      </c>
      <c r="AC23" s="10">
        <f t="shared" si="0"/>
        <v>1.0205538110191266</v>
      </c>
      <c r="AD23" s="10">
        <f t="shared" si="1"/>
        <v>0.19047619047619047</v>
      </c>
      <c r="AE23" s="12">
        <f>100*(AC23/TOTAL_BASIC!$D$302)</f>
        <v>106.16001255605119</v>
      </c>
      <c r="AF23" s="9"/>
      <c r="AG23" s="9"/>
      <c r="AH23" s="12">
        <f t="shared" si="2"/>
        <v>64.600000000000009</v>
      </c>
      <c r="AI23" s="12">
        <f t="shared" si="3"/>
        <v>76.7</v>
      </c>
      <c r="AJ23" s="12">
        <f t="shared" si="4"/>
        <v>79.5</v>
      </c>
      <c r="AK23" s="12">
        <f t="shared" si="5"/>
        <v>89.5</v>
      </c>
      <c r="AL23" s="12">
        <f t="shared" si="6"/>
        <v>83.899999999999991</v>
      </c>
    </row>
    <row r="24" spans="1:38" ht="15.75" customHeight="1">
      <c r="A24" s="1" t="s">
        <v>158</v>
      </c>
      <c r="B24" s="7" t="s">
        <v>140</v>
      </c>
      <c r="C24" s="4" t="s">
        <v>88</v>
      </c>
      <c r="D24" s="4">
        <v>40</v>
      </c>
      <c r="E24" s="4">
        <v>1182</v>
      </c>
      <c r="F24" s="4">
        <v>40</v>
      </c>
      <c r="G24" s="4">
        <v>40</v>
      </c>
      <c r="H24" s="4">
        <v>29.6</v>
      </c>
      <c r="I24" s="4">
        <v>6.2</v>
      </c>
      <c r="J24" s="4">
        <v>12.6</v>
      </c>
      <c r="K24" s="4">
        <v>0.49</v>
      </c>
      <c r="L24" s="4">
        <v>0.4</v>
      </c>
      <c r="M24" s="4">
        <v>1.3</v>
      </c>
      <c r="N24" s="4">
        <v>0.33300000000000002</v>
      </c>
      <c r="O24" s="4">
        <v>5.8</v>
      </c>
      <c r="P24" s="4">
        <v>11.3</v>
      </c>
      <c r="Q24" s="4">
        <v>0.50800000000000001</v>
      </c>
      <c r="R24" s="4">
        <v>4.2</v>
      </c>
      <c r="S24" s="4">
        <v>5.8</v>
      </c>
      <c r="T24" s="4">
        <v>0.71899999999999997</v>
      </c>
      <c r="U24" s="4">
        <v>1.9</v>
      </c>
      <c r="V24" s="4">
        <v>9.4</v>
      </c>
      <c r="W24" s="4">
        <v>2.5</v>
      </c>
      <c r="X24" s="4">
        <v>0.7</v>
      </c>
      <c r="Y24" s="4">
        <v>1.3</v>
      </c>
      <c r="Z24" s="4">
        <v>2.9</v>
      </c>
      <c r="AA24" s="4">
        <v>1.9</v>
      </c>
      <c r="AB24" s="4">
        <v>16.899999999999999</v>
      </c>
      <c r="AC24" s="10">
        <f t="shared" si="0"/>
        <v>0.93618435630401053</v>
      </c>
      <c r="AD24" s="10">
        <f t="shared" si="1"/>
        <v>0.68421052631578949</v>
      </c>
      <c r="AE24" s="12">
        <f>100*(AC24/TOTAL_BASIC!$D$302)</f>
        <v>97.383736111637361</v>
      </c>
      <c r="AF24" s="9"/>
      <c r="AG24" s="9"/>
      <c r="AH24" s="12">
        <f t="shared" si="2"/>
        <v>97.2</v>
      </c>
      <c r="AI24" s="12">
        <f t="shared" si="3"/>
        <v>50.8</v>
      </c>
      <c r="AJ24" s="12">
        <f t="shared" si="4"/>
        <v>90.600000000000009</v>
      </c>
      <c r="AK24" s="12">
        <f t="shared" si="5"/>
        <v>85.6</v>
      </c>
      <c r="AL24" s="12">
        <f t="shared" si="6"/>
        <v>25.900000000000002</v>
      </c>
    </row>
    <row r="25" spans="1:38" ht="15.75" customHeight="1">
      <c r="A25" s="1" t="s">
        <v>169</v>
      </c>
      <c r="B25" s="7" t="s">
        <v>137</v>
      </c>
      <c r="C25" s="4" t="s">
        <v>85</v>
      </c>
      <c r="D25" s="4">
        <v>41</v>
      </c>
      <c r="E25" s="4">
        <v>1174</v>
      </c>
      <c r="F25" s="4">
        <v>41</v>
      </c>
      <c r="G25" s="4">
        <v>41</v>
      </c>
      <c r="H25" s="4">
        <v>28.6</v>
      </c>
      <c r="I25" s="4">
        <v>5.6</v>
      </c>
      <c r="J25" s="4">
        <v>10.1</v>
      </c>
      <c r="K25" s="4">
        <v>0.55200000000000005</v>
      </c>
      <c r="L25" s="4">
        <v>0.2</v>
      </c>
      <c r="M25" s="4">
        <v>0.9</v>
      </c>
      <c r="N25" s="4">
        <v>0.23699999999999999</v>
      </c>
      <c r="O25" s="4">
        <v>5.3</v>
      </c>
      <c r="P25" s="4">
        <v>9.1</v>
      </c>
      <c r="Q25" s="4">
        <v>0.58399999999999996</v>
      </c>
      <c r="R25" s="4">
        <v>3.1</v>
      </c>
      <c r="S25" s="4">
        <v>4.5</v>
      </c>
      <c r="T25" s="4">
        <v>0.68300000000000005</v>
      </c>
      <c r="U25" s="4">
        <v>1.9</v>
      </c>
      <c r="V25" s="4">
        <v>7</v>
      </c>
      <c r="W25" s="4">
        <v>2.4</v>
      </c>
      <c r="X25" s="4">
        <v>1.5</v>
      </c>
      <c r="Y25" s="4">
        <v>0.4</v>
      </c>
      <c r="Z25" s="4">
        <v>1.9</v>
      </c>
      <c r="AA25" s="4">
        <v>2.8</v>
      </c>
      <c r="AB25" s="4">
        <v>14.4</v>
      </c>
      <c r="AC25" s="10">
        <f t="shared" si="0"/>
        <v>1.0300429184549356</v>
      </c>
      <c r="AD25" s="10">
        <f t="shared" si="1"/>
        <v>0.14285714285714288</v>
      </c>
      <c r="AE25" s="12">
        <f>100*(AC25/TOTAL_BASIC!$D$302)</f>
        <v>107.14708815525475</v>
      </c>
      <c r="AF25" s="9"/>
      <c r="AG25" s="9"/>
      <c r="AH25" s="12">
        <f t="shared" si="2"/>
        <v>51.9</v>
      </c>
      <c r="AI25" s="12">
        <f t="shared" si="3"/>
        <v>80.600000000000009</v>
      </c>
      <c r="AJ25" s="12">
        <f t="shared" si="4"/>
        <v>82.3</v>
      </c>
      <c r="AK25" s="12">
        <f t="shared" si="5"/>
        <v>80.100000000000009</v>
      </c>
      <c r="AL25" s="12">
        <f t="shared" si="6"/>
        <v>18.7</v>
      </c>
    </row>
    <row r="26" spans="1:38" ht="15.75" customHeight="1">
      <c r="A26" s="1" t="s">
        <v>144</v>
      </c>
      <c r="B26" s="7" t="s">
        <v>128</v>
      </c>
      <c r="C26" s="4" t="s">
        <v>85</v>
      </c>
      <c r="D26" s="4">
        <v>40</v>
      </c>
      <c r="E26" s="4">
        <v>1167</v>
      </c>
      <c r="F26" s="4">
        <v>40</v>
      </c>
      <c r="G26" s="4">
        <v>38</v>
      </c>
      <c r="H26" s="4">
        <v>29.2</v>
      </c>
      <c r="I26" s="4">
        <v>3.5</v>
      </c>
      <c r="J26" s="4">
        <v>7.4</v>
      </c>
      <c r="K26" s="4">
        <v>0.46800000000000003</v>
      </c>
      <c r="L26" s="4">
        <v>1.2</v>
      </c>
      <c r="M26" s="4">
        <v>3.9</v>
      </c>
      <c r="N26" s="4">
        <v>0.31</v>
      </c>
      <c r="O26" s="4">
        <v>2.2999999999999998</v>
      </c>
      <c r="P26" s="4">
        <v>3.5</v>
      </c>
      <c r="Q26" s="4">
        <v>0.64300000000000002</v>
      </c>
      <c r="R26" s="4">
        <v>1</v>
      </c>
      <c r="S26" s="4">
        <v>1.3</v>
      </c>
      <c r="T26" s="4">
        <v>0.82</v>
      </c>
      <c r="U26" s="4">
        <v>1.5</v>
      </c>
      <c r="V26" s="4">
        <v>4.5999999999999996</v>
      </c>
      <c r="W26" s="4">
        <v>1.5</v>
      </c>
      <c r="X26" s="4">
        <v>0.6</v>
      </c>
      <c r="Y26" s="4">
        <v>0.4</v>
      </c>
      <c r="Z26" s="4">
        <v>1.4</v>
      </c>
      <c r="AA26" s="4">
        <v>2.1</v>
      </c>
      <c r="AB26" s="4">
        <v>9.1</v>
      </c>
      <c r="AC26" s="10">
        <f t="shared" si="0"/>
        <v>0.9709773794280836</v>
      </c>
      <c r="AD26" s="10">
        <f t="shared" si="1"/>
        <v>0.19047619047619047</v>
      </c>
      <c r="AE26" s="12">
        <f>100*(AC26/TOTAL_BASIC!$D$302)</f>
        <v>101.0029747366209</v>
      </c>
      <c r="AF26" s="9"/>
      <c r="AG26" s="9"/>
      <c r="AH26" s="12">
        <f t="shared" si="2"/>
        <v>64.600000000000009</v>
      </c>
      <c r="AI26" s="12">
        <f t="shared" si="3"/>
        <v>60.199999999999996</v>
      </c>
      <c r="AJ26" s="12">
        <f t="shared" si="4"/>
        <v>60.199999999999996</v>
      </c>
      <c r="AK26" s="12">
        <f t="shared" si="5"/>
        <v>82.3</v>
      </c>
      <c r="AL26" s="12">
        <f t="shared" si="6"/>
        <v>57.999999999999993</v>
      </c>
    </row>
    <row r="27" spans="1:38" ht="15.75" customHeight="1">
      <c r="A27" s="1" t="s">
        <v>90</v>
      </c>
      <c r="B27" s="7" t="s">
        <v>91</v>
      </c>
      <c r="C27" s="4" t="s">
        <v>8</v>
      </c>
      <c r="D27" s="4">
        <v>41</v>
      </c>
      <c r="E27" s="4">
        <v>1163</v>
      </c>
      <c r="F27" s="4">
        <v>41</v>
      </c>
      <c r="G27" s="4">
        <v>41</v>
      </c>
      <c r="H27" s="4">
        <v>28.4</v>
      </c>
      <c r="I27" s="4">
        <v>3.9</v>
      </c>
      <c r="J27" s="4">
        <v>9.1999999999999993</v>
      </c>
      <c r="K27" s="4">
        <v>0.42799999999999999</v>
      </c>
      <c r="L27" s="4">
        <v>1.4</v>
      </c>
      <c r="M27" s="4">
        <v>3.9</v>
      </c>
      <c r="N27" s="4">
        <v>0.35799999999999998</v>
      </c>
      <c r="O27" s="4">
        <v>2.5</v>
      </c>
      <c r="P27" s="4">
        <v>5.3</v>
      </c>
      <c r="Q27" s="4">
        <v>0.47899999999999998</v>
      </c>
      <c r="R27" s="4">
        <v>2.9</v>
      </c>
      <c r="S27" s="4">
        <v>3.5</v>
      </c>
      <c r="T27" s="4">
        <v>0.82499999999999996</v>
      </c>
      <c r="U27" s="4">
        <v>1.1000000000000001</v>
      </c>
      <c r="V27" s="4">
        <v>3.6</v>
      </c>
      <c r="W27" s="4">
        <v>5.7</v>
      </c>
      <c r="X27" s="4">
        <v>1.6</v>
      </c>
      <c r="Y27" s="4">
        <v>0.4</v>
      </c>
      <c r="Z27" s="4">
        <v>1.4</v>
      </c>
      <c r="AA27" s="4">
        <v>2.6</v>
      </c>
      <c r="AB27" s="4">
        <v>12.1</v>
      </c>
      <c r="AC27" s="10">
        <f t="shared" si="0"/>
        <v>0.99670510708401983</v>
      </c>
      <c r="AD27" s="10">
        <f t="shared" si="1"/>
        <v>0.15384615384615385</v>
      </c>
      <c r="AE27" s="12">
        <f>100*(AC27/TOTAL_BASIC!$D$302)</f>
        <v>103.67922351596299</v>
      </c>
      <c r="AF27" s="9"/>
      <c r="AG27" s="9"/>
      <c r="AH27" s="12">
        <f t="shared" si="2"/>
        <v>53.5</v>
      </c>
      <c r="AI27" s="12">
        <f t="shared" si="3"/>
        <v>68.5</v>
      </c>
      <c r="AJ27" s="12">
        <f t="shared" si="4"/>
        <v>73.400000000000006</v>
      </c>
      <c r="AK27" s="12">
        <f t="shared" si="5"/>
        <v>78.400000000000006</v>
      </c>
      <c r="AL27" s="12">
        <f t="shared" si="6"/>
        <v>59.599999999999994</v>
      </c>
    </row>
    <row r="28" spans="1:38" ht="15.75" customHeight="1">
      <c r="A28" s="1" t="s">
        <v>156</v>
      </c>
      <c r="B28" s="4" t="s">
        <v>157</v>
      </c>
      <c r="C28" s="4" t="s">
        <v>8</v>
      </c>
      <c r="D28" s="4">
        <v>37</v>
      </c>
      <c r="E28" s="4">
        <v>1160</v>
      </c>
      <c r="F28" s="4">
        <v>37</v>
      </c>
      <c r="G28" s="4">
        <v>37</v>
      </c>
      <c r="H28" s="4">
        <v>31.4</v>
      </c>
      <c r="I28" s="4">
        <v>7.2</v>
      </c>
      <c r="J28" s="4">
        <v>15.8</v>
      </c>
      <c r="K28" s="4">
        <v>0.45600000000000002</v>
      </c>
      <c r="L28" s="4">
        <v>2.9</v>
      </c>
      <c r="M28" s="4">
        <v>7.9</v>
      </c>
      <c r="N28" s="4">
        <v>0.37</v>
      </c>
      <c r="O28" s="4">
        <v>4.3</v>
      </c>
      <c r="P28" s="4">
        <v>7.9</v>
      </c>
      <c r="Q28" s="4">
        <v>0.54300000000000004</v>
      </c>
      <c r="R28" s="4">
        <v>5.3</v>
      </c>
      <c r="S28" s="4">
        <v>6.3</v>
      </c>
      <c r="T28" s="4">
        <v>0.84199999999999997</v>
      </c>
      <c r="U28" s="4">
        <v>0.2</v>
      </c>
      <c r="V28" s="4">
        <v>3.9</v>
      </c>
      <c r="W28" s="4">
        <v>8.5</v>
      </c>
      <c r="X28" s="4">
        <v>0.9</v>
      </c>
      <c r="Y28" s="4">
        <v>0.5</v>
      </c>
      <c r="Z28" s="4">
        <v>4.5999999999999996</v>
      </c>
      <c r="AA28" s="4">
        <v>3.2</v>
      </c>
      <c r="AB28" s="4">
        <v>22.6</v>
      </c>
      <c r="AC28" s="10">
        <f t="shared" si="0"/>
        <v>0.97531503538753683</v>
      </c>
      <c r="AD28" s="10">
        <f t="shared" si="1"/>
        <v>0.15625</v>
      </c>
      <c r="AE28" s="12">
        <f>100*(AC28/TOTAL_BASIC!$D$302)</f>
        <v>101.45418623193594</v>
      </c>
      <c r="AF28" s="9"/>
      <c r="AG28" s="9"/>
      <c r="AH28" s="12">
        <f t="shared" si="2"/>
        <v>57.4</v>
      </c>
      <c r="AI28" s="12">
        <f t="shared" si="3"/>
        <v>62.9</v>
      </c>
      <c r="AJ28" s="12">
        <f t="shared" si="4"/>
        <v>98.8</v>
      </c>
      <c r="AK28" s="12">
        <f t="shared" si="5"/>
        <v>91.7</v>
      </c>
      <c r="AL28" s="12">
        <f t="shared" si="6"/>
        <v>66.2</v>
      </c>
    </row>
    <row r="29" spans="1:38" ht="15.75" customHeight="1">
      <c r="A29" s="1" t="s">
        <v>168</v>
      </c>
      <c r="B29" s="7" t="s">
        <v>137</v>
      </c>
      <c r="C29" s="4" t="s">
        <v>94</v>
      </c>
      <c r="D29" s="4">
        <v>40</v>
      </c>
      <c r="E29" s="4">
        <v>1153</v>
      </c>
      <c r="F29" s="4">
        <v>40</v>
      </c>
      <c r="G29" s="4">
        <v>32</v>
      </c>
      <c r="H29" s="4">
        <v>28.8</v>
      </c>
      <c r="I29" s="4">
        <v>5</v>
      </c>
      <c r="J29" s="4">
        <v>11</v>
      </c>
      <c r="K29" s="4">
        <v>0.45900000000000002</v>
      </c>
      <c r="L29" s="4">
        <v>1.6</v>
      </c>
      <c r="M29" s="4">
        <v>4.2</v>
      </c>
      <c r="N29" s="4">
        <v>0.373</v>
      </c>
      <c r="O29" s="4">
        <v>3.5</v>
      </c>
      <c r="P29" s="4">
        <v>6.7</v>
      </c>
      <c r="Q29" s="4">
        <v>0.51300000000000001</v>
      </c>
      <c r="R29" s="4">
        <v>2.9</v>
      </c>
      <c r="S29" s="4">
        <v>3.6</v>
      </c>
      <c r="T29" s="4">
        <v>0.80400000000000005</v>
      </c>
      <c r="U29" s="4">
        <v>0.6</v>
      </c>
      <c r="V29" s="4">
        <v>2.4</v>
      </c>
      <c r="W29" s="4">
        <v>2.6</v>
      </c>
      <c r="X29" s="4">
        <v>0.9</v>
      </c>
      <c r="Y29" s="4">
        <v>0.6</v>
      </c>
      <c r="Z29" s="4">
        <v>2.4</v>
      </c>
      <c r="AA29" s="4">
        <v>1.6</v>
      </c>
      <c r="AB29" s="4">
        <v>14.5</v>
      </c>
      <c r="AC29" s="10">
        <f t="shared" si="0"/>
        <v>0.96769887880405769</v>
      </c>
      <c r="AD29" s="10">
        <f t="shared" si="1"/>
        <v>0.37499999999999994</v>
      </c>
      <c r="AE29" s="12">
        <f>100*(AC29/TOTAL_BASIC!$D$302)</f>
        <v>100.66193866027324</v>
      </c>
      <c r="AF29" s="9"/>
      <c r="AG29" s="9"/>
      <c r="AH29" s="12">
        <f t="shared" si="2"/>
        <v>84.5</v>
      </c>
      <c r="AI29" s="12">
        <f t="shared" si="3"/>
        <v>59.599999999999994</v>
      </c>
      <c r="AJ29" s="12">
        <f t="shared" si="4"/>
        <v>83.399999999999991</v>
      </c>
      <c r="AK29" s="12">
        <f t="shared" si="5"/>
        <v>81.2</v>
      </c>
      <c r="AL29" s="12">
        <f t="shared" si="6"/>
        <v>51.9</v>
      </c>
    </row>
    <row r="30" spans="1:38" ht="15.75" customHeight="1">
      <c r="A30" s="1" t="s">
        <v>87</v>
      </c>
      <c r="B30" s="7" t="s">
        <v>84</v>
      </c>
      <c r="C30" s="4" t="s">
        <v>88</v>
      </c>
      <c r="D30" s="4">
        <v>40</v>
      </c>
      <c r="E30" s="4">
        <v>1139</v>
      </c>
      <c r="F30" s="4">
        <v>40</v>
      </c>
      <c r="G30" s="4">
        <v>40</v>
      </c>
      <c r="H30" s="4">
        <v>28.5</v>
      </c>
      <c r="I30" s="4">
        <v>5</v>
      </c>
      <c r="J30" s="4">
        <v>10.1</v>
      </c>
      <c r="K30" s="4">
        <v>0.49399999999999999</v>
      </c>
      <c r="L30" s="4">
        <v>1.8</v>
      </c>
      <c r="M30" s="4">
        <v>4.5999999999999996</v>
      </c>
      <c r="N30" s="4">
        <v>0.39500000000000002</v>
      </c>
      <c r="O30" s="4">
        <v>3.2</v>
      </c>
      <c r="P30" s="4">
        <v>5.5</v>
      </c>
      <c r="Q30" s="4">
        <v>0.57799999999999996</v>
      </c>
      <c r="R30" s="4">
        <v>2.9</v>
      </c>
      <c r="S30" s="4">
        <v>3.5</v>
      </c>
      <c r="T30" s="4">
        <v>0.82699999999999996</v>
      </c>
      <c r="U30" s="4">
        <v>2.1</v>
      </c>
      <c r="V30" s="4">
        <v>9</v>
      </c>
      <c r="W30" s="4">
        <v>2.6</v>
      </c>
      <c r="X30" s="4">
        <v>0.6</v>
      </c>
      <c r="Y30" s="4">
        <v>1.1000000000000001</v>
      </c>
      <c r="Z30" s="4">
        <v>2.1</v>
      </c>
      <c r="AA30" s="4">
        <v>3</v>
      </c>
      <c r="AB30" s="4">
        <v>14.7</v>
      </c>
      <c r="AC30" s="10">
        <f t="shared" si="0"/>
        <v>1.0698689956331877</v>
      </c>
      <c r="AD30" s="10">
        <f t="shared" si="1"/>
        <v>0.3666666666666667</v>
      </c>
      <c r="AE30" s="12">
        <f>100*(AC30/TOTAL_BASIC!$D$302)</f>
        <v>111.28987495165062</v>
      </c>
      <c r="AF30" s="9"/>
      <c r="AG30" s="9"/>
      <c r="AH30" s="12">
        <f t="shared" si="2"/>
        <v>83.899999999999991</v>
      </c>
      <c r="AI30" s="12">
        <f t="shared" si="3"/>
        <v>91.100000000000009</v>
      </c>
      <c r="AJ30" s="12">
        <f t="shared" si="4"/>
        <v>83.899999999999991</v>
      </c>
      <c r="AK30" s="12">
        <f t="shared" si="5"/>
        <v>79.5</v>
      </c>
      <c r="AL30" s="12">
        <f t="shared" si="6"/>
        <v>60.699999999999996</v>
      </c>
    </row>
    <row r="31" spans="1:38" ht="15.75" customHeight="1">
      <c r="A31" s="1" t="s">
        <v>224</v>
      </c>
      <c r="B31" s="7" t="s">
        <v>131</v>
      </c>
      <c r="C31" s="4" t="s">
        <v>8</v>
      </c>
      <c r="D31" s="4">
        <v>40</v>
      </c>
      <c r="E31" s="4">
        <v>1127</v>
      </c>
      <c r="F31" s="4">
        <v>40</v>
      </c>
      <c r="G31" s="4">
        <v>27</v>
      </c>
      <c r="H31" s="4">
        <v>28.2</v>
      </c>
      <c r="I31" s="4">
        <v>3.8</v>
      </c>
      <c r="J31" s="4">
        <v>7.7</v>
      </c>
      <c r="K31" s="4">
        <v>0.49</v>
      </c>
      <c r="L31" s="4">
        <v>1.1000000000000001</v>
      </c>
      <c r="M31" s="4">
        <v>3.2</v>
      </c>
      <c r="N31" s="4">
        <v>0.35699999999999998</v>
      </c>
      <c r="O31" s="4">
        <v>2.6</v>
      </c>
      <c r="P31" s="4">
        <v>4.5</v>
      </c>
      <c r="Q31" s="4">
        <v>0.58299999999999996</v>
      </c>
      <c r="R31" s="4">
        <v>2.5</v>
      </c>
      <c r="S31" s="4">
        <v>2.9</v>
      </c>
      <c r="T31" s="4">
        <v>0.85499999999999998</v>
      </c>
      <c r="U31" s="4">
        <v>0.3</v>
      </c>
      <c r="V31" s="4">
        <v>3.4</v>
      </c>
      <c r="W31" s="4">
        <v>4.8</v>
      </c>
      <c r="X31" s="4">
        <v>1.1000000000000001</v>
      </c>
      <c r="Y31" s="4">
        <v>0.3</v>
      </c>
      <c r="Z31" s="4">
        <v>2.2000000000000002</v>
      </c>
      <c r="AA31" s="4">
        <v>2.9</v>
      </c>
      <c r="AB31" s="4">
        <v>11.1</v>
      </c>
      <c r="AC31" s="10">
        <f t="shared" si="0"/>
        <v>0.99319971367215443</v>
      </c>
      <c r="AD31" s="10">
        <f t="shared" si="1"/>
        <v>0.10344827586206896</v>
      </c>
      <c r="AE31" s="12">
        <f>100*(AC31/TOTAL_BASIC!$D$302)</f>
        <v>103.3145856060365</v>
      </c>
      <c r="AF31" s="9"/>
      <c r="AG31" s="9"/>
      <c r="AH31" s="12">
        <f t="shared" si="2"/>
        <v>35.299999999999997</v>
      </c>
      <c r="AI31" s="12">
        <f t="shared" si="3"/>
        <v>66.8</v>
      </c>
      <c r="AJ31" s="12">
        <f t="shared" si="4"/>
        <v>70.7</v>
      </c>
      <c r="AK31" s="12">
        <f t="shared" si="5"/>
        <v>76.7</v>
      </c>
      <c r="AL31" s="12">
        <f t="shared" si="6"/>
        <v>73.400000000000006</v>
      </c>
    </row>
    <row r="32" spans="1:38" ht="15.75" customHeight="1">
      <c r="A32" s="1" t="s">
        <v>138</v>
      </c>
      <c r="B32" s="7" t="s">
        <v>114</v>
      </c>
      <c r="C32" s="4" t="s">
        <v>8</v>
      </c>
      <c r="D32" s="4">
        <v>37</v>
      </c>
      <c r="E32" s="4">
        <v>1104</v>
      </c>
      <c r="F32" s="4">
        <v>37</v>
      </c>
      <c r="G32" s="4">
        <v>37</v>
      </c>
      <c r="H32" s="4">
        <v>29.8</v>
      </c>
      <c r="I32" s="4">
        <v>5.5</v>
      </c>
      <c r="J32" s="4">
        <v>12.4</v>
      </c>
      <c r="K32" s="4">
        <v>0.44</v>
      </c>
      <c r="L32" s="4">
        <v>1.9</v>
      </c>
      <c r="M32" s="4">
        <v>5.6</v>
      </c>
      <c r="N32" s="4">
        <v>0.33500000000000002</v>
      </c>
      <c r="O32" s="4">
        <v>3.6</v>
      </c>
      <c r="P32" s="4">
        <v>6.8</v>
      </c>
      <c r="Q32" s="4">
        <v>0.52600000000000002</v>
      </c>
      <c r="R32" s="4">
        <v>2.5</v>
      </c>
      <c r="S32" s="4">
        <v>2.9</v>
      </c>
      <c r="T32" s="4">
        <v>0.86199999999999999</v>
      </c>
      <c r="U32" s="4">
        <v>0.2</v>
      </c>
      <c r="V32" s="4">
        <v>2.6</v>
      </c>
      <c r="W32" s="4">
        <v>4.8</v>
      </c>
      <c r="X32" s="4">
        <v>1.1000000000000001</v>
      </c>
      <c r="Y32" s="4">
        <v>0.1</v>
      </c>
      <c r="Z32" s="4">
        <v>2.2000000000000002</v>
      </c>
      <c r="AA32" s="4">
        <v>1.7</v>
      </c>
      <c r="AB32" s="4">
        <v>15.3</v>
      </c>
      <c r="AC32" s="10">
        <f t="shared" si="0"/>
        <v>0.96371882086167793</v>
      </c>
      <c r="AD32" s="10">
        <f t="shared" si="1"/>
        <v>5.8823529411764712E-2</v>
      </c>
      <c r="AE32" s="12">
        <f>100*(AC32/TOTAL_BASIC!$D$302)</f>
        <v>100.24792521328519</v>
      </c>
      <c r="AF32" s="9"/>
      <c r="AG32" s="9"/>
      <c r="AH32" s="12">
        <f t="shared" si="2"/>
        <v>19.3</v>
      </c>
      <c r="AI32" s="12">
        <f t="shared" si="3"/>
        <v>56.3</v>
      </c>
      <c r="AJ32" s="12">
        <f t="shared" si="4"/>
        <v>86.7</v>
      </c>
      <c r="AK32" s="12">
        <f t="shared" si="5"/>
        <v>86.7</v>
      </c>
      <c r="AL32" s="12">
        <f t="shared" si="6"/>
        <v>76.2</v>
      </c>
    </row>
    <row r="33" spans="1:38" ht="15.75" customHeight="1">
      <c r="A33" s="1" t="s">
        <v>113</v>
      </c>
      <c r="B33" s="7" t="s">
        <v>114</v>
      </c>
      <c r="C33" s="4" t="s">
        <v>8</v>
      </c>
      <c r="D33" s="4">
        <v>39</v>
      </c>
      <c r="E33" s="4">
        <v>1103</v>
      </c>
      <c r="F33" s="4">
        <v>39</v>
      </c>
      <c r="G33" s="4">
        <v>39</v>
      </c>
      <c r="H33" s="4">
        <v>28.3</v>
      </c>
      <c r="I33" s="4">
        <v>5.0999999999999996</v>
      </c>
      <c r="J33" s="4">
        <v>12.6</v>
      </c>
      <c r="K33" s="4">
        <v>0.4</v>
      </c>
      <c r="L33" s="4">
        <v>1.3</v>
      </c>
      <c r="M33" s="4">
        <v>4.7</v>
      </c>
      <c r="N33" s="4">
        <v>0.28299999999999997</v>
      </c>
      <c r="O33" s="4">
        <v>3.7</v>
      </c>
      <c r="P33" s="4">
        <v>7.9</v>
      </c>
      <c r="Q33" s="4">
        <v>0.46899999999999997</v>
      </c>
      <c r="R33" s="4">
        <v>2.9</v>
      </c>
      <c r="S33" s="4">
        <v>3.6</v>
      </c>
      <c r="T33" s="4">
        <v>0.80700000000000005</v>
      </c>
      <c r="U33" s="4">
        <v>1.1000000000000001</v>
      </c>
      <c r="V33" s="4">
        <v>4.7</v>
      </c>
      <c r="W33" s="4">
        <v>2.8</v>
      </c>
      <c r="X33" s="4">
        <v>1.3</v>
      </c>
      <c r="Y33" s="4">
        <v>0.7</v>
      </c>
      <c r="Z33" s="4">
        <v>2.5</v>
      </c>
      <c r="AA33" s="4">
        <v>2.7</v>
      </c>
      <c r="AB33" s="4">
        <v>14.3</v>
      </c>
      <c r="AC33" s="10">
        <f t="shared" si="0"/>
        <v>0.85710860704866954</v>
      </c>
      <c r="AD33" s="10">
        <f t="shared" si="1"/>
        <v>0.25925925925925924</v>
      </c>
      <c r="AE33" s="12">
        <f>100*(AC33/TOTAL_BASIC!$D$302)</f>
        <v>89.158121309961004</v>
      </c>
      <c r="AF33" s="9"/>
      <c r="AG33" s="9"/>
      <c r="AH33" s="12">
        <f t="shared" si="2"/>
        <v>75.099999999999994</v>
      </c>
      <c r="AI33" s="12">
        <f t="shared" si="3"/>
        <v>27</v>
      </c>
      <c r="AJ33" s="12">
        <f t="shared" si="4"/>
        <v>79.5</v>
      </c>
      <c r="AK33" s="12">
        <f t="shared" si="5"/>
        <v>77.3</v>
      </c>
      <c r="AL33" s="12">
        <f t="shared" si="6"/>
        <v>53</v>
      </c>
    </row>
    <row r="34" spans="1:38" ht="15.75" customHeight="1">
      <c r="A34" s="1" t="s">
        <v>173</v>
      </c>
      <c r="B34" s="7" t="s">
        <v>140</v>
      </c>
      <c r="C34" s="4" t="s">
        <v>85</v>
      </c>
      <c r="D34" s="4">
        <v>38</v>
      </c>
      <c r="E34" s="4">
        <v>1076</v>
      </c>
      <c r="F34" s="4">
        <v>38</v>
      </c>
      <c r="G34" s="4">
        <v>38</v>
      </c>
      <c r="H34" s="4">
        <v>28.3</v>
      </c>
      <c r="I34" s="4">
        <v>5.9</v>
      </c>
      <c r="J34" s="4">
        <v>11.6</v>
      </c>
      <c r="K34" s="4">
        <v>0.51300000000000001</v>
      </c>
      <c r="L34" s="4">
        <v>0.4</v>
      </c>
      <c r="M34" s="4">
        <v>1.1000000000000001</v>
      </c>
      <c r="N34" s="4">
        <v>0.34100000000000003</v>
      </c>
      <c r="O34" s="4">
        <v>5.6</v>
      </c>
      <c r="P34" s="4">
        <v>10.5</v>
      </c>
      <c r="Q34" s="4">
        <v>0.53</v>
      </c>
      <c r="R34" s="4">
        <v>3.2</v>
      </c>
      <c r="S34" s="4">
        <v>4.9000000000000004</v>
      </c>
      <c r="T34" s="4">
        <v>0.65400000000000003</v>
      </c>
      <c r="U34" s="4">
        <v>3</v>
      </c>
      <c r="V34" s="4">
        <v>9.5</v>
      </c>
      <c r="W34" s="4">
        <v>1.6</v>
      </c>
      <c r="X34" s="4">
        <v>0.7</v>
      </c>
      <c r="Y34" s="4">
        <v>0.4</v>
      </c>
      <c r="Z34" s="4">
        <v>1.7</v>
      </c>
      <c r="AA34" s="4">
        <v>3.2</v>
      </c>
      <c r="AB34" s="4">
        <v>15.4</v>
      </c>
      <c r="AC34" s="10">
        <f t="shared" si="0"/>
        <v>0.99637681159420299</v>
      </c>
      <c r="AD34" s="10">
        <f t="shared" si="1"/>
        <v>0.125</v>
      </c>
      <c r="AE34" s="12">
        <f>100*(AC34/TOTAL_BASIC!$D$302)</f>
        <v>103.64507357409344</v>
      </c>
      <c r="AF34" s="9"/>
      <c r="AG34" s="9"/>
      <c r="AH34" s="12">
        <f t="shared" si="2"/>
        <v>43.6</v>
      </c>
      <c r="AI34" s="12">
        <f t="shared" si="3"/>
        <v>67.900000000000006</v>
      </c>
      <c r="AJ34" s="12">
        <f t="shared" si="4"/>
        <v>87.2</v>
      </c>
      <c r="AK34" s="12">
        <f t="shared" si="5"/>
        <v>77.3</v>
      </c>
      <c r="AL34" s="12">
        <f t="shared" si="6"/>
        <v>13.200000000000001</v>
      </c>
    </row>
    <row r="35" spans="1:38" ht="15.75" customHeight="1">
      <c r="A35" s="1" t="s">
        <v>198</v>
      </c>
      <c r="B35" s="4" t="s">
        <v>137</v>
      </c>
      <c r="C35" s="4" t="s">
        <v>8</v>
      </c>
      <c r="D35" s="4">
        <v>40</v>
      </c>
      <c r="E35" s="4">
        <v>1065</v>
      </c>
      <c r="F35" s="4">
        <v>40</v>
      </c>
      <c r="G35" s="4">
        <v>38</v>
      </c>
      <c r="H35" s="4">
        <v>26.6</v>
      </c>
      <c r="I35" s="4">
        <v>3.3</v>
      </c>
      <c r="J35" s="4">
        <v>8.1999999999999993</v>
      </c>
      <c r="K35" s="4">
        <v>0.39800000000000002</v>
      </c>
      <c r="L35" s="4">
        <v>1.4</v>
      </c>
      <c r="M35" s="4">
        <v>4.3</v>
      </c>
      <c r="N35" s="4">
        <v>0.314</v>
      </c>
      <c r="O35" s="4">
        <v>1.9</v>
      </c>
      <c r="P35" s="4">
        <v>3.9</v>
      </c>
      <c r="Q35" s="4">
        <v>0.49</v>
      </c>
      <c r="R35" s="4">
        <v>1</v>
      </c>
      <c r="S35" s="4">
        <v>1.2</v>
      </c>
      <c r="T35" s="4">
        <v>0.872</v>
      </c>
      <c r="U35" s="4">
        <v>0.2</v>
      </c>
      <c r="V35" s="4">
        <v>1.9</v>
      </c>
      <c r="W35" s="4">
        <v>5.0999999999999996</v>
      </c>
      <c r="X35" s="4">
        <v>0.9</v>
      </c>
      <c r="Y35" s="4">
        <v>0.1</v>
      </c>
      <c r="Z35" s="4">
        <v>1.9</v>
      </c>
      <c r="AA35" s="4">
        <v>2.7</v>
      </c>
      <c r="AB35" s="4">
        <v>8.9</v>
      </c>
      <c r="AC35" s="10">
        <f t="shared" si="0"/>
        <v>0.83741061347384271</v>
      </c>
      <c r="AD35" s="10">
        <f t="shared" si="1"/>
        <v>3.7037037037037035E-2</v>
      </c>
      <c r="AE35" s="12">
        <f>100*(AC35/TOTAL_BASIC!$D$302)</f>
        <v>87.109097316660325</v>
      </c>
      <c r="AF35" s="9"/>
      <c r="AG35" s="9"/>
      <c r="AH35" s="12">
        <f t="shared" si="2"/>
        <v>11</v>
      </c>
      <c r="AI35" s="12">
        <f t="shared" si="3"/>
        <v>21.5</v>
      </c>
      <c r="AJ35" s="12">
        <f t="shared" si="4"/>
        <v>58.5</v>
      </c>
      <c r="AK35" s="12">
        <f t="shared" si="5"/>
        <v>72.3</v>
      </c>
      <c r="AL35" s="12">
        <f t="shared" si="6"/>
        <v>80.100000000000009</v>
      </c>
    </row>
    <row r="36" spans="1:38" ht="15.75" customHeight="1">
      <c r="A36" s="1" t="s">
        <v>177</v>
      </c>
      <c r="B36" s="7" t="s">
        <v>131</v>
      </c>
      <c r="C36" s="4" t="s">
        <v>88</v>
      </c>
      <c r="D36" s="4">
        <v>40</v>
      </c>
      <c r="E36" s="4">
        <v>1063</v>
      </c>
      <c r="F36" s="4">
        <v>40</v>
      </c>
      <c r="G36" s="4">
        <v>40</v>
      </c>
      <c r="H36" s="4">
        <v>26.6</v>
      </c>
      <c r="I36" s="4">
        <v>5.6</v>
      </c>
      <c r="J36" s="4">
        <v>10.3</v>
      </c>
      <c r="K36" s="4">
        <v>0.54500000000000004</v>
      </c>
      <c r="L36" s="4">
        <v>0</v>
      </c>
      <c r="M36" s="4">
        <v>0</v>
      </c>
      <c r="N36" s="4">
        <v>0</v>
      </c>
      <c r="O36" s="4">
        <v>5.6</v>
      </c>
      <c r="P36" s="4">
        <v>10.3</v>
      </c>
      <c r="Q36" s="4">
        <v>0.54500000000000004</v>
      </c>
      <c r="R36" s="4">
        <v>3.5</v>
      </c>
      <c r="S36" s="4">
        <v>4.7</v>
      </c>
      <c r="T36" s="4">
        <v>0.747</v>
      </c>
      <c r="U36" s="4">
        <v>2.8</v>
      </c>
      <c r="V36" s="4">
        <v>8.6999999999999993</v>
      </c>
      <c r="W36" s="4">
        <v>2.5</v>
      </c>
      <c r="X36" s="4">
        <v>0.6</v>
      </c>
      <c r="Y36" s="4">
        <v>1.5</v>
      </c>
      <c r="Z36" s="4">
        <v>1.8</v>
      </c>
      <c r="AA36" s="4">
        <v>3.6</v>
      </c>
      <c r="AB36" s="4">
        <v>14.7</v>
      </c>
      <c r="AC36" s="10">
        <f t="shared" si="0"/>
        <v>1.0375494071146243</v>
      </c>
      <c r="AD36" s="10">
        <f t="shared" si="1"/>
        <v>0.41666666666666663</v>
      </c>
      <c r="AE36" s="12">
        <f>100*(AC36/TOTAL_BASIC!$D$302)</f>
        <v>107.92792785401464</v>
      </c>
      <c r="AF36" s="9"/>
      <c r="AG36" s="9"/>
      <c r="AH36" s="12">
        <f t="shared" si="2"/>
        <v>87.8</v>
      </c>
      <c r="AI36" s="12">
        <f t="shared" si="3"/>
        <v>83.899999999999991</v>
      </c>
      <c r="AJ36" s="12">
        <f t="shared" si="4"/>
        <v>83.899999999999991</v>
      </c>
      <c r="AK36" s="12">
        <f t="shared" si="5"/>
        <v>72.3</v>
      </c>
      <c r="AL36" s="12">
        <f t="shared" si="6"/>
        <v>34.200000000000003</v>
      </c>
    </row>
    <row r="37" spans="1:38" ht="15.75" customHeight="1">
      <c r="A37" s="1" t="s">
        <v>185</v>
      </c>
      <c r="B37" s="7" t="s">
        <v>137</v>
      </c>
      <c r="C37" s="4" t="s">
        <v>8</v>
      </c>
      <c r="D37" s="4">
        <v>39</v>
      </c>
      <c r="E37" s="4">
        <v>1056</v>
      </c>
      <c r="F37" s="4">
        <v>39</v>
      </c>
      <c r="G37" s="4">
        <v>39</v>
      </c>
      <c r="H37" s="4">
        <v>27.1</v>
      </c>
      <c r="I37" s="4">
        <v>2.9</v>
      </c>
      <c r="J37" s="4">
        <v>7.9</v>
      </c>
      <c r="K37" s="4">
        <v>0.372</v>
      </c>
      <c r="L37" s="4">
        <v>1.2</v>
      </c>
      <c r="M37" s="4">
        <v>4.0999999999999996</v>
      </c>
      <c r="N37" s="4">
        <v>0.28000000000000003</v>
      </c>
      <c r="O37" s="4">
        <v>1.8</v>
      </c>
      <c r="P37" s="4">
        <v>3.8</v>
      </c>
      <c r="Q37" s="4">
        <v>0.47299999999999998</v>
      </c>
      <c r="R37" s="4">
        <v>1.3</v>
      </c>
      <c r="S37" s="4">
        <v>1.4</v>
      </c>
      <c r="T37" s="4">
        <v>0.92900000000000005</v>
      </c>
      <c r="U37" s="4">
        <v>0.7</v>
      </c>
      <c r="V37" s="4">
        <v>2.9</v>
      </c>
      <c r="W37" s="4">
        <v>2.9</v>
      </c>
      <c r="X37" s="4">
        <v>1.7</v>
      </c>
      <c r="Y37" s="4">
        <v>0.4</v>
      </c>
      <c r="Z37" s="4">
        <v>1.5</v>
      </c>
      <c r="AA37" s="4">
        <v>3.1</v>
      </c>
      <c r="AB37" s="4">
        <v>8.4</v>
      </c>
      <c r="AC37" s="10">
        <f t="shared" si="0"/>
        <v>0.8386581469648563</v>
      </c>
      <c r="AD37" s="10">
        <f t="shared" si="1"/>
        <v>0.12903225806451613</v>
      </c>
      <c r="AE37" s="12">
        <f>100*(AC37/TOTAL_BASIC!$D$302)</f>
        <v>87.23886820148789</v>
      </c>
      <c r="AF37" s="9"/>
      <c r="AG37" s="9"/>
      <c r="AH37" s="12">
        <f t="shared" si="2"/>
        <v>49.1</v>
      </c>
      <c r="AI37" s="12">
        <f t="shared" si="3"/>
        <v>22</v>
      </c>
      <c r="AJ37" s="12">
        <f t="shared" si="4"/>
        <v>55.2</v>
      </c>
      <c r="AK37" s="12">
        <f t="shared" si="5"/>
        <v>75.099999999999994</v>
      </c>
      <c r="AL37" s="12">
        <f t="shared" si="6"/>
        <v>95</v>
      </c>
    </row>
    <row r="38" spans="1:38" ht="15.75" customHeight="1">
      <c r="A38" s="1" t="s">
        <v>111</v>
      </c>
      <c r="B38" s="7" t="s">
        <v>240</v>
      </c>
      <c r="C38" s="4" t="s">
        <v>112</v>
      </c>
      <c r="D38" s="4">
        <v>39</v>
      </c>
      <c r="E38" s="4">
        <v>1049</v>
      </c>
      <c r="F38" s="4">
        <v>39</v>
      </c>
      <c r="G38" s="4">
        <v>26</v>
      </c>
      <c r="H38" s="4">
        <v>26.9</v>
      </c>
      <c r="I38" s="4">
        <v>3.4</v>
      </c>
      <c r="J38" s="4">
        <v>8.6999999999999993</v>
      </c>
      <c r="K38" s="4">
        <v>0.39600000000000002</v>
      </c>
      <c r="L38" s="4">
        <v>1.2</v>
      </c>
      <c r="M38" s="4">
        <v>4.4000000000000004</v>
      </c>
      <c r="N38" s="4">
        <v>0.26200000000000001</v>
      </c>
      <c r="O38" s="4">
        <v>2.2999999999999998</v>
      </c>
      <c r="P38" s="4">
        <v>4.3</v>
      </c>
      <c r="Q38" s="4">
        <v>0.53600000000000003</v>
      </c>
      <c r="R38" s="4">
        <v>2.2999999999999998</v>
      </c>
      <c r="S38" s="4">
        <v>2.7</v>
      </c>
      <c r="T38" s="4">
        <v>0.84799999999999998</v>
      </c>
      <c r="U38" s="4">
        <v>0.8</v>
      </c>
      <c r="V38" s="4">
        <v>6</v>
      </c>
      <c r="W38" s="4">
        <v>1.5</v>
      </c>
      <c r="X38" s="4">
        <v>1.1000000000000001</v>
      </c>
      <c r="Y38" s="4">
        <v>0.7</v>
      </c>
      <c r="Z38" s="4">
        <v>0.8</v>
      </c>
      <c r="AA38" s="4">
        <v>1.6</v>
      </c>
      <c r="AB38" s="4">
        <v>10.3</v>
      </c>
      <c r="AC38" s="10">
        <f t="shared" si="0"/>
        <v>0.96369760479041922</v>
      </c>
      <c r="AD38" s="10">
        <f t="shared" si="1"/>
        <v>0.43749999999999994</v>
      </c>
      <c r="AE38" s="12">
        <f>100*(AC38/TOTAL_BASIC!$D$302)</f>
        <v>100.24571827586854</v>
      </c>
      <c r="AF38" s="9"/>
      <c r="AG38" s="9"/>
      <c r="AH38" s="12">
        <f t="shared" si="2"/>
        <v>88.3</v>
      </c>
      <c r="AI38" s="12">
        <f t="shared" si="3"/>
        <v>55.800000000000004</v>
      </c>
      <c r="AJ38" s="12">
        <f t="shared" si="4"/>
        <v>66.2</v>
      </c>
      <c r="AK38" s="12">
        <f t="shared" si="5"/>
        <v>74</v>
      </c>
      <c r="AL38" s="12">
        <f t="shared" si="6"/>
        <v>69.599999999999994</v>
      </c>
    </row>
    <row r="39" spans="1:38" ht="15.75" customHeight="1">
      <c r="A39" s="1" t="s">
        <v>148</v>
      </c>
      <c r="B39" s="7" t="s">
        <v>232</v>
      </c>
      <c r="C39" s="4" t="s">
        <v>85</v>
      </c>
      <c r="D39" s="4">
        <v>42</v>
      </c>
      <c r="E39" s="4">
        <v>1030</v>
      </c>
      <c r="F39" s="4">
        <v>42</v>
      </c>
      <c r="G39" s="4">
        <v>42</v>
      </c>
      <c r="H39" s="4">
        <v>24.5</v>
      </c>
      <c r="I39" s="4">
        <v>3.9</v>
      </c>
      <c r="J39" s="4">
        <v>8.1999999999999993</v>
      </c>
      <c r="K39" s="4">
        <v>0.47199999999999998</v>
      </c>
      <c r="L39" s="4">
        <v>1.3</v>
      </c>
      <c r="M39" s="4">
        <v>3.5</v>
      </c>
      <c r="N39" s="4">
        <v>0.372</v>
      </c>
      <c r="O39" s="4">
        <v>2.6</v>
      </c>
      <c r="P39" s="4">
        <v>4.7</v>
      </c>
      <c r="Q39" s="4">
        <v>0.54500000000000004</v>
      </c>
      <c r="R39" s="4">
        <v>1.1000000000000001</v>
      </c>
      <c r="S39" s="4">
        <v>1.6</v>
      </c>
      <c r="T39" s="4">
        <v>0.69099999999999995</v>
      </c>
      <c r="U39" s="4">
        <v>1.3</v>
      </c>
      <c r="V39" s="4">
        <v>5.7</v>
      </c>
      <c r="W39" s="4">
        <v>2.1</v>
      </c>
      <c r="X39" s="4">
        <v>1.5</v>
      </c>
      <c r="Y39" s="4">
        <v>1.5</v>
      </c>
      <c r="Z39" s="4">
        <v>1.9</v>
      </c>
      <c r="AA39" s="4">
        <v>3.1</v>
      </c>
      <c r="AB39" s="4">
        <v>10.1</v>
      </c>
      <c r="AC39" s="10">
        <f t="shared" si="0"/>
        <v>0.93483894853757865</v>
      </c>
      <c r="AD39" s="10">
        <f t="shared" si="1"/>
        <v>0.48387096774193544</v>
      </c>
      <c r="AE39" s="12">
        <f>100*(AC39/TOTAL_BASIC!$D$302)</f>
        <v>97.243784152382233</v>
      </c>
      <c r="AF39" s="9"/>
      <c r="AG39" s="9"/>
      <c r="AH39" s="12">
        <f t="shared" si="2"/>
        <v>90</v>
      </c>
      <c r="AI39" s="12">
        <f t="shared" si="3"/>
        <v>50.2</v>
      </c>
      <c r="AJ39" s="12">
        <f t="shared" si="4"/>
        <v>64.600000000000009</v>
      </c>
      <c r="AK39" s="12">
        <f t="shared" si="5"/>
        <v>66.2</v>
      </c>
      <c r="AL39" s="12">
        <f t="shared" si="6"/>
        <v>20.399999999999999</v>
      </c>
    </row>
    <row r="40" spans="1:38" ht="15.75" customHeight="1">
      <c r="A40" s="1" t="s">
        <v>219</v>
      </c>
      <c r="B40" s="7" t="s">
        <v>161</v>
      </c>
      <c r="C40" s="4" t="s">
        <v>85</v>
      </c>
      <c r="D40" s="4">
        <v>41</v>
      </c>
      <c r="E40" s="4">
        <v>1028</v>
      </c>
      <c r="F40" s="4">
        <v>41</v>
      </c>
      <c r="G40" s="4">
        <v>33</v>
      </c>
      <c r="H40" s="4">
        <v>25.1</v>
      </c>
      <c r="I40" s="4">
        <v>3.7</v>
      </c>
      <c r="J40" s="4">
        <v>8</v>
      </c>
      <c r="K40" s="4">
        <v>0.46899999999999997</v>
      </c>
      <c r="L40" s="4">
        <v>1</v>
      </c>
      <c r="M40" s="4">
        <v>3.1</v>
      </c>
      <c r="N40" s="4">
        <v>0.318</v>
      </c>
      <c r="O40" s="4">
        <v>2.7</v>
      </c>
      <c r="P40" s="4">
        <v>4.8</v>
      </c>
      <c r="Q40" s="4">
        <v>0.56899999999999995</v>
      </c>
      <c r="R40" s="4">
        <v>2.1</v>
      </c>
      <c r="S40" s="4">
        <v>2.6</v>
      </c>
      <c r="T40" s="4">
        <v>0.79400000000000004</v>
      </c>
      <c r="U40" s="4">
        <v>1.1000000000000001</v>
      </c>
      <c r="V40" s="4">
        <v>4.2</v>
      </c>
      <c r="W40" s="4">
        <v>1.7</v>
      </c>
      <c r="X40" s="4">
        <v>1.2</v>
      </c>
      <c r="Y40" s="4">
        <v>0.2</v>
      </c>
      <c r="Z40" s="4">
        <v>2</v>
      </c>
      <c r="AA40" s="4">
        <v>3.3</v>
      </c>
      <c r="AB40" s="4">
        <v>10.5</v>
      </c>
      <c r="AC40" s="10">
        <f t="shared" si="0"/>
        <v>0.94221105527638194</v>
      </c>
      <c r="AD40" s="10">
        <f t="shared" si="1"/>
        <v>6.0606060606060615E-2</v>
      </c>
      <c r="AE40" s="12">
        <f>100*(AC40/TOTAL_BASIC!$D$302)</f>
        <v>98.010645179704625</v>
      </c>
      <c r="AF40" s="9"/>
      <c r="AG40" s="9"/>
      <c r="AH40" s="12">
        <f t="shared" si="2"/>
        <v>20.399999999999999</v>
      </c>
      <c r="AI40" s="12">
        <f t="shared" si="3"/>
        <v>51.9</v>
      </c>
      <c r="AJ40" s="12">
        <f t="shared" si="4"/>
        <v>67.900000000000006</v>
      </c>
      <c r="AK40" s="12">
        <f t="shared" si="5"/>
        <v>68.5</v>
      </c>
      <c r="AL40" s="12">
        <f t="shared" si="6"/>
        <v>48.6</v>
      </c>
    </row>
    <row r="41" spans="1:38" ht="15.75" customHeight="1">
      <c r="A41" s="1" t="s">
        <v>182</v>
      </c>
      <c r="B41" s="7" t="s">
        <v>157</v>
      </c>
      <c r="C41" s="4" t="s">
        <v>183</v>
      </c>
      <c r="D41" s="4">
        <v>37</v>
      </c>
      <c r="E41" s="4">
        <v>1021</v>
      </c>
      <c r="F41" s="4">
        <v>37</v>
      </c>
      <c r="G41" s="4">
        <v>37</v>
      </c>
      <c r="H41" s="4">
        <v>27.6</v>
      </c>
      <c r="I41" s="4">
        <v>6.4</v>
      </c>
      <c r="J41" s="4">
        <v>12.1</v>
      </c>
      <c r="K41" s="4">
        <v>0.52700000000000002</v>
      </c>
      <c r="L41" s="4">
        <v>1.1000000000000001</v>
      </c>
      <c r="M41" s="4">
        <v>2.7</v>
      </c>
      <c r="N41" s="4">
        <v>0.42</v>
      </c>
      <c r="O41" s="4">
        <v>5.2</v>
      </c>
      <c r="P41" s="4">
        <v>9.4</v>
      </c>
      <c r="Q41" s="4">
        <v>0.55800000000000005</v>
      </c>
      <c r="R41" s="4">
        <v>2.8</v>
      </c>
      <c r="S41" s="4">
        <v>3.4</v>
      </c>
      <c r="T41" s="4">
        <v>0.82699999999999996</v>
      </c>
      <c r="U41" s="4">
        <v>1.7</v>
      </c>
      <c r="V41" s="4">
        <v>8.1999999999999993</v>
      </c>
      <c r="W41" s="4">
        <v>3</v>
      </c>
      <c r="X41" s="4">
        <v>1.5</v>
      </c>
      <c r="Y41" s="4">
        <v>1.3</v>
      </c>
      <c r="Z41" s="4">
        <v>2.4</v>
      </c>
      <c r="AA41" s="4">
        <v>3.2</v>
      </c>
      <c r="AB41" s="4">
        <v>16.7</v>
      </c>
      <c r="AC41" s="10">
        <f t="shared" si="0"/>
        <v>1.0440110027506877</v>
      </c>
      <c r="AD41" s="10">
        <f t="shared" si="1"/>
        <v>0.40625</v>
      </c>
      <c r="AE41" s="12">
        <f>100*(AC41/TOTAL_BASIC!$D$302)</f>
        <v>108.60007572750267</v>
      </c>
      <c r="AF41" s="9"/>
      <c r="AG41" s="9"/>
      <c r="AH41" s="12">
        <f t="shared" si="2"/>
        <v>87.2</v>
      </c>
      <c r="AI41" s="12">
        <f t="shared" si="3"/>
        <v>85.6</v>
      </c>
      <c r="AJ41" s="12">
        <f t="shared" si="4"/>
        <v>88.9</v>
      </c>
      <c r="AK41" s="12">
        <f t="shared" si="5"/>
        <v>75.599999999999994</v>
      </c>
      <c r="AL41" s="12">
        <f t="shared" si="6"/>
        <v>60.699999999999996</v>
      </c>
    </row>
    <row r="42" spans="1:38" ht="15.75" customHeight="1">
      <c r="A42" s="1" t="s">
        <v>125</v>
      </c>
      <c r="B42" s="7" t="s">
        <v>117</v>
      </c>
      <c r="C42" s="4" t="s">
        <v>8</v>
      </c>
      <c r="D42" s="4">
        <v>39</v>
      </c>
      <c r="E42" s="4">
        <v>1020</v>
      </c>
      <c r="F42" s="4">
        <v>39</v>
      </c>
      <c r="G42" s="4">
        <v>3</v>
      </c>
      <c r="H42" s="4">
        <v>26.2</v>
      </c>
      <c r="I42" s="4">
        <v>2.5</v>
      </c>
      <c r="J42" s="4">
        <v>7.1</v>
      </c>
      <c r="K42" s="4">
        <v>0.35399999999999998</v>
      </c>
      <c r="L42" s="4">
        <v>1.6</v>
      </c>
      <c r="M42" s="4">
        <v>5.0999999999999996</v>
      </c>
      <c r="N42" s="4">
        <v>0.32300000000000001</v>
      </c>
      <c r="O42" s="4">
        <v>0.9</v>
      </c>
      <c r="P42" s="4">
        <v>2</v>
      </c>
      <c r="Q42" s="4">
        <v>0.43</v>
      </c>
      <c r="R42" s="4">
        <v>1</v>
      </c>
      <c r="S42" s="4">
        <v>1.3</v>
      </c>
      <c r="T42" s="4">
        <v>0.81599999999999995</v>
      </c>
      <c r="U42" s="4">
        <v>0.5</v>
      </c>
      <c r="V42" s="4">
        <v>2.2999999999999998</v>
      </c>
      <c r="W42" s="4">
        <v>1.5</v>
      </c>
      <c r="X42" s="4">
        <v>1.1000000000000001</v>
      </c>
      <c r="Y42" s="4">
        <v>0.1</v>
      </c>
      <c r="Z42" s="4">
        <v>0.9</v>
      </c>
      <c r="AA42" s="4">
        <v>2.2000000000000002</v>
      </c>
      <c r="AB42" s="4">
        <v>7.7</v>
      </c>
      <c r="AC42" s="10">
        <f t="shared" si="0"/>
        <v>0.89827344843677104</v>
      </c>
      <c r="AD42" s="10">
        <f t="shared" si="1"/>
        <v>4.5454545454545456E-2</v>
      </c>
      <c r="AE42" s="12">
        <f>100*(AC42/TOTAL_BASIC!$D$302)</f>
        <v>93.44016898980334</v>
      </c>
      <c r="AF42" s="9"/>
      <c r="AG42" s="9"/>
      <c r="AH42" s="12">
        <f t="shared" si="2"/>
        <v>14.299999999999999</v>
      </c>
      <c r="AI42" s="12">
        <f t="shared" si="3"/>
        <v>40.300000000000004</v>
      </c>
      <c r="AJ42" s="12">
        <f t="shared" si="4"/>
        <v>52.400000000000006</v>
      </c>
      <c r="AK42" s="12">
        <f t="shared" si="5"/>
        <v>71.2</v>
      </c>
      <c r="AL42" s="12">
        <f t="shared" si="6"/>
        <v>56.3</v>
      </c>
    </row>
    <row r="43" spans="1:38" ht="15.75" customHeight="1">
      <c r="A43" s="1" t="s">
        <v>105</v>
      </c>
      <c r="B43" s="7" t="s">
        <v>91</v>
      </c>
      <c r="C43" s="4" t="s">
        <v>85</v>
      </c>
      <c r="D43" s="4">
        <v>41</v>
      </c>
      <c r="E43" s="4">
        <v>988</v>
      </c>
      <c r="F43" s="4">
        <v>41</v>
      </c>
      <c r="G43" s="4">
        <v>41</v>
      </c>
      <c r="H43" s="4">
        <v>24.1</v>
      </c>
      <c r="I43" s="4">
        <v>2.6</v>
      </c>
      <c r="J43" s="4">
        <v>7</v>
      </c>
      <c r="K43" s="4">
        <v>0.36799999999999999</v>
      </c>
      <c r="L43" s="4">
        <v>1.6</v>
      </c>
      <c r="M43" s="4">
        <v>4.4000000000000004</v>
      </c>
      <c r="N43" s="4">
        <v>0.35799999999999998</v>
      </c>
      <c r="O43" s="4">
        <v>1</v>
      </c>
      <c r="P43" s="4">
        <v>2.6</v>
      </c>
      <c r="Q43" s="4">
        <v>0.38700000000000001</v>
      </c>
      <c r="R43" s="4">
        <v>1.3</v>
      </c>
      <c r="S43" s="4">
        <v>1.4</v>
      </c>
      <c r="T43" s="4">
        <v>0.91200000000000003</v>
      </c>
      <c r="U43" s="4">
        <v>1.3</v>
      </c>
      <c r="V43" s="4">
        <v>4.5</v>
      </c>
      <c r="W43" s="4">
        <v>0.7</v>
      </c>
      <c r="X43" s="4">
        <v>0.6</v>
      </c>
      <c r="Y43" s="4">
        <v>0.2</v>
      </c>
      <c r="Z43" s="4">
        <v>0.6</v>
      </c>
      <c r="AA43" s="4">
        <v>1.9</v>
      </c>
      <c r="AB43" s="4">
        <v>8</v>
      </c>
      <c r="AC43" s="10">
        <f t="shared" si="0"/>
        <v>0.97370983446932824</v>
      </c>
      <c r="AD43" s="10">
        <f t="shared" si="1"/>
        <v>0.10526315789473685</v>
      </c>
      <c r="AE43" s="12">
        <f>100*(AC43/TOTAL_BASIC!$D$302)</f>
        <v>101.28721007860419</v>
      </c>
      <c r="AF43" s="9"/>
      <c r="AG43" s="9"/>
      <c r="AH43" s="12">
        <f t="shared" si="2"/>
        <v>37</v>
      </c>
      <c r="AI43" s="12">
        <f t="shared" si="3"/>
        <v>61.3</v>
      </c>
      <c r="AJ43" s="12">
        <f t="shared" si="4"/>
        <v>53.5</v>
      </c>
      <c r="AK43" s="12">
        <f t="shared" si="5"/>
        <v>65.100000000000009</v>
      </c>
      <c r="AL43" s="12">
        <f t="shared" si="6"/>
        <v>92.800000000000011</v>
      </c>
    </row>
    <row r="44" spans="1:38" ht="15.75" customHeight="1">
      <c r="A44" s="1" t="s">
        <v>145</v>
      </c>
      <c r="B44" s="7" t="s">
        <v>114</v>
      </c>
      <c r="C44" s="4" t="s">
        <v>8</v>
      </c>
      <c r="D44" s="4">
        <v>39</v>
      </c>
      <c r="E44" s="4">
        <v>978</v>
      </c>
      <c r="F44" s="4">
        <v>39</v>
      </c>
      <c r="G44" s="4">
        <v>31</v>
      </c>
      <c r="H44" s="4">
        <v>25.1</v>
      </c>
      <c r="I44" s="4">
        <v>3.2</v>
      </c>
      <c r="J44" s="4">
        <v>7.1</v>
      </c>
      <c r="K44" s="4">
        <v>0.442</v>
      </c>
      <c r="L44" s="4">
        <v>0.8</v>
      </c>
      <c r="M44" s="4">
        <v>2.6</v>
      </c>
      <c r="N44" s="4">
        <v>0.30399999999999999</v>
      </c>
      <c r="O44" s="4">
        <v>2.4</v>
      </c>
      <c r="P44" s="4">
        <v>4.5</v>
      </c>
      <c r="Q44" s="4">
        <v>0.52300000000000002</v>
      </c>
      <c r="R44" s="4">
        <v>2.4</v>
      </c>
      <c r="S44" s="4">
        <v>3.1</v>
      </c>
      <c r="T44" s="4">
        <v>0.77900000000000003</v>
      </c>
      <c r="U44" s="4">
        <v>0.4</v>
      </c>
      <c r="V44" s="4">
        <v>2.2000000000000002</v>
      </c>
      <c r="W44" s="4">
        <v>3.9</v>
      </c>
      <c r="X44" s="4">
        <v>0.9</v>
      </c>
      <c r="Y44" s="4">
        <v>0.2</v>
      </c>
      <c r="Z44" s="4">
        <v>1.8</v>
      </c>
      <c r="AA44" s="4">
        <v>3</v>
      </c>
      <c r="AB44" s="4">
        <v>9.5</v>
      </c>
      <c r="AC44" s="10">
        <f t="shared" si="0"/>
        <v>0.92556508183943875</v>
      </c>
      <c r="AD44" s="10">
        <f t="shared" si="1"/>
        <v>6.6666666666666666E-2</v>
      </c>
      <c r="AE44" s="12">
        <f>100*(AC44/TOTAL_BASIC!$D$302)</f>
        <v>96.279098317605389</v>
      </c>
      <c r="AF44" s="9"/>
      <c r="AG44" s="9"/>
      <c r="AH44" s="12">
        <f t="shared" si="2"/>
        <v>22.6</v>
      </c>
      <c r="AI44" s="12">
        <f t="shared" si="3"/>
        <v>47.5</v>
      </c>
      <c r="AJ44" s="12">
        <f t="shared" si="4"/>
        <v>62.4</v>
      </c>
      <c r="AK44" s="12">
        <f t="shared" si="5"/>
        <v>68.5</v>
      </c>
      <c r="AL44" s="12">
        <f t="shared" si="6"/>
        <v>44.1</v>
      </c>
    </row>
    <row r="45" spans="1:38" ht="15.75" customHeight="1">
      <c r="A45" s="1" t="s">
        <v>170</v>
      </c>
      <c r="B45" s="7" t="s">
        <v>107</v>
      </c>
      <c r="C45" s="4" t="s">
        <v>8</v>
      </c>
      <c r="D45" s="4">
        <v>41</v>
      </c>
      <c r="E45" s="4">
        <v>968</v>
      </c>
      <c r="F45" s="4">
        <v>41</v>
      </c>
      <c r="G45" s="4">
        <v>29</v>
      </c>
      <c r="H45" s="4">
        <v>23.6</v>
      </c>
      <c r="I45" s="4">
        <v>2.5</v>
      </c>
      <c r="J45" s="4">
        <v>6.8</v>
      </c>
      <c r="K45" s="4">
        <v>0.374</v>
      </c>
      <c r="L45" s="4">
        <v>1</v>
      </c>
      <c r="M45" s="4">
        <v>3</v>
      </c>
      <c r="N45" s="4">
        <v>0.33100000000000002</v>
      </c>
      <c r="O45" s="4">
        <v>1.6</v>
      </c>
      <c r="P45" s="4">
        <v>3.8</v>
      </c>
      <c r="Q45" s="4">
        <v>0.40799999999999997</v>
      </c>
      <c r="R45" s="4">
        <v>1.1000000000000001</v>
      </c>
      <c r="S45" s="4">
        <v>1.4</v>
      </c>
      <c r="T45" s="4">
        <v>0.77600000000000002</v>
      </c>
      <c r="U45" s="4">
        <v>0.3</v>
      </c>
      <c r="V45" s="4">
        <v>2.4</v>
      </c>
      <c r="W45" s="4">
        <v>3.6</v>
      </c>
      <c r="X45" s="4">
        <v>0.8</v>
      </c>
      <c r="Y45" s="4">
        <v>0.2</v>
      </c>
      <c r="Z45" s="4">
        <v>1.8</v>
      </c>
      <c r="AA45" s="4">
        <v>2.2999999999999998</v>
      </c>
      <c r="AB45" s="4">
        <v>7.1</v>
      </c>
      <c r="AC45" s="10">
        <f t="shared" si="0"/>
        <v>0.77039930555555558</v>
      </c>
      <c r="AD45" s="10">
        <f t="shared" si="1"/>
        <v>8.6956521739130446E-2</v>
      </c>
      <c r="AE45" s="12">
        <f>100*(AC45/TOTAL_BASIC!$D$302)</f>
        <v>80.138449406484185</v>
      </c>
      <c r="AF45" s="9"/>
      <c r="AG45" s="9"/>
      <c r="AH45" s="12">
        <f t="shared" si="2"/>
        <v>30.9</v>
      </c>
      <c r="AI45" s="12">
        <f t="shared" si="3"/>
        <v>8.2000000000000011</v>
      </c>
      <c r="AJ45" s="12">
        <f t="shared" si="4"/>
        <v>50.8</v>
      </c>
      <c r="AK45" s="12">
        <f t="shared" si="5"/>
        <v>62.4</v>
      </c>
      <c r="AL45" s="12">
        <f t="shared" si="6"/>
        <v>42.5</v>
      </c>
    </row>
    <row r="46" spans="1:38" ht="15.75" customHeight="1">
      <c r="A46" s="1" t="s">
        <v>89</v>
      </c>
      <c r="B46" s="7" t="s">
        <v>84</v>
      </c>
      <c r="C46" s="4" t="s">
        <v>8</v>
      </c>
      <c r="D46" s="4">
        <v>41</v>
      </c>
      <c r="E46" s="4">
        <v>960</v>
      </c>
      <c r="F46" s="4">
        <v>41</v>
      </c>
      <c r="G46" s="4">
        <v>36</v>
      </c>
      <c r="H46" s="4">
        <v>23.4</v>
      </c>
      <c r="I46" s="4">
        <v>3.4</v>
      </c>
      <c r="J46" s="4">
        <v>6.3</v>
      </c>
      <c r="K46" s="4">
        <v>0.54700000000000004</v>
      </c>
      <c r="L46" s="4">
        <v>0.4</v>
      </c>
      <c r="M46" s="4">
        <v>1.2</v>
      </c>
      <c r="N46" s="4">
        <v>0.34</v>
      </c>
      <c r="O46" s="4">
        <v>3</v>
      </c>
      <c r="P46" s="4">
        <v>5.0999999999999996</v>
      </c>
      <c r="Q46" s="4">
        <v>0.59599999999999997</v>
      </c>
      <c r="R46" s="4">
        <v>2</v>
      </c>
      <c r="S46" s="4">
        <v>2.2000000000000002</v>
      </c>
      <c r="T46" s="4">
        <v>0.88</v>
      </c>
      <c r="U46" s="4">
        <v>0.6</v>
      </c>
      <c r="V46" s="4">
        <v>2.5</v>
      </c>
      <c r="W46" s="4">
        <v>3.4</v>
      </c>
      <c r="X46" s="4">
        <v>0.8</v>
      </c>
      <c r="Y46" s="4">
        <v>0.1</v>
      </c>
      <c r="Z46" s="4">
        <v>1.7</v>
      </c>
      <c r="AA46" s="4">
        <v>3</v>
      </c>
      <c r="AB46" s="4">
        <v>9.3000000000000007</v>
      </c>
      <c r="AC46" s="10">
        <f t="shared" si="0"/>
        <v>1.037020517395183</v>
      </c>
      <c r="AD46" s="10">
        <f t="shared" si="1"/>
        <v>3.3333333333333333E-2</v>
      </c>
      <c r="AE46" s="12">
        <f>100*(AC46/TOTAL_BASIC!$D$302)</f>
        <v>107.87291170626187</v>
      </c>
      <c r="AF46" s="9"/>
      <c r="AG46" s="9"/>
      <c r="AH46" s="12">
        <f t="shared" si="2"/>
        <v>10.4</v>
      </c>
      <c r="AI46" s="12">
        <f t="shared" si="3"/>
        <v>83.399999999999991</v>
      </c>
      <c r="AJ46" s="12">
        <f t="shared" si="4"/>
        <v>61.3</v>
      </c>
      <c r="AK46" s="12">
        <f t="shared" si="5"/>
        <v>61.8</v>
      </c>
      <c r="AL46" s="12">
        <f t="shared" si="6"/>
        <v>85</v>
      </c>
    </row>
    <row r="47" spans="1:38" ht="15.75" customHeight="1">
      <c r="A47" s="1" t="s">
        <v>175</v>
      </c>
      <c r="B47" s="7" t="s">
        <v>232</v>
      </c>
      <c r="C47" s="4" t="s">
        <v>8</v>
      </c>
      <c r="D47" s="4">
        <v>37</v>
      </c>
      <c r="E47" s="4">
        <v>960</v>
      </c>
      <c r="F47" s="4">
        <v>37</v>
      </c>
      <c r="G47" s="4">
        <v>36</v>
      </c>
      <c r="H47" s="4">
        <v>25.9</v>
      </c>
      <c r="I47" s="4">
        <v>4.8</v>
      </c>
      <c r="J47" s="4">
        <v>10.4</v>
      </c>
      <c r="K47" s="4">
        <v>0.45700000000000002</v>
      </c>
      <c r="L47" s="4">
        <v>0.9</v>
      </c>
      <c r="M47" s="4">
        <v>2.4</v>
      </c>
      <c r="N47" s="4">
        <v>0.39800000000000002</v>
      </c>
      <c r="O47" s="4">
        <v>3.8</v>
      </c>
      <c r="P47" s="4">
        <v>8</v>
      </c>
      <c r="Q47" s="4">
        <v>0.47499999999999998</v>
      </c>
      <c r="R47" s="4">
        <v>5.4</v>
      </c>
      <c r="S47" s="4">
        <v>6.2</v>
      </c>
      <c r="T47" s="4">
        <v>0.86799999999999999</v>
      </c>
      <c r="U47" s="4">
        <v>0.6</v>
      </c>
      <c r="V47" s="4">
        <v>2.1</v>
      </c>
      <c r="W47" s="4">
        <v>6.3</v>
      </c>
      <c r="X47" s="4">
        <v>0.7</v>
      </c>
      <c r="Y47" s="4">
        <v>0.1</v>
      </c>
      <c r="Z47" s="4">
        <v>3.3</v>
      </c>
      <c r="AA47" s="4">
        <v>2.6</v>
      </c>
      <c r="AB47" s="4">
        <v>15.8</v>
      </c>
      <c r="AC47" s="10">
        <f t="shared" si="0"/>
        <v>0.96177258339420502</v>
      </c>
      <c r="AD47" s="10">
        <f t="shared" si="1"/>
        <v>3.8461538461538464E-2</v>
      </c>
      <c r="AE47" s="12">
        <f>100*(AC47/TOTAL_BASIC!$D$302)</f>
        <v>100.04547376804716</v>
      </c>
      <c r="AF47" s="9"/>
      <c r="AG47" s="9"/>
      <c r="AH47" s="12">
        <f t="shared" si="2"/>
        <v>12.1</v>
      </c>
      <c r="AI47" s="12">
        <f t="shared" si="3"/>
        <v>54.1</v>
      </c>
      <c r="AJ47" s="12">
        <f t="shared" si="4"/>
        <v>87.8</v>
      </c>
      <c r="AK47" s="12">
        <f t="shared" si="5"/>
        <v>70.7</v>
      </c>
      <c r="AL47" s="12">
        <f t="shared" si="6"/>
        <v>79.5</v>
      </c>
    </row>
    <row r="48" spans="1:38" ht="15.75" customHeight="1">
      <c r="A48" s="1" t="s">
        <v>200</v>
      </c>
      <c r="B48" s="7" t="s">
        <v>99</v>
      </c>
      <c r="C48" s="4" t="s">
        <v>8</v>
      </c>
      <c r="D48" s="4">
        <v>30</v>
      </c>
      <c r="E48" s="4">
        <v>950</v>
      </c>
      <c r="F48" s="4">
        <v>30</v>
      </c>
      <c r="G48" s="4">
        <v>24</v>
      </c>
      <c r="H48" s="4">
        <v>31.7</v>
      </c>
      <c r="I48" s="4">
        <v>5.2</v>
      </c>
      <c r="J48" s="4">
        <v>11.4</v>
      </c>
      <c r="K48" s="4">
        <v>0.45600000000000002</v>
      </c>
      <c r="L48" s="4">
        <v>2.1</v>
      </c>
      <c r="M48" s="4">
        <v>5.2</v>
      </c>
      <c r="N48" s="4">
        <v>0.39700000000000002</v>
      </c>
      <c r="O48" s="4">
        <v>3.1</v>
      </c>
      <c r="P48" s="4">
        <v>6.2</v>
      </c>
      <c r="Q48" s="4">
        <v>0.505</v>
      </c>
      <c r="R48" s="4">
        <v>0.6</v>
      </c>
      <c r="S48" s="4">
        <v>0.8</v>
      </c>
      <c r="T48" s="4">
        <v>0.82599999999999996</v>
      </c>
      <c r="U48" s="4">
        <v>0.5</v>
      </c>
      <c r="V48" s="4">
        <v>1.7</v>
      </c>
      <c r="W48" s="4">
        <v>1.8</v>
      </c>
      <c r="X48" s="4">
        <v>1.7</v>
      </c>
      <c r="Y48" s="4">
        <v>0.8</v>
      </c>
      <c r="Z48" s="4">
        <v>1.1000000000000001</v>
      </c>
      <c r="AA48" s="4">
        <v>2.2999999999999998</v>
      </c>
      <c r="AB48" s="4">
        <v>13.1</v>
      </c>
      <c r="AC48" s="10">
        <f t="shared" si="0"/>
        <v>1.0192966075319017</v>
      </c>
      <c r="AD48" s="10">
        <f t="shared" si="1"/>
        <v>0.34782608695652178</v>
      </c>
      <c r="AE48" s="12">
        <f>100*(AC48/TOTAL_BASIC!$D$302)</f>
        <v>106.0292357792186</v>
      </c>
      <c r="AF48" s="9"/>
      <c r="AG48" s="9"/>
      <c r="AH48" s="12">
        <f t="shared" si="2"/>
        <v>82.3</v>
      </c>
      <c r="AI48" s="12">
        <f t="shared" si="3"/>
        <v>75.599999999999994</v>
      </c>
      <c r="AJ48" s="12">
        <f t="shared" si="4"/>
        <v>76.7</v>
      </c>
      <c r="AK48" s="12">
        <f t="shared" si="5"/>
        <v>92.800000000000011</v>
      </c>
      <c r="AL48" s="12">
        <f t="shared" si="6"/>
        <v>60.199999999999996</v>
      </c>
    </row>
    <row r="49" spans="1:38" ht="15.75" customHeight="1">
      <c r="A49" s="1" t="s">
        <v>165</v>
      </c>
      <c r="B49" s="7" t="s">
        <v>161</v>
      </c>
      <c r="C49" s="4" t="s">
        <v>8</v>
      </c>
      <c r="D49" s="4">
        <v>32</v>
      </c>
      <c r="E49" s="4">
        <v>944</v>
      </c>
      <c r="F49" s="4">
        <v>32</v>
      </c>
      <c r="G49" s="4">
        <v>32</v>
      </c>
      <c r="H49" s="4">
        <v>29.5</v>
      </c>
      <c r="I49" s="4">
        <v>6.8</v>
      </c>
      <c r="J49" s="4">
        <v>15.4</v>
      </c>
      <c r="K49" s="4">
        <v>0.441</v>
      </c>
      <c r="L49" s="4">
        <v>3.3</v>
      </c>
      <c r="M49" s="4">
        <v>8.5</v>
      </c>
      <c r="N49" s="4">
        <v>0.38500000000000001</v>
      </c>
      <c r="O49" s="4">
        <v>3.5</v>
      </c>
      <c r="P49" s="4">
        <v>6.9</v>
      </c>
      <c r="Q49" s="4">
        <v>0.51100000000000001</v>
      </c>
      <c r="R49" s="4">
        <v>3.9</v>
      </c>
      <c r="S49" s="4">
        <v>4.5</v>
      </c>
      <c r="T49" s="4">
        <v>0.88100000000000001</v>
      </c>
      <c r="U49" s="4">
        <v>0.5</v>
      </c>
      <c r="V49" s="4">
        <v>3.3</v>
      </c>
      <c r="W49" s="4">
        <v>3.7</v>
      </c>
      <c r="X49" s="4">
        <v>0.9</v>
      </c>
      <c r="Y49" s="4">
        <v>0.4</v>
      </c>
      <c r="Z49" s="4">
        <v>3.1</v>
      </c>
      <c r="AA49" s="4">
        <v>2.6</v>
      </c>
      <c r="AB49" s="4">
        <v>20.8</v>
      </c>
      <c r="AC49" s="10">
        <f t="shared" si="0"/>
        <v>1.015625</v>
      </c>
      <c r="AD49" s="10">
        <f t="shared" si="1"/>
        <v>0.15384615384615385</v>
      </c>
      <c r="AE49" s="12">
        <f>100*(AC49/TOTAL_BASIC!$D$302)</f>
        <v>105.6473079499566</v>
      </c>
      <c r="AF49" s="9"/>
      <c r="AG49" s="9"/>
      <c r="AH49" s="12">
        <f t="shared" si="2"/>
        <v>53.5</v>
      </c>
      <c r="AI49" s="12">
        <f t="shared" si="3"/>
        <v>75.099999999999994</v>
      </c>
      <c r="AJ49" s="12">
        <f t="shared" si="4"/>
        <v>97.2</v>
      </c>
      <c r="AK49" s="12">
        <f t="shared" si="5"/>
        <v>83.899999999999991</v>
      </c>
      <c r="AL49" s="12">
        <f t="shared" si="6"/>
        <v>86.1</v>
      </c>
    </row>
    <row r="50" spans="1:38" ht="15.75" customHeight="1">
      <c r="A50" s="1" t="s">
        <v>194</v>
      </c>
      <c r="B50" s="7" t="s">
        <v>140</v>
      </c>
      <c r="C50" s="4" t="s">
        <v>8</v>
      </c>
      <c r="D50" s="4">
        <v>41</v>
      </c>
      <c r="E50" s="4">
        <v>943</v>
      </c>
      <c r="F50" s="4">
        <v>41</v>
      </c>
      <c r="G50" s="4">
        <v>41</v>
      </c>
      <c r="H50" s="4">
        <v>23</v>
      </c>
      <c r="I50" s="4">
        <v>2.2000000000000002</v>
      </c>
      <c r="J50" s="4">
        <v>6.1</v>
      </c>
      <c r="K50" s="4">
        <v>0.36099999999999999</v>
      </c>
      <c r="L50" s="4">
        <v>1.5</v>
      </c>
      <c r="M50" s="4">
        <v>4.4000000000000004</v>
      </c>
      <c r="N50" s="4">
        <v>0.33500000000000002</v>
      </c>
      <c r="O50" s="4">
        <v>0.7</v>
      </c>
      <c r="P50" s="4">
        <v>1.7</v>
      </c>
      <c r="Q50" s="4">
        <v>0.42899999999999999</v>
      </c>
      <c r="R50" s="4">
        <v>0.9</v>
      </c>
      <c r="S50" s="4">
        <v>1</v>
      </c>
      <c r="T50" s="4">
        <v>0.85399999999999998</v>
      </c>
      <c r="U50" s="4">
        <v>0.3</v>
      </c>
      <c r="V50" s="4">
        <v>1.4</v>
      </c>
      <c r="W50" s="4">
        <v>3.5</v>
      </c>
      <c r="X50" s="4">
        <v>0.3</v>
      </c>
      <c r="Y50" s="4">
        <v>0.1</v>
      </c>
      <c r="Z50" s="4">
        <v>2</v>
      </c>
      <c r="AA50" s="4">
        <v>2.4</v>
      </c>
      <c r="AB50" s="4">
        <v>6.7</v>
      </c>
      <c r="AC50" s="10">
        <f t="shared" si="0"/>
        <v>0.78454332552693218</v>
      </c>
      <c r="AD50" s="10">
        <f t="shared" si="1"/>
        <v>4.1666666666666671E-2</v>
      </c>
      <c r="AE50" s="12">
        <f>100*(AC50/TOTAL_BASIC!$D$302)</f>
        <v>81.609738153380277</v>
      </c>
      <c r="AF50" s="9"/>
      <c r="AG50" s="9"/>
      <c r="AH50" s="12">
        <f t="shared" si="2"/>
        <v>12.7</v>
      </c>
      <c r="AI50" s="12">
        <f t="shared" si="3"/>
        <v>11</v>
      </c>
      <c r="AJ50" s="12">
        <f t="shared" si="4"/>
        <v>48.6</v>
      </c>
      <c r="AK50" s="12">
        <f t="shared" si="5"/>
        <v>60.199999999999996</v>
      </c>
      <c r="AL50" s="12">
        <f t="shared" si="6"/>
        <v>72.3</v>
      </c>
    </row>
    <row r="51" spans="1:38" ht="15.75" customHeight="1">
      <c r="A51" s="1" t="s">
        <v>245</v>
      </c>
      <c r="B51" s="7" t="s">
        <v>114</v>
      </c>
      <c r="C51" s="4" t="s">
        <v>88</v>
      </c>
      <c r="D51" s="4">
        <v>34</v>
      </c>
      <c r="E51" s="4">
        <v>937</v>
      </c>
      <c r="F51" s="4">
        <v>34</v>
      </c>
      <c r="G51" s="4">
        <v>23</v>
      </c>
      <c r="H51" s="4">
        <v>27.6</v>
      </c>
      <c r="I51" s="4">
        <v>3.9</v>
      </c>
      <c r="J51" s="4">
        <v>8.6</v>
      </c>
      <c r="K51" s="4">
        <v>0.44900000000000001</v>
      </c>
      <c r="L51" s="4">
        <v>1.5</v>
      </c>
      <c r="M51" s="4">
        <v>4.0999999999999996</v>
      </c>
      <c r="N51" s="4">
        <v>0.35499999999999998</v>
      </c>
      <c r="O51" s="4">
        <v>2.4</v>
      </c>
      <c r="P51" s="4">
        <v>4.5</v>
      </c>
      <c r="Q51" s="4">
        <v>0.53600000000000003</v>
      </c>
      <c r="R51" s="4">
        <v>0.9</v>
      </c>
      <c r="S51" s="4">
        <v>1.1000000000000001</v>
      </c>
      <c r="T51" s="4">
        <v>0.83299999999999996</v>
      </c>
      <c r="U51" s="4">
        <v>1.9</v>
      </c>
      <c r="V51" s="4">
        <v>5.8</v>
      </c>
      <c r="W51" s="4">
        <v>1.8</v>
      </c>
      <c r="X51" s="4">
        <v>0.9</v>
      </c>
      <c r="Y51" s="4">
        <v>0.8</v>
      </c>
      <c r="Z51" s="4">
        <v>1.6</v>
      </c>
      <c r="AA51" s="4">
        <v>2.6</v>
      </c>
      <c r="AB51" s="4">
        <v>10.1</v>
      </c>
      <c r="AC51" s="10">
        <f t="shared" si="0"/>
        <v>0.94533882441033323</v>
      </c>
      <c r="AD51" s="10">
        <f t="shared" si="1"/>
        <v>0.30769230769230771</v>
      </c>
      <c r="AE51" s="12">
        <f>100*(AC51/TOTAL_BASIC!$D$302)</f>
        <v>98.336001870304912</v>
      </c>
      <c r="AF51" s="9"/>
      <c r="AG51" s="9"/>
      <c r="AH51" s="12">
        <f t="shared" si="2"/>
        <v>80.100000000000009</v>
      </c>
      <c r="AI51" s="12">
        <f t="shared" si="3"/>
        <v>52.400000000000006</v>
      </c>
      <c r="AJ51" s="12">
        <f t="shared" si="4"/>
        <v>64.600000000000009</v>
      </c>
      <c r="AK51" s="12">
        <f t="shared" si="5"/>
        <v>75.599999999999994</v>
      </c>
      <c r="AL51" s="12">
        <f t="shared" si="6"/>
        <v>62.9</v>
      </c>
    </row>
    <row r="52" spans="1:38" ht="15.75" customHeight="1">
      <c r="A52" s="1" t="s">
        <v>278</v>
      </c>
      <c r="B52" s="7" t="s">
        <v>232</v>
      </c>
      <c r="C52" s="4" t="s">
        <v>88</v>
      </c>
      <c r="D52" s="4">
        <v>39</v>
      </c>
      <c r="E52" s="4">
        <v>935</v>
      </c>
      <c r="F52" s="4">
        <v>39</v>
      </c>
      <c r="G52" s="4">
        <v>30</v>
      </c>
      <c r="H52" s="4">
        <v>24</v>
      </c>
      <c r="I52" s="4">
        <v>5.0999999999999996</v>
      </c>
      <c r="J52" s="4">
        <v>9.3000000000000007</v>
      </c>
      <c r="K52" s="4">
        <v>0.55000000000000004</v>
      </c>
      <c r="L52" s="4">
        <v>1.3</v>
      </c>
      <c r="M52" s="4">
        <v>3.7</v>
      </c>
      <c r="N52" s="4">
        <v>0.36399999999999999</v>
      </c>
      <c r="O52" s="4">
        <v>3.8</v>
      </c>
      <c r="P52" s="4">
        <v>5.6</v>
      </c>
      <c r="Q52" s="4">
        <v>0.67100000000000004</v>
      </c>
      <c r="R52" s="4">
        <v>1.6</v>
      </c>
      <c r="S52" s="4">
        <v>1.9</v>
      </c>
      <c r="T52" s="4">
        <v>0.81299999999999994</v>
      </c>
      <c r="U52" s="4">
        <v>1.4</v>
      </c>
      <c r="V52" s="4">
        <v>4.2</v>
      </c>
      <c r="W52" s="4">
        <v>0.9</v>
      </c>
      <c r="X52" s="4">
        <v>0.4</v>
      </c>
      <c r="Y52" s="4">
        <v>0.6</v>
      </c>
      <c r="Z52" s="4">
        <v>0.7</v>
      </c>
      <c r="AA52" s="4">
        <v>2.6</v>
      </c>
      <c r="AB52" s="4">
        <v>13.1</v>
      </c>
      <c r="AC52" s="10">
        <f t="shared" si="0"/>
        <v>1.2089331856773717</v>
      </c>
      <c r="AD52" s="10">
        <f t="shared" si="1"/>
        <v>0.23076923076923075</v>
      </c>
      <c r="AE52" s="12">
        <f>100*(AC52/TOTAL_BASIC!$D$302)</f>
        <v>125.75560522651506</v>
      </c>
      <c r="AF52" s="9"/>
      <c r="AG52" s="9"/>
      <c r="AH52" s="12">
        <f t="shared" si="2"/>
        <v>74</v>
      </c>
      <c r="AI52" s="12">
        <f t="shared" si="3"/>
        <v>100</v>
      </c>
      <c r="AJ52" s="12">
        <f t="shared" si="4"/>
        <v>76.7</v>
      </c>
      <c r="AK52" s="12">
        <f t="shared" si="5"/>
        <v>64.600000000000009</v>
      </c>
      <c r="AL52" s="12">
        <f t="shared" si="6"/>
        <v>54.6</v>
      </c>
    </row>
    <row r="53" spans="1:38" ht="15.75" customHeight="1">
      <c r="A53" s="1" t="s">
        <v>120</v>
      </c>
      <c r="B53" s="7" t="s">
        <v>96</v>
      </c>
      <c r="C53" s="4" t="s">
        <v>85</v>
      </c>
      <c r="D53" s="4">
        <v>41</v>
      </c>
      <c r="E53" s="4">
        <v>932</v>
      </c>
      <c r="F53" s="4">
        <v>41</v>
      </c>
      <c r="G53" s="4">
        <v>28</v>
      </c>
      <c r="H53" s="4">
        <v>22.7</v>
      </c>
      <c r="I53" s="4">
        <v>2.4</v>
      </c>
      <c r="J53" s="4">
        <v>5.4</v>
      </c>
      <c r="K53" s="4">
        <v>0.44500000000000001</v>
      </c>
      <c r="L53" s="4">
        <v>1.2</v>
      </c>
      <c r="M53" s="4">
        <v>3.2</v>
      </c>
      <c r="N53" s="4">
        <v>0.38600000000000001</v>
      </c>
      <c r="O53" s="4">
        <v>1.1000000000000001</v>
      </c>
      <c r="P53" s="4">
        <v>2.1</v>
      </c>
      <c r="Q53" s="4">
        <v>0.53400000000000003</v>
      </c>
      <c r="R53" s="4">
        <v>0.3</v>
      </c>
      <c r="S53" s="4">
        <v>0.5</v>
      </c>
      <c r="T53" s="4">
        <v>0.54500000000000004</v>
      </c>
      <c r="U53" s="4">
        <v>0.9</v>
      </c>
      <c r="V53" s="4">
        <v>4.4000000000000004</v>
      </c>
      <c r="W53" s="4">
        <v>1.8</v>
      </c>
      <c r="X53" s="4">
        <v>1</v>
      </c>
      <c r="Y53" s="4">
        <v>1.1000000000000001</v>
      </c>
      <c r="Z53" s="4">
        <v>0.7</v>
      </c>
      <c r="AA53" s="4">
        <v>2</v>
      </c>
      <c r="AB53" s="4">
        <v>6.3</v>
      </c>
      <c r="AC53" s="10">
        <f t="shared" si="0"/>
        <v>0.99683544303797456</v>
      </c>
      <c r="AD53" s="10">
        <f t="shared" si="1"/>
        <v>0.55000000000000004</v>
      </c>
      <c r="AE53" s="12">
        <f>100*(AC53/TOTAL_BASIC!$D$302)</f>
        <v>103.69278131797101</v>
      </c>
      <c r="AF53" s="9"/>
      <c r="AG53" s="9"/>
      <c r="AH53" s="12">
        <f t="shared" si="2"/>
        <v>93.300000000000011</v>
      </c>
      <c r="AI53" s="12">
        <f t="shared" si="3"/>
        <v>69.599999999999994</v>
      </c>
      <c r="AJ53" s="12">
        <f t="shared" si="4"/>
        <v>41.9</v>
      </c>
      <c r="AK53" s="12">
        <f t="shared" si="5"/>
        <v>59.599999999999994</v>
      </c>
      <c r="AL53" s="12">
        <f t="shared" si="6"/>
        <v>4.3999999999999995</v>
      </c>
    </row>
    <row r="54" spans="1:38" ht="15.75" customHeight="1">
      <c r="A54" s="1" t="s">
        <v>188</v>
      </c>
      <c r="B54" s="7" t="s">
        <v>93</v>
      </c>
      <c r="C54" s="4" t="s">
        <v>112</v>
      </c>
      <c r="D54" s="4">
        <v>40</v>
      </c>
      <c r="E54" s="4">
        <v>929</v>
      </c>
      <c r="F54" s="4">
        <v>40</v>
      </c>
      <c r="G54" s="4">
        <v>30</v>
      </c>
      <c r="H54" s="4">
        <v>23.2</v>
      </c>
      <c r="I54" s="4">
        <v>2.5</v>
      </c>
      <c r="J54" s="4">
        <v>5.4</v>
      </c>
      <c r="K54" s="4">
        <v>0.46300000000000002</v>
      </c>
      <c r="L54" s="4">
        <v>1.1000000000000001</v>
      </c>
      <c r="M54" s="4">
        <v>2.7</v>
      </c>
      <c r="N54" s="4">
        <v>0.39300000000000002</v>
      </c>
      <c r="O54" s="4">
        <v>1.5</v>
      </c>
      <c r="P54" s="4">
        <v>2.7</v>
      </c>
      <c r="Q54" s="4">
        <v>0.53200000000000003</v>
      </c>
      <c r="R54" s="4">
        <v>0.3</v>
      </c>
      <c r="S54" s="4">
        <v>0.5</v>
      </c>
      <c r="T54" s="4">
        <v>0.72199999999999998</v>
      </c>
      <c r="U54" s="4">
        <v>0.4</v>
      </c>
      <c r="V54" s="4">
        <v>2</v>
      </c>
      <c r="W54" s="4">
        <v>1.9</v>
      </c>
      <c r="X54" s="4">
        <v>1.1000000000000001</v>
      </c>
      <c r="Y54" s="4">
        <v>0.2</v>
      </c>
      <c r="Z54" s="4">
        <v>1</v>
      </c>
      <c r="AA54" s="4">
        <v>1.5</v>
      </c>
      <c r="AB54" s="4">
        <v>6.4</v>
      </c>
      <c r="AC54" s="10">
        <f t="shared" si="0"/>
        <v>0.96676737160120851</v>
      </c>
      <c r="AD54" s="10">
        <f t="shared" si="1"/>
        <v>0.13333333333333333</v>
      </c>
      <c r="AE54" s="12">
        <f>100*(AC54/TOTAL_BASIC!$D$302)</f>
        <v>100.56504145085343</v>
      </c>
      <c r="AF54" s="9"/>
      <c r="AG54" s="9"/>
      <c r="AH54" s="12">
        <f t="shared" si="2"/>
        <v>50.2</v>
      </c>
      <c r="AI54" s="12">
        <f t="shared" si="3"/>
        <v>59.099999999999994</v>
      </c>
      <c r="AJ54" s="12">
        <f t="shared" si="4"/>
        <v>45.300000000000004</v>
      </c>
      <c r="AK54" s="12">
        <f t="shared" si="5"/>
        <v>61.3</v>
      </c>
      <c r="AL54" s="12">
        <f t="shared" si="6"/>
        <v>27</v>
      </c>
    </row>
    <row r="55" spans="1:38" ht="15.75" customHeight="1">
      <c r="A55" s="1" t="s">
        <v>244</v>
      </c>
      <c r="B55" s="7" t="s">
        <v>140</v>
      </c>
      <c r="C55" s="4" t="s">
        <v>85</v>
      </c>
      <c r="D55" s="4">
        <v>37</v>
      </c>
      <c r="E55" s="4">
        <v>927</v>
      </c>
      <c r="F55" s="4">
        <v>37</v>
      </c>
      <c r="G55" s="4">
        <v>37</v>
      </c>
      <c r="H55" s="4">
        <v>25.1</v>
      </c>
      <c r="I55" s="4">
        <v>3</v>
      </c>
      <c r="J55" s="4">
        <v>6.8</v>
      </c>
      <c r="K55" s="4">
        <v>0.438</v>
      </c>
      <c r="L55" s="4">
        <v>1.4</v>
      </c>
      <c r="M55" s="4">
        <v>3.6</v>
      </c>
      <c r="N55" s="4">
        <v>0.39400000000000002</v>
      </c>
      <c r="O55" s="4">
        <v>1.6</v>
      </c>
      <c r="P55" s="4">
        <v>3.2</v>
      </c>
      <c r="Q55" s="4">
        <v>0.48699999999999999</v>
      </c>
      <c r="R55" s="4">
        <v>1.6</v>
      </c>
      <c r="S55" s="4">
        <v>1.9</v>
      </c>
      <c r="T55" s="4">
        <v>0.83299999999999996</v>
      </c>
      <c r="U55" s="4">
        <v>1.4</v>
      </c>
      <c r="V55" s="4">
        <v>2.7</v>
      </c>
      <c r="W55" s="4">
        <v>1.8</v>
      </c>
      <c r="X55" s="4">
        <v>0.4</v>
      </c>
      <c r="Y55" s="4">
        <v>0.2</v>
      </c>
      <c r="Z55" s="4">
        <v>1.6</v>
      </c>
      <c r="AA55" s="4">
        <v>2.5</v>
      </c>
      <c r="AB55" s="4">
        <v>9</v>
      </c>
      <c r="AC55" s="10">
        <f t="shared" si="0"/>
        <v>0.97444781290601989</v>
      </c>
      <c r="AD55" s="10">
        <f t="shared" si="1"/>
        <v>0.08</v>
      </c>
      <c r="AE55" s="12">
        <f>100*(AC55/TOTAL_BASIC!$D$302)</f>
        <v>101.36397604553254</v>
      </c>
      <c r="AF55" s="9"/>
      <c r="AG55" s="9"/>
      <c r="AH55" s="12">
        <f t="shared" si="2"/>
        <v>28.7</v>
      </c>
      <c r="AI55" s="12">
        <f t="shared" si="3"/>
        <v>62.4</v>
      </c>
      <c r="AJ55" s="12">
        <f t="shared" si="4"/>
        <v>59.599999999999994</v>
      </c>
      <c r="AK55" s="12">
        <f t="shared" si="5"/>
        <v>68.5</v>
      </c>
      <c r="AL55" s="12">
        <f t="shared" si="6"/>
        <v>62.9</v>
      </c>
    </row>
    <row r="56" spans="1:38" ht="15.75" customHeight="1">
      <c r="A56" s="1" t="s">
        <v>174</v>
      </c>
      <c r="B56" s="7" t="s">
        <v>117</v>
      </c>
      <c r="C56" s="4" t="s">
        <v>85</v>
      </c>
      <c r="D56" s="4">
        <v>38</v>
      </c>
      <c r="E56" s="4">
        <v>925</v>
      </c>
      <c r="F56" s="4">
        <v>38</v>
      </c>
      <c r="G56" s="4">
        <v>38</v>
      </c>
      <c r="H56" s="4">
        <v>24.3</v>
      </c>
      <c r="I56" s="4">
        <v>4.8</v>
      </c>
      <c r="J56" s="4">
        <v>7.6</v>
      </c>
      <c r="K56" s="4">
        <v>0.63800000000000001</v>
      </c>
      <c r="L56" s="4">
        <v>0</v>
      </c>
      <c r="M56" s="4">
        <v>0.2</v>
      </c>
      <c r="N56" s="4">
        <v>0.125</v>
      </c>
      <c r="O56" s="4">
        <v>4.8</v>
      </c>
      <c r="P56" s="4">
        <v>7.3</v>
      </c>
      <c r="Q56" s="4">
        <v>0.65200000000000002</v>
      </c>
      <c r="R56" s="4">
        <v>2</v>
      </c>
      <c r="S56" s="4">
        <v>3.5</v>
      </c>
      <c r="T56" s="4">
        <v>0.57499999999999996</v>
      </c>
      <c r="U56" s="4">
        <v>2.2000000000000002</v>
      </c>
      <c r="V56" s="4">
        <v>6.4</v>
      </c>
      <c r="W56" s="4">
        <v>0.9</v>
      </c>
      <c r="X56" s="4">
        <v>0.6</v>
      </c>
      <c r="Y56" s="4">
        <v>0.7</v>
      </c>
      <c r="Z56" s="4">
        <v>0.9</v>
      </c>
      <c r="AA56" s="4">
        <v>3.2</v>
      </c>
      <c r="AB56" s="4">
        <v>11.7</v>
      </c>
      <c r="AC56" s="10">
        <f t="shared" si="0"/>
        <v>1.1653386454183265</v>
      </c>
      <c r="AD56" s="10">
        <f t="shared" si="1"/>
        <v>0.21874999999999997</v>
      </c>
      <c r="AE56" s="12">
        <f>100*(AC56/TOTAL_BASIC!$D$302)</f>
        <v>121.22081549636454</v>
      </c>
      <c r="AF56" s="9"/>
      <c r="AG56" s="9"/>
      <c r="AH56" s="12">
        <f t="shared" si="2"/>
        <v>71.8</v>
      </c>
      <c r="AI56" s="12">
        <f t="shared" si="3"/>
        <v>97.7</v>
      </c>
      <c r="AJ56" s="12">
        <f t="shared" si="4"/>
        <v>72.3</v>
      </c>
      <c r="AK56" s="12">
        <f t="shared" si="5"/>
        <v>65.7</v>
      </c>
      <c r="AL56" s="12">
        <f t="shared" si="6"/>
        <v>6.6000000000000005</v>
      </c>
    </row>
    <row r="57" spans="1:38" ht="15.75" customHeight="1">
      <c r="A57" s="1" t="s">
        <v>110</v>
      </c>
      <c r="B57" s="7" t="s">
        <v>91</v>
      </c>
      <c r="C57" s="4" t="s">
        <v>85</v>
      </c>
      <c r="D57" s="4">
        <v>37</v>
      </c>
      <c r="E57" s="4">
        <v>917</v>
      </c>
      <c r="F57" s="4">
        <v>37</v>
      </c>
      <c r="G57" s="4">
        <v>37</v>
      </c>
      <c r="H57" s="4">
        <v>24.8</v>
      </c>
      <c r="I57" s="4">
        <v>5.0999999999999996</v>
      </c>
      <c r="J57" s="4">
        <v>12.6</v>
      </c>
      <c r="K57" s="4">
        <v>0.40699999999999997</v>
      </c>
      <c r="L57" s="4">
        <v>1.7</v>
      </c>
      <c r="M57" s="4">
        <v>5</v>
      </c>
      <c r="N57" s="4">
        <v>0.34599999999999997</v>
      </c>
      <c r="O57" s="4">
        <v>3.4</v>
      </c>
      <c r="P57" s="4">
        <v>7.6</v>
      </c>
      <c r="Q57" s="4">
        <v>0.44700000000000001</v>
      </c>
      <c r="R57" s="4">
        <v>2.2999999999999998</v>
      </c>
      <c r="S57" s="4">
        <v>3.2</v>
      </c>
      <c r="T57" s="4">
        <v>0.72599999999999998</v>
      </c>
      <c r="U57" s="4">
        <v>0.6</v>
      </c>
      <c r="V57" s="4">
        <v>3.3</v>
      </c>
      <c r="W57" s="4">
        <v>2.2000000000000002</v>
      </c>
      <c r="X57" s="4">
        <v>1.6</v>
      </c>
      <c r="Y57" s="4">
        <v>0.2</v>
      </c>
      <c r="Z57" s="4">
        <v>1.6</v>
      </c>
      <c r="AA57" s="4">
        <v>1.3</v>
      </c>
      <c r="AB57" s="4">
        <v>14.3</v>
      </c>
      <c r="AC57" s="10">
        <f t="shared" si="0"/>
        <v>0.9161968221424911</v>
      </c>
      <c r="AD57" s="10">
        <f t="shared" si="1"/>
        <v>0.15384615384615385</v>
      </c>
      <c r="AE57" s="12">
        <f>100*(AC57/TOTAL_BASIC!$D$302)</f>
        <v>95.304593537633849</v>
      </c>
      <c r="AF57" s="9"/>
      <c r="AG57" s="9"/>
      <c r="AH57" s="12">
        <f t="shared" si="2"/>
        <v>53.5</v>
      </c>
      <c r="AI57" s="12">
        <f t="shared" si="3"/>
        <v>44.7</v>
      </c>
      <c r="AJ57" s="12">
        <f t="shared" si="4"/>
        <v>79.5</v>
      </c>
      <c r="AK57" s="12">
        <f t="shared" si="5"/>
        <v>67.900000000000006</v>
      </c>
      <c r="AL57" s="12">
        <f t="shared" si="6"/>
        <v>29.2</v>
      </c>
    </row>
    <row r="58" spans="1:38" ht="15.75" customHeight="1">
      <c r="A58" s="1" t="s">
        <v>176</v>
      </c>
      <c r="B58" s="7" t="s">
        <v>157</v>
      </c>
      <c r="C58" s="4" t="s">
        <v>8</v>
      </c>
      <c r="D58" s="4">
        <v>40</v>
      </c>
      <c r="E58" s="4">
        <v>904</v>
      </c>
      <c r="F58" s="4">
        <v>40</v>
      </c>
      <c r="G58" s="4">
        <v>3</v>
      </c>
      <c r="H58" s="4">
        <v>22.6</v>
      </c>
      <c r="I58" s="4">
        <v>2.5</v>
      </c>
      <c r="J58" s="4">
        <v>5.3</v>
      </c>
      <c r="K58" s="4">
        <v>0.46899999999999997</v>
      </c>
      <c r="L58" s="4">
        <v>1.6</v>
      </c>
      <c r="M58" s="4">
        <v>3.7</v>
      </c>
      <c r="N58" s="4">
        <v>0.432</v>
      </c>
      <c r="O58" s="4">
        <v>0.9</v>
      </c>
      <c r="P58" s="4">
        <v>1.6</v>
      </c>
      <c r="Q58" s="4">
        <v>0.55400000000000005</v>
      </c>
      <c r="R58" s="4">
        <v>1.6</v>
      </c>
      <c r="S58" s="4">
        <v>1.8</v>
      </c>
      <c r="T58" s="4">
        <v>0.875</v>
      </c>
      <c r="U58" s="4">
        <v>0.3</v>
      </c>
      <c r="V58" s="4">
        <v>2.2999999999999998</v>
      </c>
      <c r="W58" s="4">
        <v>1.3</v>
      </c>
      <c r="X58" s="4">
        <v>0.6</v>
      </c>
      <c r="Y58" s="4">
        <v>0.1</v>
      </c>
      <c r="Z58" s="4">
        <v>0.7</v>
      </c>
      <c r="AA58" s="4">
        <v>1.9</v>
      </c>
      <c r="AB58" s="4">
        <v>8.1999999999999993</v>
      </c>
      <c r="AC58" s="10">
        <f t="shared" si="0"/>
        <v>1.2073027090694934</v>
      </c>
      <c r="AD58" s="10">
        <f t="shared" si="1"/>
        <v>5.2631578947368425E-2</v>
      </c>
      <c r="AE58" s="12">
        <f>100*(AC58/TOTAL_BASIC!$D$302)</f>
        <v>125.58599984628347</v>
      </c>
      <c r="AF58" s="9"/>
      <c r="AG58" s="9"/>
      <c r="AH58" s="12">
        <f t="shared" si="2"/>
        <v>17.100000000000001</v>
      </c>
      <c r="AI58" s="12">
        <f t="shared" si="3"/>
        <v>99.4</v>
      </c>
      <c r="AJ58" s="12">
        <f t="shared" si="4"/>
        <v>54.1</v>
      </c>
      <c r="AK58" s="12">
        <f t="shared" si="5"/>
        <v>58.5</v>
      </c>
      <c r="AL58" s="12">
        <f t="shared" si="6"/>
        <v>81.2</v>
      </c>
    </row>
    <row r="59" spans="1:38" ht="15.75" customHeight="1">
      <c r="A59" s="1" t="s">
        <v>126</v>
      </c>
      <c r="B59" s="7" t="s">
        <v>107</v>
      </c>
      <c r="C59" s="4" t="s">
        <v>85</v>
      </c>
      <c r="D59" s="4">
        <v>40</v>
      </c>
      <c r="E59" s="4">
        <v>903</v>
      </c>
      <c r="F59" s="4">
        <v>40</v>
      </c>
      <c r="G59" s="4">
        <v>40</v>
      </c>
      <c r="H59" s="4">
        <v>22.6</v>
      </c>
      <c r="I59" s="4">
        <v>3.1</v>
      </c>
      <c r="J59" s="4">
        <v>8.6999999999999993</v>
      </c>
      <c r="K59" s="4">
        <v>0.35899999999999999</v>
      </c>
      <c r="L59" s="4">
        <v>1.2</v>
      </c>
      <c r="M59" s="4">
        <v>3.6</v>
      </c>
      <c r="N59" s="4">
        <v>0.317</v>
      </c>
      <c r="O59" s="4">
        <v>2</v>
      </c>
      <c r="P59" s="4">
        <v>5.0999999999999996</v>
      </c>
      <c r="Q59" s="4">
        <v>0.38900000000000001</v>
      </c>
      <c r="R59" s="4">
        <v>2.2000000000000002</v>
      </c>
      <c r="S59" s="4">
        <v>2.7</v>
      </c>
      <c r="T59" s="4">
        <v>0.79800000000000004</v>
      </c>
      <c r="U59" s="4">
        <v>0.4</v>
      </c>
      <c r="V59" s="4">
        <v>2.7</v>
      </c>
      <c r="W59" s="4">
        <v>1.4</v>
      </c>
      <c r="X59" s="4">
        <v>0.7</v>
      </c>
      <c r="Y59" s="4">
        <v>0.2</v>
      </c>
      <c r="Z59" s="4">
        <v>1.5</v>
      </c>
      <c r="AA59" s="4">
        <v>3.2</v>
      </c>
      <c r="AB59" s="4">
        <v>9.6999999999999993</v>
      </c>
      <c r="AC59" s="10">
        <f t="shared" si="0"/>
        <v>0.85177379697927635</v>
      </c>
      <c r="AD59" s="10">
        <f t="shared" si="1"/>
        <v>6.25E-2</v>
      </c>
      <c r="AE59" s="12">
        <f>100*(AC59/TOTAL_BASIC!$D$302)</f>
        <v>88.603183884970761</v>
      </c>
      <c r="AF59" s="9"/>
      <c r="AG59" s="9"/>
      <c r="AH59" s="12">
        <f t="shared" si="2"/>
        <v>20.9</v>
      </c>
      <c r="AI59" s="12">
        <f t="shared" si="3"/>
        <v>25.4</v>
      </c>
      <c r="AJ59" s="12">
        <f t="shared" si="4"/>
        <v>63.5</v>
      </c>
      <c r="AK59" s="12">
        <f t="shared" si="5"/>
        <v>58.5</v>
      </c>
      <c r="AL59" s="12">
        <f t="shared" si="6"/>
        <v>50.2</v>
      </c>
    </row>
    <row r="60" spans="1:38" ht="15.75" customHeight="1">
      <c r="A60" s="1" t="s">
        <v>191</v>
      </c>
      <c r="B60" s="7" t="s">
        <v>161</v>
      </c>
      <c r="C60" s="4" t="s">
        <v>85</v>
      </c>
      <c r="D60" s="4">
        <v>33</v>
      </c>
      <c r="E60" s="4">
        <v>888</v>
      </c>
      <c r="F60" s="4">
        <v>33</v>
      </c>
      <c r="G60" s="4">
        <v>19</v>
      </c>
      <c r="H60" s="4">
        <v>26.9</v>
      </c>
      <c r="I60" s="4">
        <v>3.1</v>
      </c>
      <c r="J60" s="4">
        <v>8.4</v>
      </c>
      <c r="K60" s="4">
        <v>0.36799999999999999</v>
      </c>
      <c r="L60" s="4">
        <v>1.6</v>
      </c>
      <c r="M60" s="4">
        <v>4.5</v>
      </c>
      <c r="N60" s="4">
        <v>0.35299999999999998</v>
      </c>
      <c r="O60" s="4">
        <v>1.5</v>
      </c>
      <c r="P60" s="4">
        <v>3.8</v>
      </c>
      <c r="Q60" s="4">
        <v>0.38600000000000001</v>
      </c>
      <c r="R60" s="4">
        <v>1.1000000000000001</v>
      </c>
      <c r="S60" s="4">
        <v>1.2</v>
      </c>
      <c r="T60" s="4">
        <v>0.878</v>
      </c>
      <c r="U60" s="4">
        <v>1</v>
      </c>
      <c r="V60" s="4">
        <v>4.5999999999999996</v>
      </c>
      <c r="W60" s="4">
        <v>2.6</v>
      </c>
      <c r="X60" s="4">
        <v>0.5</v>
      </c>
      <c r="Y60" s="4">
        <v>0.2</v>
      </c>
      <c r="Z60" s="4">
        <v>1.6</v>
      </c>
      <c r="AA60" s="4">
        <v>2</v>
      </c>
      <c r="AB60" s="4">
        <v>8.9</v>
      </c>
      <c r="AC60" s="10">
        <f t="shared" si="0"/>
        <v>0.84536474164133735</v>
      </c>
      <c r="AD60" s="10">
        <f t="shared" si="1"/>
        <v>0.1</v>
      </c>
      <c r="AE60" s="12">
        <f>100*(AC60/TOTAL_BASIC!$D$302)</f>
        <v>87.936501356522214</v>
      </c>
      <c r="AF60" s="9"/>
      <c r="AG60" s="9"/>
      <c r="AH60" s="12">
        <f t="shared" si="2"/>
        <v>33.1</v>
      </c>
      <c r="AI60" s="12">
        <f t="shared" si="3"/>
        <v>23.7</v>
      </c>
      <c r="AJ60" s="12">
        <f t="shared" si="4"/>
        <v>58.5</v>
      </c>
      <c r="AK60" s="12">
        <f t="shared" si="5"/>
        <v>74</v>
      </c>
      <c r="AL60" s="12">
        <f t="shared" si="6"/>
        <v>83.899999999999991</v>
      </c>
    </row>
    <row r="61" spans="1:38" ht="15.75" customHeight="1">
      <c r="A61" s="1" t="s">
        <v>106</v>
      </c>
      <c r="B61" s="7" t="s">
        <v>107</v>
      </c>
      <c r="C61" s="4" t="s">
        <v>94</v>
      </c>
      <c r="D61" s="4">
        <v>37</v>
      </c>
      <c r="E61" s="4">
        <v>881</v>
      </c>
      <c r="F61" s="4">
        <v>37</v>
      </c>
      <c r="G61" s="4">
        <v>14</v>
      </c>
      <c r="H61" s="4">
        <v>23.8</v>
      </c>
      <c r="I61" s="4">
        <v>3</v>
      </c>
      <c r="J61" s="4">
        <v>7.5</v>
      </c>
      <c r="K61" s="4">
        <v>0.40100000000000002</v>
      </c>
      <c r="L61" s="4">
        <v>1.2</v>
      </c>
      <c r="M61" s="4">
        <v>3.7</v>
      </c>
      <c r="N61" s="4">
        <v>0.32400000000000001</v>
      </c>
      <c r="O61" s="4">
        <v>1.8</v>
      </c>
      <c r="P61" s="4">
        <v>3.9</v>
      </c>
      <c r="Q61" s="4">
        <v>0.47599999999999998</v>
      </c>
      <c r="R61" s="4">
        <v>1.5</v>
      </c>
      <c r="S61" s="4">
        <v>2.2000000000000002</v>
      </c>
      <c r="T61" s="4">
        <v>0.71299999999999997</v>
      </c>
      <c r="U61" s="4">
        <v>1</v>
      </c>
      <c r="V61" s="4">
        <v>3.2</v>
      </c>
      <c r="W61" s="4">
        <v>1.4</v>
      </c>
      <c r="X61" s="4">
        <v>1.2</v>
      </c>
      <c r="Y61" s="4">
        <v>0.8</v>
      </c>
      <c r="Z61" s="4">
        <v>1.5</v>
      </c>
      <c r="AA61" s="4">
        <v>1.5</v>
      </c>
      <c r="AB61" s="4">
        <v>8.8000000000000007</v>
      </c>
      <c r="AC61" s="10">
        <f t="shared" si="0"/>
        <v>0.88282504012841101</v>
      </c>
      <c r="AD61" s="10">
        <f t="shared" si="1"/>
        <v>0.53333333333333333</v>
      </c>
      <c r="AE61" s="12">
        <f>100*(AC61/TOTAL_BASIC!$D$302)</f>
        <v>91.833195205296278</v>
      </c>
      <c r="AF61" s="9"/>
      <c r="AG61" s="9"/>
      <c r="AH61" s="12">
        <f t="shared" si="2"/>
        <v>92.2</v>
      </c>
      <c r="AI61" s="12">
        <f t="shared" si="3"/>
        <v>36.4</v>
      </c>
      <c r="AJ61" s="12">
        <f t="shared" si="4"/>
        <v>56.899999999999991</v>
      </c>
      <c r="AK61" s="12">
        <f t="shared" si="5"/>
        <v>63.5</v>
      </c>
      <c r="AL61" s="12">
        <f t="shared" si="6"/>
        <v>23.200000000000003</v>
      </c>
    </row>
    <row r="62" spans="1:38" ht="15.75" customHeight="1">
      <c r="A62" s="1" t="s">
        <v>153</v>
      </c>
      <c r="B62" s="7" t="s">
        <v>91</v>
      </c>
      <c r="C62" s="4" t="s">
        <v>88</v>
      </c>
      <c r="D62" s="4">
        <v>40</v>
      </c>
      <c r="E62" s="4">
        <v>879</v>
      </c>
      <c r="F62" s="4">
        <v>40</v>
      </c>
      <c r="G62" s="4">
        <v>40</v>
      </c>
      <c r="H62" s="4">
        <v>22</v>
      </c>
      <c r="I62" s="4">
        <v>1.5</v>
      </c>
      <c r="J62" s="4">
        <v>3.4</v>
      </c>
      <c r="K62" s="4">
        <v>0.433</v>
      </c>
      <c r="L62" s="4">
        <v>0.5</v>
      </c>
      <c r="M62" s="4">
        <v>1.6</v>
      </c>
      <c r="N62" s="4">
        <v>0.29199999999999998</v>
      </c>
      <c r="O62" s="4">
        <v>1</v>
      </c>
      <c r="P62" s="4">
        <v>1.7</v>
      </c>
      <c r="Q62" s="4">
        <v>0.56499999999999995</v>
      </c>
      <c r="R62" s="4">
        <v>0.2</v>
      </c>
      <c r="S62" s="4">
        <v>0.4</v>
      </c>
      <c r="T62" s="4">
        <v>0.46700000000000003</v>
      </c>
      <c r="U62" s="4">
        <v>1.2</v>
      </c>
      <c r="V62" s="4">
        <v>5.5</v>
      </c>
      <c r="W62" s="4">
        <v>1.2</v>
      </c>
      <c r="X62" s="4">
        <v>0.6</v>
      </c>
      <c r="Y62" s="4">
        <v>1.7</v>
      </c>
      <c r="Z62" s="4">
        <v>0.5</v>
      </c>
      <c r="AA62" s="4">
        <v>2.2999999999999998</v>
      </c>
      <c r="AB62" s="4">
        <v>3.6</v>
      </c>
      <c r="AC62" s="10">
        <f t="shared" si="0"/>
        <v>0.88321884200196266</v>
      </c>
      <c r="AD62" s="10">
        <f t="shared" si="1"/>
        <v>0.73913043478260876</v>
      </c>
      <c r="AE62" s="12">
        <f>100*(AC62/TOTAL_BASIC!$D$302)</f>
        <v>91.874159249905645</v>
      </c>
      <c r="AF62" s="9"/>
      <c r="AG62" s="9"/>
      <c r="AH62" s="12">
        <f t="shared" si="2"/>
        <v>97.7</v>
      </c>
      <c r="AI62" s="12">
        <f t="shared" si="3"/>
        <v>37</v>
      </c>
      <c r="AJ62" s="12">
        <f t="shared" si="4"/>
        <v>15.4</v>
      </c>
      <c r="AK62" s="12">
        <f t="shared" si="5"/>
        <v>55.2</v>
      </c>
      <c r="AL62" s="12">
        <f t="shared" si="6"/>
        <v>1.6</v>
      </c>
    </row>
    <row r="63" spans="1:38" ht="15.75" customHeight="1">
      <c r="A63" s="1" t="s">
        <v>163</v>
      </c>
      <c r="B63" s="4" t="s">
        <v>161</v>
      </c>
      <c r="C63" s="4" t="s">
        <v>8</v>
      </c>
      <c r="D63" s="4">
        <v>30</v>
      </c>
      <c r="E63" s="4">
        <v>859</v>
      </c>
      <c r="F63" s="4">
        <v>30</v>
      </c>
      <c r="G63" s="4">
        <v>28</v>
      </c>
      <c r="H63" s="4">
        <v>28.6</v>
      </c>
      <c r="I63" s="4">
        <v>2.4</v>
      </c>
      <c r="J63" s="4">
        <v>4.4000000000000004</v>
      </c>
      <c r="K63" s="4">
        <v>0.54200000000000004</v>
      </c>
      <c r="L63" s="4">
        <v>1.2</v>
      </c>
      <c r="M63" s="4">
        <v>2.9</v>
      </c>
      <c r="N63" s="4">
        <v>0.42499999999999999</v>
      </c>
      <c r="O63" s="4">
        <v>1.1000000000000001</v>
      </c>
      <c r="P63" s="4">
        <v>1.5</v>
      </c>
      <c r="Q63" s="4">
        <v>0.77300000000000002</v>
      </c>
      <c r="R63" s="4">
        <v>0.3</v>
      </c>
      <c r="S63" s="4">
        <v>0.4</v>
      </c>
      <c r="T63" s="4">
        <v>0.76900000000000002</v>
      </c>
      <c r="U63" s="4">
        <v>0.3</v>
      </c>
      <c r="V63" s="4">
        <v>3.1</v>
      </c>
      <c r="W63" s="4">
        <v>5.5</v>
      </c>
      <c r="X63" s="4">
        <v>1.4</v>
      </c>
      <c r="Y63" s="4">
        <v>0.4</v>
      </c>
      <c r="Z63" s="4">
        <v>1.7</v>
      </c>
      <c r="AA63" s="4">
        <v>2</v>
      </c>
      <c r="AB63" s="4">
        <v>6.3</v>
      </c>
      <c r="AC63" s="10">
        <f t="shared" si="0"/>
        <v>1.0038240917782026</v>
      </c>
      <c r="AD63" s="10">
        <f t="shared" si="1"/>
        <v>0.2</v>
      </c>
      <c r="AE63" s="12">
        <f>100*(AC63/TOTAL_BASIC!$D$302)</f>
        <v>104.41975429088224</v>
      </c>
      <c r="AF63" s="9"/>
      <c r="AG63" s="9"/>
      <c r="AH63" s="12">
        <f t="shared" si="2"/>
        <v>67.400000000000006</v>
      </c>
      <c r="AI63" s="12">
        <f t="shared" si="3"/>
        <v>71.2</v>
      </c>
      <c r="AJ63" s="12">
        <f t="shared" si="4"/>
        <v>41.9</v>
      </c>
      <c r="AK63" s="12">
        <f t="shared" si="5"/>
        <v>80.100000000000009</v>
      </c>
      <c r="AL63" s="12">
        <f t="shared" si="6"/>
        <v>39.700000000000003</v>
      </c>
    </row>
    <row r="64" spans="1:38" ht="15.75" customHeight="1">
      <c r="A64" s="1" t="s">
        <v>129</v>
      </c>
      <c r="B64" s="7" t="s">
        <v>107</v>
      </c>
      <c r="C64" s="4" t="s">
        <v>8</v>
      </c>
      <c r="D64" s="4">
        <v>37</v>
      </c>
      <c r="E64" s="4">
        <v>851</v>
      </c>
      <c r="F64" s="4">
        <v>37</v>
      </c>
      <c r="G64" s="4">
        <v>17</v>
      </c>
      <c r="H64" s="4">
        <v>23</v>
      </c>
      <c r="I64" s="4">
        <v>2.8</v>
      </c>
      <c r="J64" s="4">
        <v>8.1</v>
      </c>
      <c r="K64" s="4">
        <v>0.34300000000000003</v>
      </c>
      <c r="L64" s="4">
        <v>0.4</v>
      </c>
      <c r="M64" s="4">
        <v>2.1</v>
      </c>
      <c r="N64" s="4">
        <v>0.17100000000000001</v>
      </c>
      <c r="O64" s="4">
        <v>2.4</v>
      </c>
      <c r="P64" s="4">
        <v>6.1</v>
      </c>
      <c r="Q64" s="4">
        <v>0.40200000000000002</v>
      </c>
      <c r="R64" s="4">
        <v>1.2</v>
      </c>
      <c r="S64" s="4">
        <v>2</v>
      </c>
      <c r="T64" s="4">
        <v>0.6</v>
      </c>
      <c r="U64" s="4">
        <v>0.5</v>
      </c>
      <c r="V64" s="4">
        <v>2.6</v>
      </c>
      <c r="W64" s="4">
        <v>3.1</v>
      </c>
      <c r="X64" s="4">
        <v>1.1000000000000001</v>
      </c>
      <c r="Y64" s="4">
        <v>0.7</v>
      </c>
      <c r="Z64" s="4">
        <v>1.4</v>
      </c>
      <c r="AA64" s="4">
        <v>1.8</v>
      </c>
      <c r="AB64" s="4">
        <v>7.1</v>
      </c>
      <c r="AC64" s="10">
        <f t="shared" si="0"/>
        <v>0.68400770712909431</v>
      </c>
      <c r="AD64" s="10">
        <f t="shared" si="1"/>
        <v>0.38888888888888884</v>
      </c>
      <c r="AE64" s="12">
        <f>100*(AC64/TOTAL_BASIC!$D$302)</f>
        <v>71.151825600207914</v>
      </c>
      <c r="AF64" s="9"/>
      <c r="AG64" s="9"/>
      <c r="AH64" s="12">
        <f t="shared" si="2"/>
        <v>85</v>
      </c>
      <c r="AI64" s="12">
        <f t="shared" si="3"/>
        <v>2.1999999999999997</v>
      </c>
      <c r="AJ64" s="12">
        <f t="shared" si="4"/>
        <v>50.8</v>
      </c>
      <c r="AK64" s="12">
        <f t="shared" si="5"/>
        <v>60.199999999999996</v>
      </c>
      <c r="AL64" s="12">
        <f t="shared" si="6"/>
        <v>7.7</v>
      </c>
    </row>
    <row r="65" spans="1:38" ht="15.75" customHeight="1">
      <c r="A65" s="1" t="s">
        <v>250</v>
      </c>
      <c r="B65" s="7" t="s">
        <v>84</v>
      </c>
      <c r="C65" s="4" t="s">
        <v>8</v>
      </c>
      <c r="D65" s="4">
        <v>28</v>
      </c>
      <c r="E65" s="4">
        <v>850</v>
      </c>
      <c r="F65" s="4">
        <v>28</v>
      </c>
      <c r="G65" s="4">
        <v>27</v>
      </c>
      <c r="H65" s="4">
        <v>30.4</v>
      </c>
      <c r="I65" s="4">
        <v>5.0999999999999996</v>
      </c>
      <c r="J65" s="4">
        <v>12.8</v>
      </c>
      <c r="K65" s="4">
        <v>0.40100000000000002</v>
      </c>
      <c r="L65" s="4">
        <v>2</v>
      </c>
      <c r="M65" s="4">
        <v>6.6</v>
      </c>
      <c r="N65" s="4">
        <v>0.29699999999999999</v>
      </c>
      <c r="O65" s="4">
        <v>3.1</v>
      </c>
      <c r="P65" s="4">
        <v>6.1</v>
      </c>
      <c r="Q65" s="4">
        <v>0.51200000000000001</v>
      </c>
      <c r="R65" s="4">
        <v>3</v>
      </c>
      <c r="S65" s="4">
        <v>3.3</v>
      </c>
      <c r="T65" s="4">
        <v>0.89200000000000002</v>
      </c>
      <c r="U65" s="4">
        <v>0.7</v>
      </c>
      <c r="V65" s="4">
        <v>4</v>
      </c>
      <c r="W65" s="4">
        <v>4.8</v>
      </c>
      <c r="X65" s="4">
        <v>0.8</v>
      </c>
      <c r="Y65" s="4">
        <v>0.3</v>
      </c>
      <c r="Z65" s="4">
        <v>2.8</v>
      </c>
      <c r="AA65" s="4">
        <v>1.8</v>
      </c>
      <c r="AB65" s="4">
        <v>15.1</v>
      </c>
      <c r="AC65" s="10">
        <f t="shared" si="0"/>
        <v>0.88552662444288055</v>
      </c>
      <c r="AD65" s="10">
        <f t="shared" si="1"/>
        <v>0.16666666666666666</v>
      </c>
      <c r="AE65" s="12">
        <f>100*(AC65/TOTAL_BASIC!$D$302)</f>
        <v>92.114219313627146</v>
      </c>
      <c r="AF65" s="9"/>
      <c r="AG65" s="9"/>
      <c r="AH65" s="12">
        <f t="shared" si="2"/>
        <v>59.099999999999994</v>
      </c>
      <c r="AI65" s="12">
        <f t="shared" si="3"/>
        <v>37.5</v>
      </c>
      <c r="AJ65" s="12">
        <f t="shared" si="4"/>
        <v>85.6</v>
      </c>
      <c r="AK65" s="12">
        <f t="shared" si="5"/>
        <v>87.2</v>
      </c>
      <c r="AL65" s="12">
        <f t="shared" si="6"/>
        <v>88.9</v>
      </c>
    </row>
    <row r="66" spans="1:38" ht="15.75" customHeight="1">
      <c r="A66" s="1" t="s">
        <v>143</v>
      </c>
      <c r="B66" s="7" t="s">
        <v>91</v>
      </c>
      <c r="C66" s="4" t="s">
        <v>85</v>
      </c>
      <c r="D66" s="4">
        <v>38</v>
      </c>
      <c r="E66" s="4">
        <v>849</v>
      </c>
      <c r="F66" s="4">
        <v>38</v>
      </c>
      <c r="G66" s="4">
        <v>0</v>
      </c>
      <c r="H66" s="4">
        <v>22.3</v>
      </c>
      <c r="I66" s="4">
        <v>4.2</v>
      </c>
      <c r="J66" s="4">
        <v>9.8000000000000007</v>
      </c>
      <c r="K66" s="4">
        <v>0.42499999999999999</v>
      </c>
      <c r="L66" s="4">
        <v>2.4</v>
      </c>
      <c r="M66" s="4">
        <v>6.1</v>
      </c>
      <c r="N66" s="4">
        <v>0.39700000000000002</v>
      </c>
      <c r="O66" s="4">
        <v>1.8</v>
      </c>
      <c r="P66" s="4">
        <v>3.7</v>
      </c>
      <c r="Q66" s="4">
        <v>0.47199999999999998</v>
      </c>
      <c r="R66" s="4">
        <v>2.2000000000000002</v>
      </c>
      <c r="S66" s="4">
        <v>2.7</v>
      </c>
      <c r="T66" s="4">
        <v>0.81200000000000006</v>
      </c>
      <c r="U66" s="4">
        <v>1.1000000000000001</v>
      </c>
      <c r="V66" s="4">
        <v>3.9</v>
      </c>
      <c r="W66" s="4">
        <v>1.2</v>
      </c>
      <c r="X66" s="4">
        <v>0.6</v>
      </c>
      <c r="Y66" s="4">
        <v>0.1</v>
      </c>
      <c r="Z66" s="4">
        <v>0.8</v>
      </c>
      <c r="AA66" s="4">
        <v>2.1</v>
      </c>
      <c r="AB66" s="4">
        <v>12.9</v>
      </c>
      <c r="AC66" s="10">
        <f t="shared" si="0"/>
        <v>1.0943332202239564</v>
      </c>
      <c r="AD66" s="10">
        <f t="shared" si="1"/>
        <v>4.7619047619047616E-2</v>
      </c>
      <c r="AE66" s="12">
        <f>100*(AC66/TOTAL_BASIC!$D$302)</f>
        <v>113.83469165968543</v>
      </c>
      <c r="AF66" s="9"/>
      <c r="AG66" s="9"/>
      <c r="AH66" s="12">
        <f t="shared" si="2"/>
        <v>15.4</v>
      </c>
      <c r="AI66" s="12">
        <f t="shared" si="3"/>
        <v>93.300000000000011</v>
      </c>
      <c r="AJ66" s="12">
        <f t="shared" si="4"/>
        <v>76.2</v>
      </c>
      <c r="AK66" s="12">
        <f t="shared" si="5"/>
        <v>57.4</v>
      </c>
      <c r="AL66" s="12">
        <f t="shared" si="6"/>
        <v>54.1</v>
      </c>
    </row>
    <row r="67" spans="1:38" ht="15.75" customHeight="1">
      <c r="A67" s="1" t="s">
        <v>152</v>
      </c>
      <c r="B67" s="7" t="s">
        <v>131</v>
      </c>
      <c r="C67" s="4" t="s">
        <v>8</v>
      </c>
      <c r="D67" s="4">
        <v>41</v>
      </c>
      <c r="E67" s="4">
        <v>847</v>
      </c>
      <c r="F67" s="4">
        <v>41</v>
      </c>
      <c r="G67" s="4">
        <v>18</v>
      </c>
      <c r="H67" s="4">
        <v>20.7</v>
      </c>
      <c r="I67" s="4">
        <v>2.2000000000000002</v>
      </c>
      <c r="J67" s="4">
        <v>5.3</v>
      </c>
      <c r="K67" s="4">
        <v>0.42099999999999999</v>
      </c>
      <c r="L67" s="4">
        <v>0.8</v>
      </c>
      <c r="M67" s="4">
        <v>2.7</v>
      </c>
      <c r="N67" s="4">
        <v>0.309</v>
      </c>
      <c r="O67" s="4">
        <v>1.4</v>
      </c>
      <c r="P67" s="4">
        <v>2.6</v>
      </c>
      <c r="Q67" s="4">
        <v>0.53800000000000003</v>
      </c>
      <c r="R67" s="4">
        <v>1</v>
      </c>
      <c r="S67" s="4">
        <v>1.2</v>
      </c>
      <c r="T67" s="4">
        <v>0.85399999999999998</v>
      </c>
      <c r="U67" s="4">
        <v>0.4</v>
      </c>
      <c r="V67" s="4">
        <v>1.4</v>
      </c>
      <c r="W67" s="4">
        <v>1.6</v>
      </c>
      <c r="X67" s="4">
        <v>0.8</v>
      </c>
      <c r="Y67" s="4">
        <v>0.3</v>
      </c>
      <c r="Z67" s="4">
        <v>1</v>
      </c>
      <c r="AA67" s="4">
        <v>2.5</v>
      </c>
      <c r="AB67" s="4">
        <v>6.3</v>
      </c>
      <c r="AC67" s="10">
        <f t="shared" si="0"/>
        <v>0.9226713532513181</v>
      </c>
      <c r="AD67" s="10">
        <f t="shared" si="1"/>
        <v>0.12</v>
      </c>
      <c r="AE67" s="12">
        <f>100*(AC67/TOTAL_BASIC!$D$302)</f>
        <v>95.978086984413736</v>
      </c>
      <c r="AF67" s="9"/>
      <c r="AG67" s="9"/>
      <c r="AH67" s="12">
        <f t="shared" si="2"/>
        <v>41.9</v>
      </c>
      <c r="AI67" s="12">
        <f t="shared" si="3"/>
        <v>46.400000000000006</v>
      </c>
      <c r="AJ67" s="12">
        <f t="shared" si="4"/>
        <v>41.9</v>
      </c>
      <c r="AK67" s="12">
        <f t="shared" si="5"/>
        <v>54.1</v>
      </c>
      <c r="AL67" s="12">
        <f t="shared" si="6"/>
        <v>72.3</v>
      </c>
    </row>
    <row r="68" spans="1:38" ht="15.75" customHeight="1">
      <c r="A68" s="1" t="s">
        <v>122</v>
      </c>
      <c r="B68" s="7" t="s">
        <v>114</v>
      </c>
      <c r="C68" s="4" t="s">
        <v>88</v>
      </c>
      <c r="D68" s="4">
        <v>32</v>
      </c>
      <c r="E68" s="4">
        <v>843</v>
      </c>
      <c r="F68" s="4">
        <v>32</v>
      </c>
      <c r="G68" s="4">
        <v>31</v>
      </c>
      <c r="H68" s="4">
        <v>26.3</v>
      </c>
      <c r="I68" s="4">
        <v>6.7</v>
      </c>
      <c r="J68" s="4">
        <v>13.9</v>
      </c>
      <c r="K68" s="4">
        <v>0.48099999999999998</v>
      </c>
      <c r="L68" s="4">
        <v>0.6</v>
      </c>
      <c r="M68" s="4">
        <v>2.2000000000000002</v>
      </c>
      <c r="N68" s="4">
        <v>0.28199999999999997</v>
      </c>
      <c r="O68" s="4">
        <v>6.1</v>
      </c>
      <c r="P68" s="4">
        <v>11.7</v>
      </c>
      <c r="Q68" s="4">
        <v>0.51900000000000002</v>
      </c>
      <c r="R68" s="4">
        <v>2.8</v>
      </c>
      <c r="S68" s="4">
        <v>3.8</v>
      </c>
      <c r="T68" s="4">
        <v>0.75</v>
      </c>
      <c r="U68" s="4">
        <v>2.6</v>
      </c>
      <c r="V68" s="4">
        <v>8.9</v>
      </c>
      <c r="W68" s="4">
        <v>1.7</v>
      </c>
      <c r="X68" s="4">
        <v>1</v>
      </c>
      <c r="Y68" s="4">
        <v>1.5</v>
      </c>
      <c r="Z68" s="4">
        <v>2.7</v>
      </c>
      <c r="AA68" s="4">
        <v>2.8</v>
      </c>
      <c r="AB68" s="4">
        <v>16.8</v>
      </c>
      <c r="AC68" s="10">
        <f t="shared" ref="AC68:AC131" si="7">(AB68)/(J68+(0.44*S68)+Z68)</f>
        <v>0.91943957968476353</v>
      </c>
      <c r="AD68" s="10">
        <f t="shared" ref="AD68:AD131" si="8">Y68/AA68</f>
        <v>0.5357142857142857</v>
      </c>
      <c r="AE68" s="12">
        <f>100*(AC68/TOTAL_BASIC!$D$302)</f>
        <v>95.641911548391263</v>
      </c>
      <c r="AF68" s="9"/>
      <c r="AG68" s="9"/>
      <c r="AH68" s="12">
        <f t="shared" ref="AH68:AH131" si="9">(PERCENTRANK(AD$3:AD$298,AD68))*100</f>
        <v>92.800000000000011</v>
      </c>
      <c r="AI68" s="12">
        <f t="shared" ref="AI68:AI131" si="10">(PERCENTRANK(AE$3:AE$298,AE68))*100</f>
        <v>45.800000000000004</v>
      </c>
      <c r="AJ68" s="12">
        <f t="shared" ref="AJ68:AJ131" si="11">(PERCENTRANK(AB$3:AB$298,AB68))*100</f>
        <v>89.5</v>
      </c>
      <c r="AK68" s="12">
        <f t="shared" ref="AK68:AK131" si="12">(PERCENTRANK(H$3:H$298,H68))*100</f>
        <v>71.8</v>
      </c>
      <c r="AL68" s="12">
        <f t="shared" ref="AL68:AL131" si="13">(PERCENTRANK(T$3:T$298,T68))*100</f>
        <v>35.299999999999997</v>
      </c>
    </row>
    <row r="69" spans="1:38" ht="15.75" customHeight="1">
      <c r="A69" s="1" t="s">
        <v>124</v>
      </c>
      <c r="B69" s="7" t="s">
        <v>91</v>
      </c>
      <c r="C69" s="4" t="s">
        <v>94</v>
      </c>
      <c r="D69" s="4">
        <v>41</v>
      </c>
      <c r="E69" s="4">
        <v>812</v>
      </c>
      <c r="F69" s="4">
        <v>41</v>
      </c>
      <c r="G69" s="4">
        <v>10</v>
      </c>
      <c r="H69" s="4">
        <v>19.8</v>
      </c>
      <c r="I69" s="4">
        <v>2.2999999999999998</v>
      </c>
      <c r="J69" s="4">
        <v>5.6</v>
      </c>
      <c r="K69" s="4">
        <v>0.40899999999999997</v>
      </c>
      <c r="L69" s="4">
        <v>0.6</v>
      </c>
      <c r="M69" s="4">
        <v>2.2000000000000002</v>
      </c>
      <c r="N69" s="4">
        <v>0.27500000000000002</v>
      </c>
      <c r="O69" s="4">
        <v>1.7</v>
      </c>
      <c r="P69" s="4">
        <v>3.4</v>
      </c>
      <c r="Q69" s="4">
        <v>0.496</v>
      </c>
      <c r="R69" s="4">
        <v>1</v>
      </c>
      <c r="S69" s="4">
        <v>1.3</v>
      </c>
      <c r="T69" s="4">
        <v>0.76900000000000002</v>
      </c>
      <c r="U69" s="4">
        <v>1.5</v>
      </c>
      <c r="V69" s="4">
        <v>4.5</v>
      </c>
      <c r="W69" s="4">
        <v>1.4</v>
      </c>
      <c r="X69" s="4">
        <v>0.8</v>
      </c>
      <c r="Y69" s="4">
        <v>0.2</v>
      </c>
      <c r="Z69" s="4">
        <v>1</v>
      </c>
      <c r="AA69" s="4">
        <v>2.2999999999999998</v>
      </c>
      <c r="AB69" s="4">
        <v>6.2</v>
      </c>
      <c r="AC69" s="10">
        <f t="shared" si="7"/>
        <v>0.86447295036252092</v>
      </c>
      <c r="AD69" s="10">
        <f t="shared" si="8"/>
        <v>8.6956521739130446E-2</v>
      </c>
      <c r="AE69" s="12">
        <f>100*(AC69/TOTAL_BASIC!$D$302)</f>
        <v>89.924174770566694</v>
      </c>
      <c r="AF69" s="9"/>
      <c r="AG69" s="9"/>
      <c r="AH69" s="12">
        <f t="shared" si="9"/>
        <v>30.9</v>
      </c>
      <c r="AI69" s="12">
        <f t="shared" si="10"/>
        <v>28.7</v>
      </c>
      <c r="AJ69" s="12">
        <f t="shared" si="11"/>
        <v>41.4</v>
      </c>
      <c r="AK69" s="12">
        <f t="shared" si="12"/>
        <v>50.8</v>
      </c>
      <c r="AL69" s="12">
        <f t="shared" si="13"/>
        <v>39.700000000000003</v>
      </c>
    </row>
    <row r="70" spans="1:38" ht="15.75" customHeight="1">
      <c r="A70" s="1" t="s">
        <v>251</v>
      </c>
      <c r="B70" s="4" t="s">
        <v>131</v>
      </c>
      <c r="C70" s="4" t="s">
        <v>119</v>
      </c>
      <c r="D70" s="4">
        <v>32</v>
      </c>
      <c r="E70" s="4">
        <v>784</v>
      </c>
      <c r="F70" s="4">
        <v>32</v>
      </c>
      <c r="G70" s="4">
        <v>31</v>
      </c>
      <c r="H70" s="4">
        <v>24.5</v>
      </c>
      <c r="I70" s="4">
        <v>4</v>
      </c>
      <c r="J70" s="4">
        <v>9.5</v>
      </c>
      <c r="K70" s="4">
        <v>0.42599999999999999</v>
      </c>
      <c r="L70" s="4">
        <v>0.9</v>
      </c>
      <c r="M70" s="4">
        <v>3.4</v>
      </c>
      <c r="N70" s="4">
        <v>0.255</v>
      </c>
      <c r="O70" s="4">
        <v>3.2</v>
      </c>
      <c r="P70" s="4">
        <v>6</v>
      </c>
      <c r="Q70" s="4">
        <v>0.52300000000000002</v>
      </c>
      <c r="R70" s="4">
        <v>1.7</v>
      </c>
      <c r="S70" s="4">
        <v>2.1</v>
      </c>
      <c r="T70" s="4">
        <v>0.77900000000000003</v>
      </c>
      <c r="U70" s="4">
        <v>1.3</v>
      </c>
      <c r="V70" s="4">
        <v>6.4</v>
      </c>
      <c r="W70" s="4">
        <v>2.1</v>
      </c>
      <c r="X70" s="4">
        <v>0.8</v>
      </c>
      <c r="Y70" s="4">
        <v>0.8</v>
      </c>
      <c r="Z70" s="4">
        <v>1.6</v>
      </c>
      <c r="AA70" s="4">
        <v>3</v>
      </c>
      <c r="AB70" s="4">
        <v>10.6</v>
      </c>
      <c r="AC70" s="10">
        <f t="shared" si="7"/>
        <v>0.88157019294743844</v>
      </c>
      <c r="AD70" s="10">
        <f t="shared" si="8"/>
        <v>0.26666666666666666</v>
      </c>
      <c r="AE70" s="12">
        <f>100*(AC70/TOTAL_BASIC!$D$302)</f>
        <v>91.702663536069608</v>
      </c>
      <c r="AF70" s="9"/>
      <c r="AG70" s="9"/>
      <c r="AH70" s="12">
        <f t="shared" si="9"/>
        <v>75.599999999999994</v>
      </c>
      <c r="AI70" s="12">
        <f t="shared" si="10"/>
        <v>35.299999999999997</v>
      </c>
      <c r="AJ70" s="12">
        <f t="shared" si="11"/>
        <v>68.5</v>
      </c>
      <c r="AK70" s="12">
        <f t="shared" si="12"/>
        <v>66.2</v>
      </c>
      <c r="AL70" s="12">
        <f t="shared" si="13"/>
        <v>44.1</v>
      </c>
    </row>
    <row r="71" spans="1:38" ht="15.75" customHeight="1">
      <c r="A71" s="1" t="s">
        <v>211</v>
      </c>
      <c r="B71" s="7" t="s">
        <v>157</v>
      </c>
      <c r="C71" s="4" t="s">
        <v>8</v>
      </c>
      <c r="D71" s="4">
        <v>41</v>
      </c>
      <c r="E71" s="4">
        <v>779</v>
      </c>
      <c r="F71" s="4">
        <v>41</v>
      </c>
      <c r="G71" s="4">
        <v>38</v>
      </c>
      <c r="H71" s="4">
        <v>19</v>
      </c>
      <c r="I71" s="4">
        <v>1.9</v>
      </c>
      <c r="J71" s="4">
        <v>4.4000000000000004</v>
      </c>
      <c r="K71" s="4">
        <v>0.434</v>
      </c>
      <c r="L71" s="4">
        <v>0.8</v>
      </c>
      <c r="M71" s="4">
        <v>2.2999999999999998</v>
      </c>
      <c r="N71" s="4">
        <v>0.35499999999999998</v>
      </c>
      <c r="O71" s="4">
        <v>1.1000000000000001</v>
      </c>
      <c r="P71" s="4">
        <v>2.2000000000000002</v>
      </c>
      <c r="Q71" s="4">
        <v>0.51700000000000002</v>
      </c>
      <c r="R71" s="4">
        <v>0.7</v>
      </c>
      <c r="S71" s="4">
        <v>0.9</v>
      </c>
      <c r="T71" s="4">
        <v>0.82899999999999996</v>
      </c>
      <c r="U71" s="4">
        <v>0.9</v>
      </c>
      <c r="V71" s="4">
        <v>3.1</v>
      </c>
      <c r="W71" s="4">
        <v>0.7</v>
      </c>
      <c r="X71" s="4">
        <v>0.5</v>
      </c>
      <c r="Y71" s="4">
        <v>0.2</v>
      </c>
      <c r="Z71" s="4">
        <v>0.7</v>
      </c>
      <c r="AA71" s="4">
        <v>2.7</v>
      </c>
      <c r="AB71" s="4">
        <v>5.4</v>
      </c>
      <c r="AC71" s="10">
        <f t="shared" si="7"/>
        <v>0.98253275109170302</v>
      </c>
      <c r="AD71" s="10">
        <f t="shared" si="8"/>
        <v>7.407407407407407E-2</v>
      </c>
      <c r="AE71" s="12">
        <f>100*(AC71/TOTAL_BASIC!$D$302)</f>
        <v>102.20498720049547</v>
      </c>
      <c r="AF71" s="9"/>
      <c r="AG71" s="9"/>
      <c r="AH71" s="12">
        <f t="shared" si="9"/>
        <v>26.5</v>
      </c>
      <c r="AI71" s="12">
        <f t="shared" si="10"/>
        <v>64</v>
      </c>
      <c r="AJ71" s="12">
        <f t="shared" si="11"/>
        <v>35.299999999999997</v>
      </c>
      <c r="AK71" s="12">
        <f t="shared" si="12"/>
        <v>46.9</v>
      </c>
      <c r="AL71" s="12">
        <f t="shared" si="13"/>
        <v>61.8</v>
      </c>
    </row>
    <row r="72" spans="1:38" ht="15.75" customHeight="1">
      <c r="A72" s="1" t="s">
        <v>86</v>
      </c>
      <c r="B72" s="7" t="s">
        <v>84</v>
      </c>
      <c r="C72" s="4" t="s">
        <v>8</v>
      </c>
      <c r="D72" s="4">
        <v>38</v>
      </c>
      <c r="E72" s="4">
        <v>779</v>
      </c>
      <c r="F72" s="4">
        <v>38</v>
      </c>
      <c r="G72" s="4">
        <v>18</v>
      </c>
      <c r="H72" s="4">
        <v>20.5</v>
      </c>
      <c r="I72" s="4">
        <v>2.9</v>
      </c>
      <c r="J72" s="4">
        <v>7</v>
      </c>
      <c r="K72" s="4">
        <v>0.42299999999999999</v>
      </c>
      <c r="L72" s="4">
        <v>2.2000000000000002</v>
      </c>
      <c r="M72" s="4">
        <v>5.6</v>
      </c>
      <c r="N72" s="4">
        <v>0.39300000000000002</v>
      </c>
      <c r="O72" s="4">
        <v>0.8</v>
      </c>
      <c r="P72" s="4">
        <v>1.4</v>
      </c>
      <c r="Q72" s="4">
        <v>0.53700000000000003</v>
      </c>
      <c r="R72" s="4">
        <v>0.6</v>
      </c>
      <c r="S72" s="4">
        <v>0.7</v>
      </c>
      <c r="T72" s="4">
        <v>0.84599999999999997</v>
      </c>
      <c r="U72" s="4">
        <v>0.4</v>
      </c>
      <c r="V72" s="4">
        <v>2</v>
      </c>
      <c r="W72" s="4">
        <v>2.4</v>
      </c>
      <c r="X72" s="4">
        <v>0.8</v>
      </c>
      <c r="Y72" s="4">
        <v>0.1</v>
      </c>
      <c r="Z72" s="4">
        <v>1.7</v>
      </c>
      <c r="AA72" s="4">
        <v>1.6</v>
      </c>
      <c r="AB72" s="4">
        <v>8.6999999999999993</v>
      </c>
      <c r="AC72" s="10">
        <f t="shared" si="7"/>
        <v>0.96580817051509771</v>
      </c>
      <c r="AD72" s="10">
        <f t="shared" si="8"/>
        <v>6.25E-2</v>
      </c>
      <c r="AE72" s="12">
        <f>100*(AC72/TOTAL_BASIC!$D$302)</f>
        <v>100.46526346928515</v>
      </c>
      <c r="AF72" s="9"/>
      <c r="AG72" s="9"/>
      <c r="AH72" s="12">
        <f t="shared" si="9"/>
        <v>20.9</v>
      </c>
      <c r="AI72" s="12">
        <f t="shared" si="10"/>
        <v>58.5</v>
      </c>
      <c r="AJ72" s="12">
        <f t="shared" si="11"/>
        <v>56.3</v>
      </c>
      <c r="AK72" s="12">
        <f t="shared" si="12"/>
        <v>53.5</v>
      </c>
      <c r="AL72" s="12">
        <f t="shared" si="13"/>
        <v>68.5</v>
      </c>
    </row>
    <row r="73" spans="1:38" ht="15.75" customHeight="1">
      <c r="A73" s="1" t="s">
        <v>214</v>
      </c>
      <c r="B73" s="7" t="s">
        <v>157</v>
      </c>
      <c r="C73" s="4" t="s">
        <v>85</v>
      </c>
      <c r="D73" s="4">
        <v>40</v>
      </c>
      <c r="E73" s="4">
        <v>769</v>
      </c>
      <c r="F73" s="4">
        <v>40</v>
      </c>
      <c r="G73" s="4">
        <v>31</v>
      </c>
      <c r="H73" s="4">
        <v>19.2</v>
      </c>
      <c r="I73" s="4">
        <v>2.2999999999999998</v>
      </c>
      <c r="J73" s="4">
        <v>4.4000000000000004</v>
      </c>
      <c r="K73" s="4">
        <v>0.52</v>
      </c>
      <c r="L73" s="4">
        <v>0.1</v>
      </c>
      <c r="M73" s="4">
        <v>0.5</v>
      </c>
      <c r="N73" s="4">
        <v>0.27800000000000002</v>
      </c>
      <c r="O73" s="4">
        <v>2.2000000000000002</v>
      </c>
      <c r="P73" s="4">
        <v>4</v>
      </c>
      <c r="Q73" s="4">
        <v>0.54700000000000004</v>
      </c>
      <c r="R73" s="4">
        <v>1.9</v>
      </c>
      <c r="S73" s="4">
        <v>2.6</v>
      </c>
      <c r="T73" s="4">
        <v>0.748</v>
      </c>
      <c r="U73" s="4">
        <v>1.7</v>
      </c>
      <c r="V73" s="4">
        <v>4.7</v>
      </c>
      <c r="W73" s="4">
        <v>1</v>
      </c>
      <c r="X73" s="4">
        <v>0.9</v>
      </c>
      <c r="Y73" s="4">
        <v>0.5</v>
      </c>
      <c r="Z73" s="4">
        <v>0.8</v>
      </c>
      <c r="AA73" s="4">
        <v>2.2000000000000002</v>
      </c>
      <c r="AB73" s="4">
        <v>6.7</v>
      </c>
      <c r="AC73" s="10">
        <f t="shared" si="7"/>
        <v>1.0561160151324085</v>
      </c>
      <c r="AD73" s="10">
        <f t="shared" si="8"/>
        <v>0.22727272727272727</v>
      </c>
      <c r="AE73" s="12">
        <f>100*(AC73/TOTAL_BASIC!$D$302)</f>
        <v>109.85926289878114</v>
      </c>
      <c r="AF73" s="9"/>
      <c r="AG73" s="9"/>
      <c r="AH73" s="12">
        <f t="shared" si="9"/>
        <v>72.899999999999991</v>
      </c>
      <c r="AI73" s="12">
        <f t="shared" si="10"/>
        <v>87.8</v>
      </c>
      <c r="AJ73" s="12">
        <f t="shared" si="11"/>
        <v>48.6</v>
      </c>
      <c r="AK73" s="12">
        <f t="shared" si="12"/>
        <v>49.1</v>
      </c>
      <c r="AL73" s="12">
        <f t="shared" si="13"/>
        <v>34.799999999999997</v>
      </c>
    </row>
    <row r="74" spans="1:38" ht="15.75" customHeight="1">
      <c r="A74" s="1" t="s">
        <v>230</v>
      </c>
      <c r="B74" s="7" t="s">
        <v>140</v>
      </c>
      <c r="C74" s="4" t="s">
        <v>8</v>
      </c>
      <c r="D74" s="4">
        <v>39</v>
      </c>
      <c r="E74" s="4">
        <v>768</v>
      </c>
      <c r="F74" s="4">
        <v>39</v>
      </c>
      <c r="G74" s="4">
        <v>6</v>
      </c>
      <c r="H74" s="4">
        <v>19.7</v>
      </c>
      <c r="I74" s="4">
        <v>2.2000000000000002</v>
      </c>
      <c r="J74" s="4">
        <v>5.5</v>
      </c>
      <c r="K74" s="4">
        <v>0.39500000000000002</v>
      </c>
      <c r="L74" s="4">
        <v>0.6</v>
      </c>
      <c r="M74" s="4">
        <v>2</v>
      </c>
      <c r="N74" s="4">
        <v>0.28599999999999998</v>
      </c>
      <c r="O74" s="4">
        <v>1.6</v>
      </c>
      <c r="P74" s="4">
        <v>3.5</v>
      </c>
      <c r="Q74" s="4">
        <v>0.45700000000000002</v>
      </c>
      <c r="R74" s="4">
        <v>1.5</v>
      </c>
      <c r="S74" s="4">
        <v>2.5</v>
      </c>
      <c r="T74" s="4">
        <v>0.60799999999999998</v>
      </c>
      <c r="U74" s="4">
        <v>0.5</v>
      </c>
      <c r="V74" s="4">
        <v>3</v>
      </c>
      <c r="W74" s="4">
        <v>1.9</v>
      </c>
      <c r="X74" s="4">
        <v>0.5</v>
      </c>
      <c r="Y74" s="4">
        <v>0.2</v>
      </c>
      <c r="Z74" s="4">
        <v>1.1000000000000001</v>
      </c>
      <c r="AA74" s="4">
        <v>1.9</v>
      </c>
      <c r="AB74" s="4">
        <v>6.4</v>
      </c>
      <c r="AC74" s="10">
        <f t="shared" si="7"/>
        <v>0.83116883116883133</v>
      </c>
      <c r="AD74" s="10">
        <f t="shared" si="8"/>
        <v>0.10526315789473685</v>
      </c>
      <c r="AE74" s="12">
        <f>100*(AC74/TOTAL_BASIC!$D$302)</f>
        <v>86.459814857746721</v>
      </c>
      <c r="AF74" s="9"/>
      <c r="AG74" s="9"/>
      <c r="AH74" s="12">
        <f t="shared" si="9"/>
        <v>37</v>
      </c>
      <c r="AI74" s="12">
        <f t="shared" si="10"/>
        <v>18.2</v>
      </c>
      <c r="AJ74" s="12">
        <f t="shared" si="11"/>
        <v>45.300000000000004</v>
      </c>
      <c r="AK74" s="12">
        <f t="shared" si="12"/>
        <v>50.2</v>
      </c>
      <c r="AL74" s="12">
        <f t="shared" si="13"/>
        <v>8.2000000000000011</v>
      </c>
    </row>
    <row r="75" spans="1:38" ht="15.75" customHeight="1">
      <c r="A75" s="1" t="s">
        <v>256</v>
      </c>
      <c r="B75" s="7" t="s">
        <v>107</v>
      </c>
      <c r="C75" s="4" t="s">
        <v>8</v>
      </c>
      <c r="D75" s="4">
        <v>27</v>
      </c>
      <c r="E75" s="4">
        <v>766</v>
      </c>
      <c r="F75" s="4">
        <v>27</v>
      </c>
      <c r="G75" s="4">
        <v>27</v>
      </c>
      <c r="H75" s="4">
        <v>28.4</v>
      </c>
      <c r="I75" s="4">
        <v>4.4000000000000004</v>
      </c>
      <c r="J75" s="4">
        <v>10.4</v>
      </c>
      <c r="K75" s="4">
        <v>0.42299999999999999</v>
      </c>
      <c r="L75" s="4">
        <v>1.1000000000000001</v>
      </c>
      <c r="M75" s="4">
        <v>3.4</v>
      </c>
      <c r="N75" s="4">
        <v>0.315</v>
      </c>
      <c r="O75" s="4">
        <v>3.3</v>
      </c>
      <c r="P75" s="4">
        <v>7</v>
      </c>
      <c r="Q75" s="4">
        <v>0.47599999999999998</v>
      </c>
      <c r="R75" s="4">
        <v>1.7</v>
      </c>
      <c r="S75" s="4">
        <v>2.4</v>
      </c>
      <c r="T75" s="4">
        <v>0.72299999999999998</v>
      </c>
      <c r="U75" s="4">
        <v>0.5</v>
      </c>
      <c r="V75" s="4">
        <v>1.9</v>
      </c>
      <c r="W75" s="4">
        <v>4.5999999999999996</v>
      </c>
      <c r="X75" s="4">
        <v>1.7</v>
      </c>
      <c r="Y75" s="4">
        <v>0.3</v>
      </c>
      <c r="Z75" s="4">
        <v>2.2000000000000002</v>
      </c>
      <c r="AA75" s="4">
        <v>2.9</v>
      </c>
      <c r="AB75" s="4">
        <v>11.6</v>
      </c>
      <c r="AC75" s="10">
        <f t="shared" si="7"/>
        <v>0.84944346807264215</v>
      </c>
      <c r="AD75" s="10">
        <f t="shared" si="8"/>
        <v>0.10344827586206896</v>
      </c>
      <c r="AE75" s="12">
        <f>100*(AC75/TOTAL_BASIC!$D$302)</f>
        <v>88.360778493587262</v>
      </c>
      <c r="AF75" s="9"/>
      <c r="AG75" s="9"/>
      <c r="AH75" s="12">
        <f t="shared" si="9"/>
        <v>35.299999999999997</v>
      </c>
      <c r="AI75" s="12">
        <f t="shared" si="10"/>
        <v>24.3</v>
      </c>
      <c r="AJ75" s="12">
        <f t="shared" si="11"/>
        <v>71.8</v>
      </c>
      <c r="AK75" s="12">
        <f t="shared" si="12"/>
        <v>78.400000000000006</v>
      </c>
      <c r="AL75" s="12">
        <f t="shared" si="13"/>
        <v>28.7</v>
      </c>
    </row>
    <row r="76" spans="1:38" ht="15.75" customHeight="1">
      <c r="A76" s="1" t="s">
        <v>212</v>
      </c>
      <c r="B76" s="7" t="s">
        <v>157</v>
      </c>
      <c r="C76" s="4" t="s">
        <v>119</v>
      </c>
      <c r="D76" s="4">
        <v>40</v>
      </c>
      <c r="E76" s="4">
        <v>764</v>
      </c>
      <c r="F76" s="4">
        <v>40</v>
      </c>
      <c r="G76" s="4">
        <v>11</v>
      </c>
      <c r="H76" s="4">
        <v>19.100000000000001</v>
      </c>
      <c r="I76" s="4">
        <v>2.2999999999999998</v>
      </c>
      <c r="J76" s="4">
        <v>3.7</v>
      </c>
      <c r="K76" s="4">
        <v>0.63700000000000001</v>
      </c>
      <c r="L76" s="4">
        <v>0</v>
      </c>
      <c r="M76" s="4">
        <v>0</v>
      </c>
      <c r="N76" s="4">
        <v>0</v>
      </c>
      <c r="O76" s="4">
        <v>2.2999999999999998</v>
      </c>
      <c r="P76" s="4">
        <v>3.7</v>
      </c>
      <c r="Q76" s="4">
        <v>0.63700000000000001</v>
      </c>
      <c r="R76" s="4">
        <v>0.9</v>
      </c>
      <c r="S76" s="4">
        <v>1.3</v>
      </c>
      <c r="T76" s="4">
        <v>0.65400000000000003</v>
      </c>
      <c r="U76" s="4">
        <v>1.5</v>
      </c>
      <c r="V76" s="4">
        <v>4.9000000000000004</v>
      </c>
      <c r="W76" s="4">
        <v>0.6</v>
      </c>
      <c r="X76" s="4">
        <v>0.6</v>
      </c>
      <c r="Y76" s="4">
        <v>0.8</v>
      </c>
      <c r="Z76" s="4">
        <v>0.8</v>
      </c>
      <c r="AA76" s="4">
        <v>2</v>
      </c>
      <c r="AB76" s="4">
        <v>5.5</v>
      </c>
      <c r="AC76" s="10">
        <f t="shared" si="7"/>
        <v>1.084384858044164</v>
      </c>
      <c r="AD76" s="10">
        <f t="shared" si="8"/>
        <v>0.4</v>
      </c>
      <c r="AE76" s="12">
        <f>100*(AC76/TOTAL_BASIC!$D$302)</f>
        <v>112.79984347969159</v>
      </c>
      <c r="AF76" s="9"/>
      <c r="AG76" s="9"/>
      <c r="AH76" s="12">
        <f t="shared" si="9"/>
        <v>86.1</v>
      </c>
      <c r="AI76" s="12">
        <f t="shared" si="10"/>
        <v>92.800000000000011</v>
      </c>
      <c r="AJ76" s="12">
        <f t="shared" si="11"/>
        <v>37</v>
      </c>
      <c r="AK76" s="12">
        <f t="shared" si="12"/>
        <v>47.5</v>
      </c>
      <c r="AL76" s="12">
        <f t="shared" si="13"/>
        <v>13.200000000000001</v>
      </c>
    </row>
    <row r="77" spans="1:38" ht="15.75" customHeight="1">
      <c r="A77" s="1" t="s">
        <v>142</v>
      </c>
      <c r="B77" s="7" t="s">
        <v>232</v>
      </c>
      <c r="C77" s="4" t="s">
        <v>85</v>
      </c>
      <c r="D77" s="4">
        <v>41</v>
      </c>
      <c r="E77" s="4">
        <v>749</v>
      </c>
      <c r="F77" s="4">
        <v>41</v>
      </c>
      <c r="G77" s="4">
        <v>27</v>
      </c>
      <c r="H77" s="4">
        <v>18.3</v>
      </c>
      <c r="I77" s="4">
        <v>1.6</v>
      </c>
      <c r="J77" s="4">
        <v>4.3</v>
      </c>
      <c r="K77" s="4">
        <v>0.36499999999999999</v>
      </c>
      <c r="L77" s="4">
        <v>0.5</v>
      </c>
      <c r="M77" s="4">
        <v>2.1</v>
      </c>
      <c r="N77" s="4">
        <v>0.247</v>
      </c>
      <c r="O77" s="4">
        <v>1.1000000000000001</v>
      </c>
      <c r="P77" s="4">
        <v>2.2999999999999998</v>
      </c>
      <c r="Q77" s="4">
        <v>0.47299999999999998</v>
      </c>
      <c r="R77" s="4">
        <v>0.6</v>
      </c>
      <c r="S77" s="4">
        <v>0.9</v>
      </c>
      <c r="T77" s="4">
        <v>0.63900000000000001</v>
      </c>
      <c r="U77" s="4">
        <v>0.8</v>
      </c>
      <c r="V77" s="4">
        <v>2.1</v>
      </c>
      <c r="W77" s="4">
        <v>0.7</v>
      </c>
      <c r="X77" s="4">
        <v>0.7</v>
      </c>
      <c r="Y77" s="4">
        <v>0.1</v>
      </c>
      <c r="Z77" s="4">
        <v>0.6</v>
      </c>
      <c r="AA77" s="4">
        <v>2.2000000000000002</v>
      </c>
      <c r="AB77" s="4">
        <v>4.2</v>
      </c>
      <c r="AC77" s="10">
        <f t="shared" si="7"/>
        <v>0.79305135951661643</v>
      </c>
      <c r="AD77" s="10">
        <f t="shared" si="8"/>
        <v>4.5454545454545456E-2</v>
      </c>
      <c r="AE77" s="12">
        <f>100*(AC77/TOTAL_BASIC!$D$302)</f>
        <v>82.4947605651532</v>
      </c>
      <c r="AF77" s="9"/>
      <c r="AG77" s="9"/>
      <c r="AH77" s="12">
        <f t="shared" si="9"/>
        <v>14.299999999999999</v>
      </c>
      <c r="AI77" s="12">
        <f t="shared" si="10"/>
        <v>12.7</v>
      </c>
      <c r="AJ77" s="12">
        <f t="shared" si="11"/>
        <v>24.3</v>
      </c>
      <c r="AK77" s="12">
        <f t="shared" si="12"/>
        <v>45.800000000000004</v>
      </c>
      <c r="AL77" s="12">
        <f t="shared" si="13"/>
        <v>10.4</v>
      </c>
    </row>
    <row r="78" spans="1:38" ht="15.75" customHeight="1">
      <c r="A78" s="1" t="s">
        <v>118</v>
      </c>
      <c r="B78" s="7" t="s">
        <v>93</v>
      </c>
      <c r="C78" s="4" t="s">
        <v>119</v>
      </c>
      <c r="D78" s="4">
        <v>33</v>
      </c>
      <c r="E78" s="4">
        <v>738</v>
      </c>
      <c r="F78" s="4">
        <v>33</v>
      </c>
      <c r="G78" s="4">
        <v>24</v>
      </c>
      <c r="H78" s="4">
        <v>22.4</v>
      </c>
      <c r="I78" s="4">
        <v>3.6</v>
      </c>
      <c r="J78" s="4">
        <v>5.9</v>
      </c>
      <c r="K78" s="4">
        <v>0.60199999999999998</v>
      </c>
      <c r="L78" s="4">
        <v>0.1</v>
      </c>
      <c r="M78" s="4">
        <v>0.2</v>
      </c>
      <c r="N78" s="4">
        <v>0.25</v>
      </c>
      <c r="O78" s="4">
        <v>3.5</v>
      </c>
      <c r="P78" s="4">
        <v>5.7</v>
      </c>
      <c r="Q78" s="4">
        <v>0.61699999999999999</v>
      </c>
      <c r="R78" s="4">
        <v>1.3</v>
      </c>
      <c r="S78" s="4">
        <v>1.6</v>
      </c>
      <c r="T78" s="4">
        <v>0.79200000000000004</v>
      </c>
      <c r="U78" s="4">
        <v>2.2999999999999998</v>
      </c>
      <c r="V78" s="4">
        <v>6.8</v>
      </c>
      <c r="W78" s="4">
        <v>1.2</v>
      </c>
      <c r="X78" s="4">
        <v>0.8</v>
      </c>
      <c r="Y78" s="4">
        <v>1.2</v>
      </c>
      <c r="Z78" s="4">
        <v>0.9</v>
      </c>
      <c r="AA78" s="4">
        <v>2.4</v>
      </c>
      <c r="AB78" s="4">
        <v>8.5</v>
      </c>
      <c r="AC78" s="10">
        <f t="shared" si="7"/>
        <v>1.1327292110874201</v>
      </c>
      <c r="AD78" s="10">
        <f t="shared" si="8"/>
        <v>0.5</v>
      </c>
      <c r="AE78" s="12">
        <f>100*(AC78/TOTAL_BASIC!$D$302)</f>
        <v>117.82871806785384</v>
      </c>
      <c r="AF78" s="9"/>
      <c r="AG78" s="9"/>
      <c r="AH78" s="12">
        <f t="shared" si="9"/>
        <v>90.600000000000009</v>
      </c>
      <c r="AI78" s="12">
        <f t="shared" si="10"/>
        <v>96.1</v>
      </c>
      <c r="AJ78" s="12">
        <f t="shared" si="11"/>
        <v>55.800000000000004</v>
      </c>
      <c r="AK78" s="12">
        <f t="shared" si="12"/>
        <v>57.999999999999993</v>
      </c>
      <c r="AL78" s="12">
        <f t="shared" si="13"/>
        <v>48</v>
      </c>
    </row>
    <row r="79" spans="1:38" ht="15.75" customHeight="1">
      <c r="A79" s="1" t="s">
        <v>208</v>
      </c>
      <c r="B79" s="7" t="s">
        <v>140</v>
      </c>
      <c r="C79" s="4" t="s">
        <v>88</v>
      </c>
      <c r="D79" s="4">
        <v>41</v>
      </c>
      <c r="E79" s="4">
        <v>707</v>
      </c>
      <c r="F79" s="4">
        <v>41</v>
      </c>
      <c r="G79" s="4">
        <v>1</v>
      </c>
      <c r="H79" s="4">
        <v>17.2</v>
      </c>
      <c r="I79" s="4">
        <v>2.5</v>
      </c>
      <c r="J79" s="4">
        <v>4.5999999999999996</v>
      </c>
      <c r="K79" s="4">
        <v>0.54300000000000004</v>
      </c>
      <c r="L79" s="4">
        <v>0</v>
      </c>
      <c r="M79" s="4">
        <v>0</v>
      </c>
      <c r="N79" s="4">
        <v>0</v>
      </c>
      <c r="O79" s="4">
        <v>2.5</v>
      </c>
      <c r="P79" s="4">
        <v>4.5999999999999996</v>
      </c>
      <c r="Q79" s="4">
        <v>0.54300000000000004</v>
      </c>
      <c r="R79" s="4">
        <v>1.4</v>
      </c>
      <c r="S79" s="4">
        <v>2</v>
      </c>
      <c r="T79" s="4">
        <v>0.72799999999999998</v>
      </c>
      <c r="U79" s="4">
        <v>1.1000000000000001</v>
      </c>
      <c r="V79" s="4">
        <v>4.5</v>
      </c>
      <c r="W79" s="4">
        <v>1.1000000000000001</v>
      </c>
      <c r="X79" s="4">
        <v>0.5</v>
      </c>
      <c r="Y79" s="4">
        <v>0.8</v>
      </c>
      <c r="Z79" s="4">
        <v>0.9</v>
      </c>
      <c r="AA79" s="4">
        <v>1.3</v>
      </c>
      <c r="AB79" s="4">
        <v>6.4</v>
      </c>
      <c r="AC79" s="10">
        <f t="shared" si="7"/>
        <v>1.0031347962382446</v>
      </c>
      <c r="AD79" s="10">
        <f t="shared" si="8"/>
        <v>0.61538461538461542</v>
      </c>
      <c r="AE79" s="12">
        <f>100*(AC79/TOTAL_BASIC!$D$302)</f>
        <v>104.3480524145219</v>
      </c>
      <c r="AF79" s="9"/>
      <c r="AG79" s="9"/>
      <c r="AH79" s="12">
        <f t="shared" si="9"/>
        <v>95</v>
      </c>
      <c r="AI79" s="12">
        <f t="shared" si="10"/>
        <v>70.7</v>
      </c>
      <c r="AJ79" s="12">
        <f t="shared" si="11"/>
        <v>45.300000000000004</v>
      </c>
      <c r="AK79" s="12">
        <f t="shared" si="12"/>
        <v>43</v>
      </c>
      <c r="AL79" s="12">
        <f t="shared" si="13"/>
        <v>29.799999999999997</v>
      </c>
    </row>
    <row r="80" spans="1:38" ht="15.75" customHeight="1">
      <c r="A80" s="1" t="s">
        <v>184</v>
      </c>
      <c r="B80" s="7" t="s">
        <v>107</v>
      </c>
      <c r="C80" s="4" t="s">
        <v>88</v>
      </c>
      <c r="D80" s="4">
        <v>33</v>
      </c>
      <c r="E80" s="4">
        <v>700</v>
      </c>
      <c r="F80" s="4">
        <v>33</v>
      </c>
      <c r="G80" s="4">
        <v>23</v>
      </c>
      <c r="H80" s="4">
        <v>21.2</v>
      </c>
      <c r="I80" s="4">
        <v>3.8</v>
      </c>
      <c r="J80" s="4">
        <v>6.6</v>
      </c>
      <c r="K80" s="4">
        <v>0.57599999999999996</v>
      </c>
      <c r="L80" s="4">
        <v>0</v>
      </c>
      <c r="M80" s="4">
        <v>0.1</v>
      </c>
      <c r="N80" s="4">
        <v>0</v>
      </c>
      <c r="O80" s="4">
        <v>3.8</v>
      </c>
      <c r="P80" s="4">
        <v>6.5</v>
      </c>
      <c r="Q80" s="4">
        <v>0.58099999999999996</v>
      </c>
      <c r="R80" s="4">
        <v>2.5</v>
      </c>
      <c r="S80" s="4">
        <v>3.7</v>
      </c>
      <c r="T80" s="4">
        <v>0.68300000000000005</v>
      </c>
      <c r="U80" s="4">
        <v>1.6</v>
      </c>
      <c r="V80" s="4">
        <v>5.9</v>
      </c>
      <c r="W80" s="4">
        <v>1.6</v>
      </c>
      <c r="X80" s="4">
        <v>0.8</v>
      </c>
      <c r="Y80" s="4">
        <v>0.8</v>
      </c>
      <c r="Z80" s="4">
        <v>1.6</v>
      </c>
      <c r="AA80" s="4">
        <v>3</v>
      </c>
      <c r="AB80" s="4">
        <v>10.1</v>
      </c>
      <c r="AC80" s="10">
        <f t="shared" si="7"/>
        <v>1.0276760276760277</v>
      </c>
      <c r="AD80" s="10">
        <f t="shared" si="8"/>
        <v>0.26666666666666666</v>
      </c>
      <c r="AE80" s="12">
        <f>100*(AC80/TOTAL_BASIC!$D$302)</f>
        <v>106.90087952608238</v>
      </c>
      <c r="AF80" s="9"/>
      <c r="AG80" s="9"/>
      <c r="AH80" s="12">
        <f t="shared" si="9"/>
        <v>75.599999999999994</v>
      </c>
      <c r="AI80" s="12">
        <f t="shared" si="10"/>
        <v>79.5</v>
      </c>
      <c r="AJ80" s="12">
        <f t="shared" si="11"/>
        <v>64.600000000000009</v>
      </c>
      <c r="AK80" s="12">
        <f t="shared" si="12"/>
        <v>54.6</v>
      </c>
      <c r="AL80" s="12">
        <f t="shared" si="13"/>
        <v>18.7</v>
      </c>
    </row>
    <row r="81" spans="1:38" ht="15.75" customHeight="1">
      <c r="A81" s="1" t="s">
        <v>181</v>
      </c>
      <c r="B81" s="7" t="s">
        <v>117</v>
      </c>
      <c r="C81" s="4" t="s">
        <v>85</v>
      </c>
      <c r="D81" s="4">
        <v>41</v>
      </c>
      <c r="E81" s="4">
        <v>691</v>
      </c>
      <c r="F81" s="4">
        <v>41</v>
      </c>
      <c r="G81" s="4">
        <v>40</v>
      </c>
      <c r="H81" s="4">
        <v>16.899999999999999</v>
      </c>
      <c r="I81" s="4">
        <v>1.4</v>
      </c>
      <c r="J81" s="4">
        <v>3.1</v>
      </c>
      <c r="K81" s="4">
        <v>0.442</v>
      </c>
      <c r="L81" s="4">
        <v>0.5</v>
      </c>
      <c r="M81" s="4">
        <v>1.8</v>
      </c>
      <c r="N81" s="4">
        <v>0.27800000000000002</v>
      </c>
      <c r="O81" s="4">
        <v>0.9</v>
      </c>
      <c r="P81" s="4">
        <v>1.4</v>
      </c>
      <c r="Q81" s="4">
        <v>0.64900000000000002</v>
      </c>
      <c r="R81" s="4">
        <v>0.3</v>
      </c>
      <c r="S81" s="4">
        <v>0.4</v>
      </c>
      <c r="T81" s="4">
        <v>0.66700000000000004</v>
      </c>
      <c r="U81" s="4">
        <v>0.8</v>
      </c>
      <c r="V81" s="4">
        <v>2.6</v>
      </c>
      <c r="W81" s="4">
        <v>1.1000000000000001</v>
      </c>
      <c r="X81" s="4">
        <v>0.6</v>
      </c>
      <c r="Y81" s="4">
        <v>0.3</v>
      </c>
      <c r="Z81" s="4">
        <v>0.7</v>
      </c>
      <c r="AA81" s="4">
        <v>1.6</v>
      </c>
      <c r="AB81" s="4">
        <v>3.6</v>
      </c>
      <c r="AC81" s="10">
        <f t="shared" si="7"/>
        <v>0.90543259557344069</v>
      </c>
      <c r="AD81" s="10">
        <f t="shared" si="8"/>
        <v>0.18749999999999997</v>
      </c>
      <c r="AE81" s="12">
        <f>100*(AC81/TOTAL_BASIC!$D$302)</f>
        <v>94.184877540899265</v>
      </c>
      <c r="AF81" s="9"/>
      <c r="AG81" s="9"/>
      <c r="AH81" s="12">
        <f t="shared" si="9"/>
        <v>62.4</v>
      </c>
      <c r="AI81" s="12">
        <f t="shared" si="10"/>
        <v>41.9</v>
      </c>
      <c r="AJ81" s="12">
        <f t="shared" si="11"/>
        <v>15.4</v>
      </c>
      <c r="AK81" s="12">
        <f t="shared" si="12"/>
        <v>40.799999999999997</v>
      </c>
      <c r="AL81" s="12">
        <f t="shared" si="13"/>
        <v>14.299999999999999</v>
      </c>
    </row>
    <row r="82" spans="1:38" ht="15.75" customHeight="1">
      <c r="A82" s="1" t="s">
        <v>236</v>
      </c>
      <c r="B82" s="7" t="s">
        <v>131</v>
      </c>
      <c r="C82" s="4" t="s">
        <v>8</v>
      </c>
      <c r="D82" s="4">
        <v>34</v>
      </c>
      <c r="E82" s="4">
        <v>690</v>
      </c>
      <c r="F82" s="4">
        <v>34</v>
      </c>
      <c r="G82" s="4">
        <v>23</v>
      </c>
      <c r="H82" s="4">
        <v>20.3</v>
      </c>
      <c r="I82" s="4">
        <v>4.9000000000000004</v>
      </c>
      <c r="J82" s="4">
        <v>11.2</v>
      </c>
      <c r="K82" s="4">
        <v>0.432</v>
      </c>
      <c r="L82" s="4">
        <v>2</v>
      </c>
      <c r="M82" s="4">
        <v>6</v>
      </c>
      <c r="N82" s="4">
        <v>0.33500000000000002</v>
      </c>
      <c r="O82" s="4">
        <v>2.9</v>
      </c>
      <c r="P82" s="4">
        <v>5.3</v>
      </c>
      <c r="Q82" s="4">
        <v>0.54200000000000004</v>
      </c>
      <c r="R82" s="4">
        <v>2.1</v>
      </c>
      <c r="S82" s="4">
        <v>2.6</v>
      </c>
      <c r="T82" s="4">
        <v>0.79500000000000004</v>
      </c>
      <c r="U82" s="4">
        <v>0.4</v>
      </c>
      <c r="V82" s="4">
        <v>1.5</v>
      </c>
      <c r="W82" s="4">
        <v>1.8</v>
      </c>
      <c r="X82" s="4">
        <v>0.7</v>
      </c>
      <c r="Y82" s="4">
        <v>0.2</v>
      </c>
      <c r="Z82" s="4">
        <v>1.5</v>
      </c>
      <c r="AA82" s="4">
        <v>2.5</v>
      </c>
      <c r="AB82" s="4">
        <v>13.8</v>
      </c>
      <c r="AC82" s="10">
        <f t="shared" si="7"/>
        <v>0.99682172782432832</v>
      </c>
      <c r="AD82" s="10">
        <f t="shared" si="8"/>
        <v>0.08</v>
      </c>
      <c r="AE82" s="12">
        <f>100*(AC82/TOTAL_BASIC!$D$302)</f>
        <v>103.69135463450057</v>
      </c>
      <c r="AF82" s="9"/>
      <c r="AG82" s="9"/>
      <c r="AH82" s="12">
        <f t="shared" si="9"/>
        <v>28.7</v>
      </c>
      <c r="AI82" s="12">
        <f t="shared" si="10"/>
        <v>69</v>
      </c>
      <c r="AJ82" s="12">
        <f t="shared" si="11"/>
        <v>78.400000000000006</v>
      </c>
      <c r="AK82" s="12">
        <f t="shared" si="12"/>
        <v>52.400000000000006</v>
      </c>
      <c r="AL82" s="12">
        <f t="shared" si="13"/>
        <v>49.1</v>
      </c>
    </row>
    <row r="83" spans="1:38" ht="15.75" customHeight="1">
      <c r="A83" s="1" t="s">
        <v>257</v>
      </c>
      <c r="B83" s="7" t="s">
        <v>161</v>
      </c>
      <c r="C83" s="4" t="s">
        <v>85</v>
      </c>
      <c r="D83" s="4">
        <v>29</v>
      </c>
      <c r="E83" s="4">
        <v>688</v>
      </c>
      <c r="F83" s="4">
        <v>29</v>
      </c>
      <c r="G83" s="4">
        <v>23</v>
      </c>
      <c r="H83" s="4">
        <v>23.7</v>
      </c>
      <c r="I83" s="4">
        <v>4.5999999999999996</v>
      </c>
      <c r="J83" s="4">
        <v>10.4</v>
      </c>
      <c r="K83" s="4">
        <v>0.437</v>
      </c>
      <c r="L83" s="4">
        <v>0.7</v>
      </c>
      <c r="M83" s="4">
        <v>2.2999999999999998</v>
      </c>
      <c r="N83" s="4">
        <v>0.29399999999999998</v>
      </c>
      <c r="O83" s="4">
        <v>3.9</v>
      </c>
      <c r="P83" s="4">
        <v>8.1</v>
      </c>
      <c r="Q83" s="4">
        <v>0.47899999999999998</v>
      </c>
      <c r="R83" s="4">
        <v>2.7</v>
      </c>
      <c r="S83" s="4">
        <v>3.8</v>
      </c>
      <c r="T83" s="4">
        <v>0.71199999999999997</v>
      </c>
      <c r="U83" s="4">
        <v>1.8</v>
      </c>
      <c r="V83" s="4">
        <v>6.6</v>
      </c>
      <c r="W83" s="4">
        <v>1.6</v>
      </c>
      <c r="X83" s="4">
        <v>0.8</v>
      </c>
      <c r="Y83" s="4">
        <v>0.7</v>
      </c>
      <c r="Z83" s="4">
        <v>1.7</v>
      </c>
      <c r="AA83" s="4">
        <v>2.5</v>
      </c>
      <c r="AB83" s="4">
        <v>12.5</v>
      </c>
      <c r="AC83" s="10">
        <f t="shared" si="7"/>
        <v>0.90763868719140284</v>
      </c>
      <c r="AD83" s="10">
        <f t="shared" si="8"/>
        <v>0.27999999999999997</v>
      </c>
      <c r="AE83" s="12">
        <f>100*(AC83/TOTAL_BASIC!$D$302)</f>
        <v>94.414359525419783</v>
      </c>
      <c r="AF83" s="9"/>
      <c r="AG83" s="9"/>
      <c r="AH83" s="12">
        <f t="shared" si="9"/>
        <v>77.900000000000006</v>
      </c>
      <c r="AI83" s="12">
        <f t="shared" si="10"/>
        <v>42.5</v>
      </c>
      <c r="AJ83" s="12">
        <f t="shared" si="11"/>
        <v>75.099999999999994</v>
      </c>
      <c r="AK83" s="12">
        <f t="shared" si="12"/>
        <v>62.9</v>
      </c>
      <c r="AL83" s="12">
        <f t="shared" si="13"/>
        <v>22.6</v>
      </c>
    </row>
    <row r="84" spans="1:38" ht="15.75" customHeight="1">
      <c r="A84" s="1" t="s">
        <v>167</v>
      </c>
      <c r="B84" s="4" t="s">
        <v>131</v>
      </c>
      <c r="C84" s="4" t="s">
        <v>8</v>
      </c>
      <c r="D84" s="4">
        <v>36</v>
      </c>
      <c r="E84" s="4">
        <v>687</v>
      </c>
      <c r="F84" s="4">
        <v>36</v>
      </c>
      <c r="G84" s="4">
        <v>15</v>
      </c>
      <c r="H84" s="4">
        <v>19.100000000000001</v>
      </c>
      <c r="I84" s="4">
        <v>2.4</v>
      </c>
      <c r="J84" s="4">
        <v>5.7</v>
      </c>
      <c r="K84" s="4">
        <v>0.41699999999999998</v>
      </c>
      <c r="L84" s="4">
        <v>0.4</v>
      </c>
      <c r="M84" s="4">
        <v>1.8</v>
      </c>
      <c r="N84" s="4">
        <v>0.25</v>
      </c>
      <c r="O84" s="4">
        <v>1.9</v>
      </c>
      <c r="P84" s="4">
        <v>3.9</v>
      </c>
      <c r="Q84" s="4">
        <v>0.49299999999999999</v>
      </c>
      <c r="R84" s="4">
        <v>1.4</v>
      </c>
      <c r="S84" s="4">
        <v>1.7</v>
      </c>
      <c r="T84" s="4">
        <v>0.82</v>
      </c>
      <c r="U84" s="4">
        <v>0.7</v>
      </c>
      <c r="V84" s="4">
        <v>2.9</v>
      </c>
      <c r="W84" s="4">
        <v>0.8</v>
      </c>
      <c r="X84" s="4">
        <v>0.7</v>
      </c>
      <c r="Y84" s="4">
        <v>0.1</v>
      </c>
      <c r="Z84" s="4">
        <v>1.1000000000000001</v>
      </c>
      <c r="AA84" s="4">
        <v>1.4</v>
      </c>
      <c r="AB84" s="4">
        <v>6.6</v>
      </c>
      <c r="AC84" s="10">
        <f t="shared" si="7"/>
        <v>0.87440381558028613</v>
      </c>
      <c r="AD84" s="10">
        <f t="shared" si="8"/>
        <v>7.1428571428571438E-2</v>
      </c>
      <c r="AE84" s="12">
        <f>100*(AC84/TOTAL_BASIC!$D$302)</f>
        <v>90.957202882193272</v>
      </c>
      <c r="AF84" s="9"/>
      <c r="AG84" s="9"/>
      <c r="AH84" s="12">
        <f t="shared" si="9"/>
        <v>24.3</v>
      </c>
      <c r="AI84" s="12">
        <f t="shared" si="10"/>
        <v>32.5</v>
      </c>
      <c r="AJ84" s="12">
        <f t="shared" si="11"/>
        <v>48</v>
      </c>
      <c r="AK84" s="12">
        <f t="shared" si="12"/>
        <v>47.5</v>
      </c>
      <c r="AL84" s="12">
        <f t="shared" si="13"/>
        <v>57.999999999999993</v>
      </c>
    </row>
    <row r="85" spans="1:38" ht="15.75" customHeight="1">
      <c r="A85" s="1" t="s">
        <v>220</v>
      </c>
      <c r="B85" s="7" t="s">
        <v>99</v>
      </c>
      <c r="C85" s="4" t="s">
        <v>85</v>
      </c>
      <c r="D85" s="4">
        <v>38</v>
      </c>
      <c r="E85" s="4">
        <v>678</v>
      </c>
      <c r="F85" s="4">
        <v>38</v>
      </c>
      <c r="G85" s="4">
        <v>23</v>
      </c>
      <c r="H85" s="4">
        <v>17.8</v>
      </c>
      <c r="I85" s="4">
        <v>2.2000000000000002</v>
      </c>
      <c r="J85" s="4">
        <v>4.5999999999999996</v>
      </c>
      <c r="K85" s="4">
        <v>0.48599999999999999</v>
      </c>
      <c r="L85" s="4">
        <v>0.7</v>
      </c>
      <c r="M85" s="4">
        <v>1.9</v>
      </c>
      <c r="N85" s="4">
        <v>0.34200000000000003</v>
      </c>
      <c r="O85" s="4">
        <v>1.6</v>
      </c>
      <c r="P85" s="4">
        <v>2.6</v>
      </c>
      <c r="Q85" s="4">
        <v>0.59</v>
      </c>
      <c r="R85" s="4">
        <v>0.9</v>
      </c>
      <c r="S85" s="4">
        <v>1.2</v>
      </c>
      <c r="T85" s="4">
        <v>0.71699999999999997</v>
      </c>
      <c r="U85" s="4">
        <v>0.8</v>
      </c>
      <c r="V85" s="4">
        <v>3.8</v>
      </c>
      <c r="W85" s="4">
        <v>1</v>
      </c>
      <c r="X85" s="4">
        <v>0.5</v>
      </c>
      <c r="Y85" s="4">
        <v>1.7</v>
      </c>
      <c r="Z85" s="4">
        <v>1</v>
      </c>
      <c r="AA85" s="4">
        <v>1.7</v>
      </c>
      <c r="AB85" s="4">
        <v>5.9</v>
      </c>
      <c r="AC85" s="10">
        <f t="shared" si="7"/>
        <v>0.96279373368146215</v>
      </c>
      <c r="AD85" s="10">
        <f t="shared" si="8"/>
        <v>1</v>
      </c>
      <c r="AE85" s="12">
        <f>100*(AC85/TOTAL_BASIC!$D$302)</f>
        <v>100.15169582723343</v>
      </c>
      <c r="AF85" s="9"/>
      <c r="AG85" s="9"/>
      <c r="AH85" s="12">
        <f t="shared" si="9"/>
        <v>98.8</v>
      </c>
      <c r="AI85" s="12">
        <f t="shared" si="10"/>
        <v>55.2</v>
      </c>
      <c r="AJ85" s="12">
        <f t="shared" si="11"/>
        <v>39.700000000000003</v>
      </c>
      <c r="AK85" s="12">
        <f t="shared" si="12"/>
        <v>44.7</v>
      </c>
      <c r="AL85" s="12">
        <f t="shared" si="13"/>
        <v>25.4</v>
      </c>
    </row>
    <row r="86" spans="1:38" ht="15.75" customHeight="1">
      <c r="A86" s="1" t="s">
        <v>209</v>
      </c>
      <c r="B86" s="7" t="s">
        <v>131</v>
      </c>
      <c r="C86" s="4" t="s">
        <v>183</v>
      </c>
      <c r="D86" s="4">
        <v>41</v>
      </c>
      <c r="E86" s="4">
        <v>676</v>
      </c>
      <c r="F86" s="4">
        <v>41</v>
      </c>
      <c r="G86" s="4">
        <v>1</v>
      </c>
      <c r="H86" s="4">
        <v>16.5</v>
      </c>
      <c r="I86" s="4">
        <v>2</v>
      </c>
      <c r="J86" s="4">
        <v>4.4000000000000004</v>
      </c>
      <c r="K86" s="4">
        <v>0.46100000000000002</v>
      </c>
      <c r="L86" s="4">
        <v>0</v>
      </c>
      <c r="M86" s="4">
        <v>0</v>
      </c>
      <c r="N86" s="4">
        <v>0</v>
      </c>
      <c r="O86" s="4">
        <v>2</v>
      </c>
      <c r="P86" s="4">
        <v>4.4000000000000004</v>
      </c>
      <c r="Q86" s="4">
        <v>0.46100000000000002</v>
      </c>
      <c r="R86" s="4">
        <v>1</v>
      </c>
      <c r="S86" s="4">
        <v>2.2000000000000002</v>
      </c>
      <c r="T86" s="4">
        <v>0.44900000000000001</v>
      </c>
      <c r="U86" s="4">
        <v>1.2</v>
      </c>
      <c r="V86" s="4">
        <v>3.4</v>
      </c>
      <c r="W86" s="4">
        <v>1.3</v>
      </c>
      <c r="X86" s="4">
        <v>0.6</v>
      </c>
      <c r="Y86" s="4">
        <v>0.8</v>
      </c>
      <c r="Z86" s="4">
        <v>0.8</v>
      </c>
      <c r="AA86" s="4">
        <v>1.3</v>
      </c>
      <c r="AB86" s="4">
        <v>5</v>
      </c>
      <c r="AC86" s="10">
        <f t="shared" si="7"/>
        <v>0.81063553826199741</v>
      </c>
      <c r="AD86" s="10">
        <f t="shared" si="8"/>
        <v>0.61538461538461542</v>
      </c>
      <c r="AE86" s="12">
        <f>100*(AC86/TOTAL_BASIC!$D$302)</f>
        <v>84.323901386775702</v>
      </c>
      <c r="AF86" s="9"/>
      <c r="AG86" s="9"/>
      <c r="AH86" s="12">
        <f t="shared" si="9"/>
        <v>95</v>
      </c>
      <c r="AI86" s="12">
        <f t="shared" si="10"/>
        <v>14.299999999999999</v>
      </c>
      <c r="AJ86" s="12">
        <f t="shared" si="11"/>
        <v>31.4</v>
      </c>
      <c r="AK86" s="12">
        <f t="shared" si="12"/>
        <v>37.5</v>
      </c>
      <c r="AL86" s="12">
        <f t="shared" si="13"/>
        <v>1.0999999999999999</v>
      </c>
    </row>
    <row r="87" spans="1:38" ht="15.75" customHeight="1">
      <c r="A87" s="1" t="s">
        <v>247</v>
      </c>
      <c r="B87" s="7" t="s">
        <v>91</v>
      </c>
      <c r="C87" s="4" t="s">
        <v>85</v>
      </c>
      <c r="D87" s="4">
        <v>35</v>
      </c>
      <c r="E87" s="4">
        <v>670</v>
      </c>
      <c r="F87" s="4">
        <v>35</v>
      </c>
      <c r="G87" s="4">
        <v>32</v>
      </c>
      <c r="H87" s="4">
        <v>19.100000000000001</v>
      </c>
      <c r="I87" s="4">
        <v>3.3</v>
      </c>
      <c r="J87" s="4">
        <v>8.1999999999999993</v>
      </c>
      <c r="K87" s="4">
        <v>0.39700000000000002</v>
      </c>
      <c r="L87" s="4">
        <v>1.3</v>
      </c>
      <c r="M87" s="4">
        <v>4.0999999999999996</v>
      </c>
      <c r="N87" s="4">
        <v>0.32600000000000001</v>
      </c>
      <c r="O87" s="4">
        <v>1.9</v>
      </c>
      <c r="P87" s="4">
        <v>4.0999999999999996</v>
      </c>
      <c r="Q87" s="4">
        <v>0.46899999999999997</v>
      </c>
      <c r="R87" s="4">
        <v>1</v>
      </c>
      <c r="S87" s="4">
        <v>1.2</v>
      </c>
      <c r="T87" s="4">
        <v>0.82899999999999996</v>
      </c>
      <c r="U87" s="4">
        <v>0.3</v>
      </c>
      <c r="V87" s="4">
        <v>2.2000000000000002</v>
      </c>
      <c r="W87" s="4">
        <v>1.8</v>
      </c>
      <c r="X87" s="4">
        <v>0.9</v>
      </c>
      <c r="Y87" s="4">
        <v>0.2</v>
      </c>
      <c r="Z87" s="4">
        <v>1.4</v>
      </c>
      <c r="AA87" s="4">
        <v>2</v>
      </c>
      <c r="AB87" s="4">
        <v>8.8000000000000007</v>
      </c>
      <c r="AC87" s="10">
        <f t="shared" si="7"/>
        <v>0.86887835703001581</v>
      </c>
      <c r="AD87" s="10">
        <f t="shared" si="8"/>
        <v>0.1</v>
      </c>
      <c r="AE87" s="12">
        <f>100*(AC87/TOTAL_BASIC!$D$302)</f>
        <v>90.382433827645457</v>
      </c>
      <c r="AF87" s="9"/>
      <c r="AG87" s="9"/>
      <c r="AH87" s="12">
        <f t="shared" si="9"/>
        <v>33.1</v>
      </c>
      <c r="AI87" s="12">
        <f t="shared" si="10"/>
        <v>29.2</v>
      </c>
      <c r="AJ87" s="12">
        <f t="shared" si="11"/>
        <v>56.899999999999991</v>
      </c>
      <c r="AK87" s="12">
        <f t="shared" si="12"/>
        <v>47.5</v>
      </c>
      <c r="AL87" s="12">
        <f t="shared" si="13"/>
        <v>61.8</v>
      </c>
    </row>
    <row r="88" spans="1:38" ht="15.75" customHeight="1">
      <c r="A88" s="1" t="s">
        <v>199</v>
      </c>
      <c r="B88" s="7" t="s">
        <v>161</v>
      </c>
      <c r="C88" s="4" t="s">
        <v>8</v>
      </c>
      <c r="D88" s="4">
        <v>25</v>
      </c>
      <c r="E88" s="4">
        <v>668</v>
      </c>
      <c r="F88" s="4">
        <v>25</v>
      </c>
      <c r="G88" s="4">
        <v>17</v>
      </c>
      <c r="H88" s="4">
        <v>26.7</v>
      </c>
      <c r="I88" s="4">
        <v>4.2</v>
      </c>
      <c r="J88" s="4">
        <v>9</v>
      </c>
      <c r="K88" s="4">
        <v>0.47299999999999998</v>
      </c>
      <c r="L88" s="4">
        <v>0.9</v>
      </c>
      <c r="M88" s="4">
        <v>2.5</v>
      </c>
      <c r="N88" s="4">
        <v>0.34899999999999998</v>
      </c>
      <c r="O88" s="4">
        <v>3.4</v>
      </c>
      <c r="P88" s="4">
        <v>6.4</v>
      </c>
      <c r="Q88" s="4">
        <v>0.52200000000000002</v>
      </c>
      <c r="R88" s="4">
        <v>3.4</v>
      </c>
      <c r="S88" s="4">
        <v>3.9</v>
      </c>
      <c r="T88" s="4">
        <v>0.86699999999999999</v>
      </c>
      <c r="U88" s="4">
        <v>1.1000000000000001</v>
      </c>
      <c r="V88" s="4">
        <v>3.6</v>
      </c>
      <c r="W88" s="4">
        <v>3.3</v>
      </c>
      <c r="X88" s="4">
        <v>0.8</v>
      </c>
      <c r="Y88" s="4">
        <v>0.2</v>
      </c>
      <c r="Z88" s="4">
        <v>1.7</v>
      </c>
      <c r="AA88" s="4">
        <v>3</v>
      </c>
      <c r="AB88" s="4">
        <v>12.8</v>
      </c>
      <c r="AC88" s="10">
        <f t="shared" si="7"/>
        <v>1.0309278350515465</v>
      </c>
      <c r="AD88" s="10">
        <f t="shared" si="8"/>
        <v>6.6666666666666666E-2</v>
      </c>
      <c r="AE88" s="12">
        <f>100*(AC88/TOTAL_BASIC!$D$302)</f>
        <v>107.23913891827476</v>
      </c>
      <c r="AF88" s="9"/>
      <c r="AG88" s="9"/>
      <c r="AH88" s="12">
        <f t="shared" si="9"/>
        <v>22.6</v>
      </c>
      <c r="AI88" s="12">
        <f t="shared" si="10"/>
        <v>81.2</v>
      </c>
      <c r="AJ88" s="12">
        <f t="shared" si="11"/>
        <v>75.599999999999994</v>
      </c>
      <c r="AK88" s="12">
        <f t="shared" si="12"/>
        <v>73.400000000000006</v>
      </c>
      <c r="AL88" s="12">
        <f t="shared" si="13"/>
        <v>78.400000000000006</v>
      </c>
    </row>
    <row r="89" spans="1:38" ht="15.75" customHeight="1">
      <c r="A89" s="1" t="s">
        <v>235</v>
      </c>
      <c r="B89" s="7" t="s">
        <v>91</v>
      </c>
      <c r="C89" s="4" t="s">
        <v>8</v>
      </c>
      <c r="D89" s="4">
        <v>39</v>
      </c>
      <c r="E89" s="4">
        <v>655</v>
      </c>
      <c r="F89" s="4">
        <v>39</v>
      </c>
      <c r="G89" s="4">
        <v>3</v>
      </c>
      <c r="H89" s="4">
        <v>16.8</v>
      </c>
      <c r="I89" s="4">
        <v>3</v>
      </c>
      <c r="J89" s="4">
        <v>6.5</v>
      </c>
      <c r="K89" s="4">
        <v>0.46200000000000002</v>
      </c>
      <c r="L89" s="4">
        <v>0.6</v>
      </c>
      <c r="M89" s="4">
        <v>2.2000000000000002</v>
      </c>
      <c r="N89" s="4">
        <v>0.28599999999999998</v>
      </c>
      <c r="O89" s="4">
        <v>2.4</v>
      </c>
      <c r="P89" s="4">
        <v>4.3</v>
      </c>
      <c r="Q89" s="4">
        <v>0.55000000000000004</v>
      </c>
      <c r="R89" s="4">
        <v>2.4</v>
      </c>
      <c r="S89" s="4">
        <v>3.1</v>
      </c>
      <c r="T89" s="4">
        <v>0.79800000000000004</v>
      </c>
      <c r="U89" s="4">
        <v>0.6</v>
      </c>
      <c r="V89" s="4">
        <v>2.1</v>
      </c>
      <c r="W89" s="4">
        <v>2.5</v>
      </c>
      <c r="X89" s="4">
        <v>0.8</v>
      </c>
      <c r="Y89" s="4">
        <v>0.2</v>
      </c>
      <c r="Z89" s="4">
        <v>1.1000000000000001</v>
      </c>
      <c r="AA89" s="4">
        <v>2</v>
      </c>
      <c r="AB89" s="4">
        <v>9.1</v>
      </c>
      <c r="AC89" s="10">
        <f t="shared" si="7"/>
        <v>1.0151717983043282</v>
      </c>
      <c r="AD89" s="10">
        <f t="shared" si="8"/>
        <v>0.1</v>
      </c>
      <c r="AE89" s="12">
        <f>100*(AC89/TOTAL_BASIC!$D$302)</f>
        <v>105.60016501914447</v>
      </c>
      <c r="AF89" s="9"/>
      <c r="AG89" s="9"/>
      <c r="AH89" s="12">
        <f t="shared" si="9"/>
        <v>33.1</v>
      </c>
      <c r="AI89" s="12">
        <f t="shared" si="10"/>
        <v>74.5</v>
      </c>
      <c r="AJ89" s="12">
        <f t="shared" si="11"/>
        <v>60.199999999999996</v>
      </c>
      <c r="AK89" s="12">
        <f t="shared" si="12"/>
        <v>39.700000000000003</v>
      </c>
      <c r="AL89" s="12">
        <f t="shared" si="13"/>
        <v>50.2</v>
      </c>
    </row>
    <row r="90" spans="1:38" ht="15.75" customHeight="1">
      <c r="A90" s="1" t="s">
        <v>146</v>
      </c>
      <c r="B90" s="7" t="s">
        <v>232</v>
      </c>
      <c r="C90" s="4" t="s">
        <v>8</v>
      </c>
      <c r="D90" s="4">
        <v>26</v>
      </c>
      <c r="E90" s="4">
        <v>642</v>
      </c>
      <c r="F90" s="4">
        <v>26</v>
      </c>
      <c r="G90" s="4">
        <v>15</v>
      </c>
      <c r="H90" s="4">
        <v>24.7</v>
      </c>
      <c r="I90" s="4">
        <v>4.2</v>
      </c>
      <c r="J90" s="4">
        <v>8.3000000000000007</v>
      </c>
      <c r="K90" s="4">
        <v>0.502</v>
      </c>
      <c r="L90" s="4">
        <v>1.4</v>
      </c>
      <c r="M90" s="4">
        <v>3.5</v>
      </c>
      <c r="N90" s="4">
        <v>0.4</v>
      </c>
      <c r="O90" s="4">
        <v>2.8</v>
      </c>
      <c r="P90" s="4">
        <v>4.8</v>
      </c>
      <c r="Q90" s="4">
        <v>0.57599999999999996</v>
      </c>
      <c r="R90" s="4">
        <v>1</v>
      </c>
      <c r="S90" s="4">
        <v>1.3</v>
      </c>
      <c r="T90" s="4">
        <v>0.74299999999999999</v>
      </c>
      <c r="U90" s="4">
        <v>0.8</v>
      </c>
      <c r="V90" s="4">
        <v>4.5</v>
      </c>
      <c r="W90" s="4">
        <v>2.4</v>
      </c>
      <c r="X90" s="4">
        <v>0.9</v>
      </c>
      <c r="Y90" s="4">
        <v>0.3</v>
      </c>
      <c r="Z90" s="4">
        <v>2</v>
      </c>
      <c r="AA90" s="4">
        <v>2.5</v>
      </c>
      <c r="AB90" s="4">
        <v>10.7</v>
      </c>
      <c r="AC90" s="10">
        <f t="shared" si="7"/>
        <v>0.98417954378219275</v>
      </c>
      <c r="AD90" s="10">
        <f t="shared" si="8"/>
        <v>0.12</v>
      </c>
      <c r="AE90" s="12">
        <f>100*(AC90/TOTAL_BASIC!$D$302)</f>
        <v>102.37628981169735</v>
      </c>
      <c r="AF90" s="9"/>
      <c r="AG90" s="9"/>
      <c r="AH90" s="12">
        <f t="shared" si="9"/>
        <v>41.9</v>
      </c>
      <c r="AI90" s="12">
        <f t="shared" si="10"/>
        <v>65.100000000000009</v>
      </c>
      <c r="AJ90" s="12">
        <f t="shared" si="11"/>
        <v>69</v>
      </c>
      <c r="AK90" s="12">
        <f t="shared" si="12"/>
        <v>67.400000000000006</v>
      </c>
      <c r="AL90" s="12">
        <f t="shared" si="13"/>
        <v>33.700000000000003</v>
      </c>
    </row>
    <row r="91" spans="1:38" ht="15.75" customHeight="1">
      <c r="A91" s="1" t="s">
        <v>141</v>
      </c>
      <c r="B91" s="7" t="s">
        <v>114</v>
      </c>
      <c r="C91" s="4" t="s">
        <v>88</v>
      </c>
      <c r="D91" s="4">
        <v>41</v>
      </c>
      <c r="E91" s="4">
        <v>627</v>
      </c>
      <c r="F91" s="4">
        <v>41</v>
      </c>
      <c r="G91" s="4">
        <v>12</v>
      </c>
      <c r="H91" s="4">
        <v>15.3</v>
      </c>
      <c r="I91" s="4">
        <v>1.1000000000000001</v>
      </c>
      <c r="J91" s="4">
        <v>2.4</v>
      </c>
      <c r="K91" s="4">
        <v>0.45</v>
      </c>
      <c r="L91" s="4">
        <v>0.5</v>
      </c>
      <c r="M91" s="4">
        <v>1.4</v>
      </c>
      <c r="N91" s="4">
        <v>0.39300000000000002</v>
      </c>
      <c r="O91" s="4">
        <v>0.6</v>
      </c>
      <c r="P91" s="4">
        <v>1.1000000000000001</v>
      </c>
      <c r="Q91" s="4">
        <v>0.52300000000000002</v>
      </c>
      <c r="R91" s="4">
        <v>0.7</v>
      </c>
      <c r="S91" s="4">
        <v>0.8</v>
      </c>
      <c r="T91" s="4">
        <v>0.84399999999999997</v>
      </c>
      <c r="U91" s="4">
        <v>0.6</v>
      </c>
      <c r="V91" s="4">
        <v>2.4</v>
      </c>
      <c r="W91" s="4">
        <v>1.2</v>
      </c>
      <c r="X91" s="4">
        <v>0.3</v>
      </c>
      <c r="Y91" s="4">
        <v>0.4</v>
      </c>
      <c r="Z91" s="4">
        <v>0.9</v>
      </c>
      <c r="AA91" s="4">
        <v>2.2000000000000002</v>
      </c>
      <c r="AB91" s="4">
        <v>3.4</v>
      </c>
      <c r="AC91" s="10">
        <f t="shared" si="7"/>
        <v>0.93099671412924434</v>
      </c>
      <c r="AD91" s="10">
        <f t="shared" si="8"/>
        <v>0.18181818181818182</v>
      </c>
      <c r="AE91" s="12">
        <f>100*(AC91/TOTAL_BASIC!$D$302)</f>
        <v>96.844107380194458</v>
      </c>
      <c r="AF91" s="9"/>
      <c r="AG91" s="9"/>
      <c r="AH91" s="12">
        <f t="shared" si="9"/>
        <v>60.699999999999996</v>
      </c>
      <c r="AI91" s="12">
        <f t="shared" si="10"/>
        <v>49.1</v>
      </c>
      <c r="AJ91" s="12">
        <f t="shared" si="11"/>
        <v>12.7</v>
      </c>
      <c r="AK91" s="12">
        <f t="shared" si="12"/>
        <v>33.700000000000003</v>
      </c>
      <c r="AL91" s="12">
        <f t="shared" si="13"/>
        <v>66.8</v>
      </c>
    </row>
    <row r="92" spans="1:38" ht="15.75" customHeight="1">
      <c r="A92" s="1" t="s">
        <v>179</v>
      </c>
      <c r="B92" s="7" t="s">
        <v>114</v>
      </c>
      <c r="C92" s="4" t="s">
        <v>8</v>
      </c>
      <c r="D92" s="4">
        <v>41</v>
      </c>
      <c r="E92" s="4">
        <v>616</v>
      </c>
      <c r="F92" s="4">
        <v>41</v>
      </c>
      <c r="G92" s="4">
        <v>1</v>
      </c>
      <c r="H92" s="4">
        <v>15</v>
      </c>
      <c r="I92" s="4">
        <v>2.4</v>
      </c>
      <c r="J92" s="4">
        <v>7</v>
      </c>
      <c r="K92" s="4">
        <v>0.34699999999999998</v>
      </c>
      <c r="L92" s="4">
        <v>0.8</v>
      </c>
      <c r="M92" s="4">
        <v>2.7</v>
      </c>
      <c r="N92" s="4">
        <v>0.29399999999999998</v>
      </c>
      <c r="O92" s="4">
        <v>1.6</v>
      </c>
      <c r="P92" s="4">
        <v>4.3</v>
      </c>
      <c r="Q92" s="4">
        <v>0.38100000000000001</v>
      </c>
      <c r="R92" s="4">
        <v>1.9</v>
      </c>
      <c r="S92" s="4">
        <v>2.4</v>
      </c>
      <c r="T92" s="4">
        <v>0.80600000000000005</v>
      </c>
      <c r="U92" s="4">
        <v>0.5</v>
      </c>
      <c r="V92" s="4">
        <v>1.7</v>
      </c>
      <c r="W92" s="4">
        <v>1.1000000000000001</v>
      </c>
      <c r="X92" s="4">
        <v>0.4</v>
      </c>
      <c r="Y92" s="4">
        <v>0</v>
      </c>
      <c r="Z92" s="4">
        <v>1.1000000000000001</v>
      </c>
      <c r="AA92" s="4">
        <v>1.4</v>
      </c>
      <c r="AB92" s="4">
        <v>7.5</v>
      </c>
      <c r="AC92" s="10">
        <f t="shared" si="7"/>
        <v>0.81913499344691998</v>
      </c>
      <c r="AD92" s="10">
        <f t="shared" si="8"/>
        <v>0</v>
      </c>
      <c r="AE92" s="12">
        <f>100*(AC92/TOTAL_BASIC!$D$302)</f>
        <v>85.208031414422095</v>
      </c>
      <c r="AF92" s="9"/>
      <c r="AG92" s="9"/>
      <c r="AH92" s="12">
        <f t="shared" si="9"/>
        <v>0</v>
      </c>
      <c r="AI92" s="12">
        <f t="shared" si="10"/>
        <v>17.100000000000001</v>
      </c>
      <c r="AJ92" s="12">
        <f t="shared" si="11"/>
        <v>51.9</v>
      </c>
      <c r="AK92" s="12">
        <f t="shared" si="12"/>
        <v>30.9</v>
      </c>
      <c r="AL92" s="12">
        <f t="shared" si="13"/>
        <v>52.400000000000006</v>
      </c>
    </row>
    <row r="93" spans="1:38" ht="15.75" customHeight="1">
      <c r="A93" s="1" t="s">
        <v>193</v>
      </c>
      <c r="B93" s="7" t="s">
        <v>91</v>
      </c>
      <c r="C93" s="4" t="s">
        <v>8</v>
      </c>
      <c r="D93" s="4">
        <v>41</v>
      </c>
      <c r="E93" s="4">
        <v>615</v>
      </c>
      <c r="F93" s="4">
        <v>41</v>
      </c>
      <c r="G93" s="4">
        <v>0</v>
      </c>
      <c r="H93" s="4">
        <v>15</v>
      </c>
      <c r="I93" s="4">
        <v>2.8</v>
      </c>
      <c r="J93" s="4">
        <v>5.2</v>
      </c>
      <c r="K93" s="4">
        <v>0.53500000000000003</v>
      </c>
      <c r="L93" s="4">
        <v>0.7</v>
      </c>
      <c r="M93" s="4">
        <v>1.5</v>
      </c>
      <c r="N93" s="4">
        <v>0.42899999999999999</v>
      </c>
      <c r="O93" s="4">
        <v>2.1</v>
      </c>
      <c r="P93" s="4">
        <v>3.7</v>
      </c>
      <c r="Q93" s="4">
        <v>0.57899999999999996</v>
      </c>
      <c r="R93" s="4">
        <v>0.7</v>
      </c>
      <c r="S93" s="4">
        <v>1</v>
      </c>
      <c r="T93" s="4">
        <v>0.71399999999999997</v>
      </c>
      <c r="U93" s="4">
        <v>0.3</v>
      </c>
      <c r="V93" s="4">
        <v>1.1000000000000001</v>
      </c>
      <c r="W93" s="4">
        <v>2</v>
      </c>
      <c r="X93" s="4">
        <v>0.3</v>
      </c>
      <c r="Y93" s="4">
        <v>0</v>
      </c>
      <c r="Z93" s="4">
        <v>1.2</v>
      </c>
      <c r="AA93" s="4">
        <v>1.2</v>
      </c>
      <c r="AB93" s="4">
        <v>7</v>
      </c>
      <c r="AC93" s="10">
        <f t="shared" si="7"/>
        <v>1.0233918128654971</v>
      </c>
      <c r="AD93" s="10">
        <f t="shared" si="8"/>
        <v>0</v>
      </c>
      <c r="AE93" s="12">
        <f>100*(AC93/TOTAL_BASIC!$D$302)</f>
        <v>106.45522708407684</v>
      </c>
      <c r="AF93" s="9"/>
      <c r="AG93" s="9"/>
      <c r="AH93" s="12">
        <f t="shared" si="9"/>
        <v>0</v>
      </c>
      <c r="AI93" s="12">
        <f t="shared" si="10"/>
        <v>79</v>
      </c>
      <c r="AJ93" s="12">
        <f t="shared" si="11"/>
        <v>50.2</v>
      </c>
      <c r="AK93" s="12">
        <f t="shared" si="12"/>
        <v>30.9</v>
      </c>
      <c r="AL93" s="12">
        <f t="shared" si="13"/>
        <v>23.7</v>
      </c>
    </row>
    <row r="94" spans="1:38" ht="15.75" customHeight="1">
      <c r="A94" s="1" t="s">
        <v>186</v>
      </c>
      <c r="B94" s="7" t="s">
        <v>114</v>
      </c>
      <c r="C94" s="4" t="s">
        <v>85</v>
      </c>
      <c r="D94" s="4">
        <v>35</v>
      </c>
      <c r="E94" s="4">
        <v>609</v>
      </c>
      <c r="F94" s="4">
        <v>35</v>
      </c>
      <c r="G94" s="4">
        <v>21</v>
      </c>
      <c r="H94" s="4">
        <v>17.399999999999999</v>
      </c>
      <c r="I94" s="4">
        <v>1.8</v>
      </c>
      <c r="J94" s="4">
        <v>4.9000000000000004</v>
      </c>
      <c r="K94" s="4">
        <v>0.374</v>
      </c>
      <c r="L94" s="4">
        <v>0.4</v>
      </c>
      <c r="M94" s="4">
        <v>1.7</v>
      </c>
      <c r="N94" s="4">
        <v>0.224</v>
      </c>
      <c r="O94" s="4">
        <v>1.5</v>
      </c>
      <c r="P94" s="4">
        <v>3.2</v>
      </c>
      <c r="Q94" s="4">
        <v>0.45100000000000001</v>
      </c>
      <c r="R94" s="4">
        <v>0.7</v>
      </c>
      <c r="S94" s="4">
        <v>1.1000000000000001</v>
      </c>
      <c r="T94" s="4">
        <v>0.67600000000000005</v>
      </c>
      <c r="U94" s="4">
        <v>0.9</v>
      </c>
      <c r="V94" s="4">
        <v>3.6</v>
      </c>
      <c r="W94" s="4">
        <v>1.3</v>
      </c>
      <c r="X94" s="4">
        <v>1.1000000000000001</v>
      </c>
      <c r="Y94" s="4">
        <v>0.5</v>
      </c>
      <c r="Z94" s="4">
        <v>1.2</v>
      </c>
      <c r="AA94" s="4">
        <v>1.8</v>
      </c>
      <c r="AB94" s="4">
        <v>4.7</v>
      </c>
      <c r="AC94" s="10">
        <f t="shared" si="7"/>
        <v>0.71385176184690158</v>
      </c>
      <c r="AD94" s="10">
        <f t="shared" si="8"/>
        <v>0.27777777777777779</v>
      </c>
      <c r="AE94" s="12">
        <f>100*(AC94/TOTAL_BASIC!$D$302)</f>
        <v>74.256262808082411</v>
      </c>
      <c r="AF94" s="9"/>
      <c r="AG94" s="9"/>
      <c r="AH94" s="12">
        <f t="shared" si="9"/>
        <v>77.3</v>
      </c>
      <c r="AI94" s="12">
        <f t="shared" si="10"/>
        <v>4.3999999999999995</v>
      </c>
      <c r="AJ94" s="12">
        <f t="shared" si="11"/>
        <v>28.1</v>
      </c>
      <c r="AK94" s="12">
        <f t="shared" si="12"/>
        <v>43.6</v>
      </c>
      <c r="AL94" s="12">
        <f t="shared" si="13"/>
        <v>17.100000000000001</v>
      </c>
    </row>
    <row r="95" spans="1:38" ht="15.75" customHeight="1">
      <c r="A95" s="1" t="s">
        <v>123</v>
      </c>
      <c r="B95" s="7" t="s">
        <v>240</v>
      </c>
      <c r="C95" s="4" t="s">
        <v>85</v>
      </c>
      <c r="D95" s="4">
        <v>27</v>
      </c>
      <c r="E95" s="4">
        <v>599</v>
      </c>
      <c r="F95" s="4">
        <v>27</v>
      </c>
      <c r="G95" s="4">
        <v>10</v>
      </c>
      <c r="H95" s="4">
        <v>22.2</v>
      </c>
      <c r="I95" s="4">
        <v>4.2</v>
      </c>
      <c r="J95" s="4">
        <v>10</v>
      </c>
      <c r="K95" s="4">
        <v>0.42199999999999999</v>
      </c>
      <c r="L95" s="4">
        <v>0.9</v>
      </c>
      <c r="M95" s="4">
        <v>3.1</v>
      </c>
      <c r="N95" s="4">
        <v>0.27400000000000002</v>
      </c>
      <c r="O95" s="4">
        <v>3.4</v>
      </c>
      <c r="P95" s="4">
        <v>6.9</v>
      </c>
      <c r="Q95" s="4">
        <v>0.48899999999999999</v>
      </c>
      <c r="R95" s="4">
        <v>1.7</v>
      </c>
      <c r="S95" s="4">
        <v>2.6</v>
      </c>
      <c r="T95" s="4">
        <v>0.64300000000000002</v>
      </c>
      <c r="U95" s="4">
        <v>2.6</v>
      </c>
      <c r="V95" s="4">
        <v>8.3000000000000007</v>
      </c>
      <c r="W95" s="4">
        <v>1.4</v>
      </c>
      <c r="X95" s="4">
        <v>0.9</v>
      </c>
      <c r="Y95" s="4">
        <v>0.5</v>
      </c>
      <c r="Z95" s="4">
        <v>1.6</v>
      </c>
      <c r="AA95" s="4">
        <v>2.2000000000000002</v>
      </c>
      <c r="AB95" s="4">
        <v>11</v>
      </c>
      <c r="AC95" s="10">
        <f t="shared" si="7"/>
        <v>0.86315128688010045</v>
      </c>
      <c r="AD95" s="10">
        <f t="shared" si="8"/>
        <v>0.22727272727272727</v>
      </c>
      <c r="AE95" s="12">
        <f>100*(AC95/TOTAL_BASIC!$D$302)</f>
        <v>89.786692738386037</v>
      </c>
      <c r="AF95" s="9"/>
      <c r="AG95" s="9"/>
      <c r="AH95" s="12">
        <f t="shared" si="9"/>
        <v>72.899999999999991</v>
      </c>
      <c r="AI95" s="12">
        <f t="shared" si="10"/>
        <v>28.1</v>
      </c>
      <c r="AJ95" s="12">
        <f t="shared" si="11"/>
        <v>69.599999999999994</v>
      </c>
      <c r="AK95" s="12">
        <f t="shared" si="12"/>
        <v>56.899999999999991</v>
      </c>
      <c r="AL95" s="12">
        <f t="shared" si="13"/>
        <v>11.600000000000001</v>
      </c>
    </row>
    <row r="96" spans="1:38" ht="15.75" customHeight="1">
      <c r="A96" s="1" t="s">
        <v>215</v>
      </c>
      <c r="B96" s="7" t="s">
        <v>137</v>
      </c>
      <c r="C96" s="4" t="s">
        <v>85</v>
      </c>
      <c r="D96" s="4">
        <v>31</v>
      </c>
      <c r="E96" s="4">
        <v>595</v>
      </c>
      <c r="F96" s="4">
        <v>31</v>
      </c>
      <c r="G96" s="4">
        <v>1</v>
      </c>
      <c r="H96" s="4">
        <v>19.2</v>
      </c>
      <c r="I96" s="4">
        <v>3.3</v>
      </c>
      <c r="J96" s="4">
        <v>7.1</v>
      </c>
      <c r="K96" s="4">
        <v>0.46400000000000002</v>
      </c>
      <c r="L96" s="4">
        <v>0.9</v>
      </c>
      <c r="M96" s="4">
        <v>2.9</v>
      </c>
      <c r="N96" s="4">
        <v>0.315</v>
      </c>
      <c r="O96" s="4">
        <v>2.4</v>
      </c>
      <c r="P96" s="4">
        <v>4.2</v>
      </c>
      <c r="Q96" s="4">
        <v>0.56499999999999995</v>
      </c>
      <c r="R96" s="4">
        <v>2.1</v>
      </c>
      <c r="S96" s="4">
        <v>2.7</v>
      </c>
      <c r="T96" s="4">
        <v>0.77100000000000002</v>
      </c>
      <c r="U96" s="4">
        <v>1.5</v>
      </c>
      <c r="V96" s="4">
        <v>5</v>
      </c>
      <c r="W96" s="4">
        <v>1.5</v>
      </c>
      <c r="X96" s="4">
        <v>0.6</v>
      </c>
      <c r="Y96" s="4">
        <v>1.8</v>
      </c>
      <c r="Z96" s="4">
        <v>2.4</v>
      </c>
      <c r="AA96" s="4">
        <v>3.6</v>
      </c>
      <c r="AB96" s="4">
        <v>9.5</v>
      </c>
      <c r="AC96" s="10">
        <f t="shared" si="7"/>
        <v>0.88884730538922152</v>
      </c>
      <c r="AD96" s="10">
        <f t="shared" si="8"/>
        <v>0.5</v>
      </c>
      <c r="AE96" s="12">
        <f>100*(AC96/TOTAL_BASIC!$D$302)</f>
        <v>92.45964306997584</v>
      </c>
      <c r="AF96" s="9"/>
      <c r="AG96" s="9"/>
      <c r="AH96" s="12">
        <f t="shared" si="9"/>
        <v>90.600000000000009</v>
      </c>
      <c r="AI96" s="12">
        <f t="shared" si="10"/>
        <v>38.6</v>
      </c>
      <c r="AJ96" s="12">
        <f t="shared" si="11"/>
        <v>62.4</v>
      </c>
      <c r="AK96" s="12">
        <f t="shared" si="12"/>
        <v>49.1</v>
      </c>
      <c r="AL96" s="12">
        <f t="shared" si="13"/>
        <v>40.799999999999997</v>
      </c>
    </row>
    <row r="97" spans="1:38" ht="15.75" customHeight="1">
      <c r="A97" s="1" t="s">
        <v>252</v>
      </c>
      <c r="B97" s="7" t="s">
        <v>240</v>
      </c>
      <c r="C97" s="4" t="s">
        <v>8</v>
      </c>
      <c r="D97" s="4">
        <v>27</v>
      </c>
      <c r="E97" s="4">
        <v>594</v>
      </c>
      <c r="F97" s="4">
        <v>27</v>
      </c>
      <c r="G97" s="4">
        <v>17</v>
      </c>
      <c r="H97" s="4">
        <v>22</v>
      </c>
      <c r="I97" s="4">
        <v>2.6</v>
      </c>
      <c r="J97" s="4">
        <v>6.2</v>
      </c>
      <c r="K97" s="4">
        <v>0.41699999999999998</v>
      </c>
      <c r="L97" s="4">
        <v>1</v>
      </c>
      <c r="M97" s="4">
        <v>2.6</v>
      </c>
      <c r="N97" s="4">
        <v>0.38600000000000001</v>
      </c>
      <c r="O97" s="4">
        <v>1.6</v>
      </c>
      <c r="P97" s="4">
        <v>3.6</v>
      </c>
      <c r="Q97" s="4">
        <v>0.439</v>
      </c>
      <c r="R97" s="4">
        <v>1.6</v>
      </c>
      <c r="S97" s="4">
        <v>1.9</v>
      </c>
      <c r="T97" s="4">
        <v>0.84599999999999997</v>
      </c>
      <c r="U97" s="4">
        <v>0.1</v>
      </c>
      <c r="V97" s="4">
        <v>1.8</v>
      </c>
      <c r="W97" s="4">
        <v>2.2999999999999998</v>
      </c>
      <c r="X97" s="4">
        <v>1</v>
      </c>
      <c r="Y97" s="4">
        <v>0.3</v>
      </c>
      <c r="Z97" s="4">
        <v>1.9</v>
      </c>
      <c r="AA97" s="4">
        <v>2.9</v>
      </c>
      <c r="AB97" s="4">
        <v>7.8</v>
      </c>
      <c r="AC97" s="10">
        <f t="shared" si="7"/>
        <v>0.87287376902417191</v>
      </c>
      <c r="AD97" s="10">
        <f t="shared" si="8"/>
        <v>0.10344827586206896</v>
      </c>
      <c r="AE97" s="12">
        <f>100*(AC97/TOTAL_BASIC!$D$302)</f>
        <v>90.798044433266199</v>
      </c>
      <c r="AF97" s="9"/>
      <c r="AG97" s="9"/>
      <c r="AH97" s="12">
        <f t="shared" si="9"/>
        <v>35.299999999999997</v>
      </c>
      <c r="AI97" s="12">
        <f t="shared" si="10"/>
        <v>30.9</v>
      </c>
      <c r="AJ97" s="12">
        <f t="shared" si="11"/>
        <v>53</v>
      </c>
      <c r="AK97" s="12">
        <f t="shared" si="12"/>
        <v>55.2</v>
      </c>
      <c r="AL97" s="12">
        <f t="shared" si="13"/>
        <v>68.5</v>
      </c>
    </row>
    <row r="98" spans="1:38" ht="15.75" customHeight="1">
      <c r="A98" s="1" t="s">
        <v>237</v>
      </c>
      <c r="B98" s="7" t="s">
        <v>240</v>
      </c>
      <c r="C98" s="4" t="s">
        <v>8</v>
      </c>
      <c r="D98" s="4">
        <v>39</v>
      </c>
      <c r="E98" s="4">
        <v>589</v>
      </c>
      <c r="F98" s="4">
        <v>39</v>
      </c>
      <c r="G98" s="4">
        <v>9</v>
      </c>
      <c r="H98" s="4">
        <v>15.1</v>
      </c>
      <c r="I98" s="4">
        <v>1.8</v>
      </c>
      <c r="J98" s="4">
        <v>4.5999999999999996</v>
      </c>
      <c r="K98" s="4">
        <v>0.38100000000000001</v>
      </c>
      <c r="L98" s="4">
        <v>0.8</v>
      </c>
      <c r="M98" s="4">
        <v>2.2999999999999998</v>
      </c>
      <c r="N98" s="4">
        <v>0.36299999999999999</v>
      </c>
      <c r="O98" s="4">
        <v>0.9</v>
      </c>
      <c r="P98" s="4">
        <v>2.2999999999999998</v>
      </c>
      <c r="Q98" s="4">
        <v>0.4</v>
      </c>
      <c r="R98" s="4">
        <v>0.7</v>
      </c>
      <c r="S98" s="4">
        <v>0.8</v>
      </c>
      <c r="T98" s="4">
        <v>0.90300000000000002</v>
      </c>
      <c r="U98" s="4">
        <v>0.4</v>
      </c>
      <c r="V98" s="4">
        <v>1.1000000000000001</v>
      </c>
      <c r="W98" s="4">
        <v>1.3</v>
      </c>
      <c r="X98" s="4">
        <v>0.4</v>
      </c>
      <c r="Y98" s="4">
        <v>0.1</v>
      </c>
      <c r="Z98" s="4">
        <v>0.9</v>
      </c>
      <c r="AA98" s="4">
        <v>1.4</v>
      </c>
      <c r="AB98" s="4">
        <v>5.0999999999999996</v>
      </c>
      <c r="AC98" s="10">
        <f t="shared" si="7"/>
        <v>0.87149692412850299</v>
      </c>
      <c r="AD98" s="10">
        <f t="shared" si="8"/>
        <v>7.1428571428571438E-2</v>
      </c>
      <c r="AE98" s="12">
        <f>100*(AC98/TOTAL_BASIC!$D$302)</f>
        <v>90.654822322061719</v>
      </c>
      <c r="AF98" s="9"/>
      <c r="AG98" s="9"/>
      <c r="AH98" s="12">
        <f t="shared" si="9"/>
        <v>24.3</v>
      </c>
      <c r="AI98" s="12">
        <f t="shared" si="10"/>
        <v>30.3</v>
      </c>
      <c r="AJ98" s="12">
        <f t="shared" si="11"/>
        <v>32.5</v>
      </c>
      <c r="AK98" s="12">
        <f t="shared" si="12"/>
        <v>32</v>
      </c>
      <c r="AL98" s="12">
        <f t="shared" si="13"/>
        <v>91.100000000000009</v>
      </c>
    </row>
    <row r="99" spans="1:38" ht="15.75" customHeight="1">
      <c r="A99" s="1" t="s">
        <v>108</v>
      </c>
      <c r="B99" s="7" t="s">
        <v>84</v>
      </c>
      <c r="C99" s="4" t="s">
        <v>8</v>
      </c>
      <c r="D99" s="4">
        <v>39</v>
      </c>
      <c r="E99" s="4">
        <v>582</v>
      </c>
      <c r="F99" s="4">
        <v>39</v>
      </c>
      <c r="G99" s="4">
        <v>2</v>
      </c>
      <c r="H99" s="4">
        <v>14.9</v>
      </c>
      <c r="I99" s="4">
        <v>2</v>
      </c>
      <c r="J99" s="4">
        <v>4</v>
      </c>
      <c r="K99" s="4">
        <v>0.497</v>
      </c>
      <c r="L99" s="4">
        <v>0.3</v>
      </c>
      <c r="M99" s="4">
        <v>1.1000000000000001</v>
      </c>
      <c r="N99" s="4">
        <v>0.23799999999999999</v>
      </c>
      <c r="O99" s="4">
        <v>1.7</v>
      </c>
      <c r="P99" s="4">
        <v>2.9</v>
      </c>
      <c r="Q99" s="4">
        <v>0.59299999999999997</v>
      </c>
      <c r="R99" s="4">
        <v>1</v>
      </c>
      <c r="S99" s="4">
        <v>1.1000000000000001</v>
      </c>
      <c r="T99" s="4">
        <v>0.93</v>
      </c>
      <c r="U99" s="4">
        <v>1</v>
      </c>
      <c r="V99" s="4">
        <v>2.5</v>
      </c>
      <c r="W99" s="4">
        <v>1.3</v>
      </c>
      <c r="X99" s="4">
        <v>0.5</v>
      </c>
      <c r="Y99" s="4">
        <v>0.2</v>
      </c>
      <c r="Z99" s="4">
        <v>0.6</v>
      </c>
      <c r="AA99" s="4">
        <v>1.6</v>
      </c>
      <c r="AB99" s="4">
        <v>5.2</v>
      </c>
      <c r="AC99" s="10">
        <f t="shared" si="7"/>
        <v>1.0228166797797011</v>
      </c>
      <c r="AD99" s="10">
        <f t="shared" si="8"/>
        <v>0.125</v>
      </c>
      <c r="AE99" s="12">
        <f>100*(AC99/TOTAL_BASIC!$D$302)</f>
        <v>106.39540061049919</v>
      </c>
      <c r="AF99" s="9"/>
      <c r="AG99" s="9"/>
      <c r="AH99" s="12">
        <f t="shared" si="9"/>
        <v>43.6</v>
      </c>
      <c r="AI99" s="12">
        <f t="shared" si="10"/>
        <v>77.3</v>
      </c>
      <c r="AJ99" s="12">
        <f t="shared" si="11"/>
        <v>33.1</v>
      </c>
      <c r="AK99" s="12">
        <f t="shared" si="12"/>
        <v>30.3</v>
      </c>
      <c r="AL99" s="12">
        <f t="shared" si="13"/>
        <v>95.5</v>
      </c>
    </row>
    <row r="100" spans="1:38" ht="15.75" customHeight="1">
      <c r="A100" s="1" t="s">
        <v>180</v>
      </c>
      <c r="B100" s="7" t="s">
        <v>161</v>
      </c>
      <c r="C100" s="4" t="s">
        <v>85</v>
      </c>
      <c r="D100" s="4">
        <v>24</v>
      </c>
      <c r="E100" s="4">
        <v>573</v>
      </c>
      <c r="F100" s="4">
        <v>24</v>
      </c>
      <c r="G100" s="4">
        <v>20</v>
      </c>
      <c r="H100" s="4">
        <v>23.9</v>
      </c>
      <c r="I100" s="4">
        <v>4.5</v>
      </c>
      <c r="J100" s="4">
        <v>8.5</v>
      </c>
      <c r="K100" s="4">
        <v>0.52700000000000002</v>
      </c>
      <c r="L100" s="4">
        <v>0.8</v>
      </c>
      <c r="M100" s="4">
        <v>2.1</v>
      </c>
      <c r="N100" s="4">
        <v>0.39200000000000002</v>
      </c>
      <c r="O100" s="4">
        <v>3.7</v>
      </c>
      <c r="P100" s="4">
        <v>6.4</v>
      </c>
      <c r="Q100" s="4">
        <v>0.57099999999999995</v>
      </c>
      <c r="R100" s="4">
        <v>2.5</v>
      </c>
      <c r="S100" s="4">
        <v>3.4</v>
      </c>
      <c r="T100" s="4">
        <v>0.72</v>
      </c>
      <c r="U100" s="4">
        <v>1.8</v>
      </c>
      <c r="V100" s="4">
        <v>5.3</v>
      </c>
      <c r="W100" s="4">
        <v>1.7</v>
      </c>
      <c r="X100" s="4">
        <v>1</v>
      </c>
      <c r="Y100" s="4">
        <v>0.9</v>
      </c>
      <c r="Z100" s="4">
        <v>1.6</v>
      </c>
      <c r="AA100" s="4">
        <v>2.7</v>
      </c>
      <c r="AB100" s="4">
        <v>12.3</v>
      </c>
      <c r="AC100" s="10">
        <f t="shared" si="7"/>
        <v>1.060710589858572</v>
      </c>
      <c r="AD100" s="10">
        <f t="shared" si="8"/>
        <v>0.33333333333333331</v>
      </c>
      <c r="AE100" s="12">
        <f>100*(AC100/TOTAL_BASIC!$D$302)</f>
        <v>110.33719958899071</v>
      </c>
      <c r="AF100" s="9"/>
      <c r="AG100" s="9"/>
      <c r="AH100" s="12">
        <f t="shared" si="9"/>
        <v>81.2</v>
      </c>
      <c r="AI100" s="12">
        <f t="shared" si="10"/>
        <v>88.9</v>
      </c>
      <c r="AJ100" s="12">
        <f t="shared" si="11"/>
        <v>74.5</v>
      </c>
      <c r="AK100" s="12">
        <f t="shared" si="12"/>
        <v>64</v>
      </c>
      <c r="AL100" s="12">
        <f t="shared" si="13"/>
        <v>26.5</v>
      </c>
    </row>
    <row r="101" spans="1:38" ht="15.75" customHeight="1">
      <c r="A101" s="1" t="s">
        <v>134</v>
      </c>
      <c r="B101" s="7" t="s">
        <v>99</v>
      </c>
      <c r="C101" s="4" t="s">
        <v>85</v>
      </c>
      <c r="D101" s="4">
        <v>32</v>
      </c>
      <c r="E101" s="4">
        <v>572</v>
      </c>
      <c r="F101" s="4">
        <v>32</v>
      </c>
      <c r="G101" s="4">
        <v>18</v>
      </c>
      <c r="H101" s="4">
        <v>17.899999999999999</v>
      </c>
      <c r="I101" s="4">
        <v>2.2999999999999998</v>
      </c>
      <c r="J101" s="4">
        <v>5.0999999999999996</v>
      </c>
      <c r="K101" s="4">
        <v>0.45700000000000002</v>
      </c>
      <c r="L101" s="4">
        <v>0.6</v>
      </c>
      <c r="M101" s="4">
        <v>2.2000000000000002</v>
      </c>
      <c r="N101" s="4">
        <v>0.26100000000000001</v>
      </c>
      <c r="O101" s="4">
        <v>1.8</v>
      </c>
      <c r="P101" s="4">
        <v>3</v>
      </c>
      <c r="Q101" s="4">
        <v>0.6</v>
      </c>
      <c r="R101" s="4">
        <v>0.8</v>
      </c>
      <c r="S101" s="4">
        <v>1.2</v>
      </c>
      <c r="T101" s="4">
        <v>0.67600000000000005</v>
      </c>
      <c r="U101" s="4">
        <v>1.1000000000000001</v>
      </c>
      <c r="V101" s="4">
        <v>3.9</v>
      </c>
      <c r="W101" s="4">
        <v>1</v>
      </c>
      <c r="X101" s="4">
        <v>0.7</v>
      </c>
      <c r="Y101" s="4">
        <v>0.5</v>
      </c>
      <c r="Z101" s="4">
        <v>1.2</v>
      </c>
      <c r="AA101" s="4">
        <v>2.4</v>
      </c>
      <c r="AB101" s="4">
        <v>6</v>
      </c>
      <c r="AC101" s="10">
        <f t="shared" si="7"/>
        <v>0.87873462214411246</v>
      </c>
      <c r="AD101" s="10">
        <f t="shared" si="8"/>
        <v>0.20833333333333334</v>
      </c>
      <c r="AE101" s="12">
        <f>100*(AC101/TOTAL_BASIC!$D$302)</f>
        <v>91.407701889917831</v>
      </c>
      <c r="AF101" s="9"/>
      <c r="AG101" s="9"/>
      <c r="AH101" s="12">
        <f t="shared" si="9"/>
        <v>69.599999999999994</v>
      </c>
      <c r="AI101" s="12">
        <f t="shared" si="10"/>
        <v>34.200000000000003</v>
      </c>
      <c r="AJ101" s="12">
        <f t="shared" si="11"/>
        <v>40.300000000000004</v>
      </c>
      <c r="AK101" s="12">
        <f t="shared" si="12"/>
        <v>45.300000000000004</v>
      </c>
      <c r="AL101" s="12">
        <f t="shared" si="13"/>
        <v>17.100000000000001</v>
      </c>
    </row>
    <row r="102" spans="1:38" ht="15.75" customHeight="1">
      <c r="A102" s="1" t="s">
        <v>210</v>
      </c>
      <c r="B102" s="7" t="s">
        <v>96</v>
      </c>
      <c r="C102" s="4" t="s">
        <v>8</v>
      </c>
      <c r="D102" s="4">
        <v>41</v>
      </c>
      <c r="E102" s="4">
        <v>571</v>
      </c>
      <c r="F102" s="4">
        <v>41</v>
      </c>
      <c r="G102" s="4">
        <v>3</v>
      </c>
      <c r="H102" s="4">
        <v>13.9</v>
      </c>
      <c r="I102" s="4">
        <v>1.4</v>
      </c>
      <c r="J102" s="4">
        <v>3.7</v>
      </c>
      <c r="K102" s="4">
        <v>0.373</v>
      </c>
      <c r="L102" s="4">
        <v>0.7</v>
      </c>
      <c r="M102" s="4">
        <v>1.9</v>
      </c>
      <c r="N102" s="4">
        <v>0.377</v>
      </c>
      <c r="O102" s="4">
        <v>0.7</v>
      </c>
      <c r="P102" s="4">
        <v>1.9</v>
      </c>
      <c r="Q102" s="4">
        <v>0.36799999999999999</v>
      </c>
      <c r="R102" s="4">
        <v>0.5</v>
      </c>
      <c r="S102" s="4">
        <v>0.7</v>
      </c>
      <c r="T102" s="4">
        <v>0.81499999999999995</v>
      </c>
      <c r="U102" s="4">
        <v>0.8</v>
      </c>
      <c r="V102" s="4">
        <v>2.2000000000000002</v>
      </c>
      <c r="W102" s="4">
        <v>1</v>
      </c>
      <c r="X102" s="4">
        <v>0.6</v>
      </c>
      <c r="Y102" s="4">
        <v>0.2</v>
      </c>
      <c r="Z102" s="4">
        <v>0.7</v>
      </c>
      <c r="AA102" s="4">
        <v>1.3</v>
      </c>
      <c r="AB102" s="4">
        <v>4</v>
      </c>
      <c r="AC102" s="10">
        <f t="shared" si="7"/>
        <v>0.84961767204757854</v>
      </c>
      <c r="AD102" s="10">
        <f t="shared" si="8"/>
        <v>0.15384615384615385</v>
      </c>
      <c r="AE102" s="12">
        <f>100*(AC102/TOTAL_BASIC!$D$302)</f>
        <v>88.378899533327527</v>
      </c>
      <c r="AF102" s="9"/>
      <c r="AG102" s="9"/>
      <c r="AH102" s="12">
        <f t="shared" si="9"/>
        <v>53.5</v>
      </c>
      <c r="AI102" s="12">
        <f t="shared" si="10"/>
        <v>24.8</v>
      </c>
      <c r="AJ102" s="12">
        <f t="shared" si="11"/>
        <v>22</v>
      </c>
      <c r="AK102" s="12">
        <f t="shared" si="12"/>
        <v>26.5</v>
      </c>
      <c r="AL102" s="12">
        <f t="shared" si="13"/>
        <v>55.800000000000004</v>
      </c>
    </row>
    <row r="103" spans="1:38" ht="15.75" customHeight="1">
      <c r="A103" s="1" t="s">
        <v>162</v>
      </c>
      <c r="B103" s="7" t="s">
        <v>84</v>
      </c>
      <c r="C103" s="4" t="s">
        <v>88</v>
      </c>
      <c r="D103" s="4">
        <v>41</v>
      </c>
      <c r="E103" s="4">
        <v>565</v>
      </c>
      <c r="F103" s="4">
        <v>41</v>
      </c>
      <c r="G103" s="4">
        <v>2</v>
      </c>
      <c r="H103" s="4">
        <v>13.8</v>
      </c>
      <c r="I103" s="4">
        <v>2.4</v>
      </c>
      <c r="J103" s="4">
        <v>4.7</v>
      </c>
      <c r="K103" s="4">
        <v>0.505</v>
      </c>
      <c r="L103" s="4">
        <v>0.9</v>
      </c>
      <c r="M103" s="4">
        <v>2.1</v>
      </c>
      <c r="N103" s="4">
        <v>0.40200000000000002</v>
      </c>
      <c r="O103" s="4">
        <v>1.5</v>
      </c>
      <c r="P103" s="4">
        <v>2.6</v>
      </c>
      <c r="Q103" s="4">
        <v>0.59</v>
      </c>
      <c r="R103" s="4">
        <v>0.7</v>
      </c>
      <c r="S103" s="4">
        <v>0.8</v>
      </c>
      <c r="T103" s="4">
        <v>0.84799999999999998</v>
      </c>
      <c r="U103" s="4">
        <v>0.8</v>
      </c>
      <c r="V103" s="4">
        <v>2.5</v>
      </c>
      <c r="W103" s="4">
        <v>0.7</v>
      </c>
      <c r="X103" s="4">
        <v>0.3</v>
      </c>
      <c r="Y103" s="4">
        <v>0.6</v>
      </c>
      <c r="Z103" s="4">
        <v>0.5</v>
      </c>
      <c r="AA103" s="4">
        <v>1</v>
      </c>
      <c r="AB103" s="4">
        <v>6.3</v>
      </c>
      <c r="AC103" s="10">
        <f t="shared" si="7"/>
        <v>1.1347262247838616</v>
      </c>
      <c r="AD103" s="10">
        <f t="shared" si="8"/>
        <v>0.6</v>
      </c>
      <c r="AE103" s="12">
        <f>100*(AC103/TOTAL_BASIC!$D$302)</f>
        <v>118.0364513561918</v>
      </c>
      <c r="AF103" s="9"/>
      <c r="AG103" s="9"/>
      <c r="AH103" s="12">
        <f t="shared" si="9"/>
        <v>94.399999999999991</v>
      </c>
      <c r="AI103" s="12">
        <f t="shared" si="10"/>
        <v>96.6</v>
      </c>
      <c r="AJ103" s="12">
        <f t="shared" si="11"/>
        <v>41.9</v>
      </c>
      <c r="AK103" s="12">
        <f t="shared" si="12"/>
        <v>25.4</v>
      </c>
      <c r="AL103" s="12">
        <f t="shared" si="13"/>
        <v>69.599999999999994</v>
      </c>
    </row>
    <row r="104" spans="1:38" ht="15.75" customHeight="1">
      <c r="A104" s="1" t="s">
        <v>203</v>
      </c>
      <c r="B104" s="4" t="s">
        <v>232</v>
      </c>
      <c r="C104" s="4" t="s">
        <v>119</v>
      </c>
      <c r="D104" s="4">
        <v>37</v>
      </c>
      <c r="E104" s="4">
        <v>563</v>
      </c>
      <c r="F104" s="4">
        <v>37</v>
      </c>
      <c r="G104" s="4">
        <v>0</v>
      </c>
      <c r="H104" s="4">
        <v>15.2</v>
      </c>
      <c r="I104" s="4">
        <v>2.2000000000000002</v>
      </c>
      <c r="J104" s="4">
        <v>5</v>
      </c>
      <c r="K104" s="4">
        <v>0.438</v>
      </c>
      <c r="L104" s="4">
        <v>0.9</v>
      </c>
      <c r="M104" s="4">
        <v>2.5</v>
      </c>
      <c r="N104" s="4">
        <v>0.35899999999999999</v>
      </c>
      <c r="O104" s="4">
        <v>1.3</v>
      </c>
      <c r="P104" s="4">
        <v>2.5</v>
      </c>
      <c r="Q104" s="4">
        <v>0.51600000000000001</v>
      </c>
      <c r="R104" s="4">
        <v>1.1000000000000001</v>
      </c>
      <c r="S104" s="4">
        <v>1.2</v>
      </c>
      <c r="T104" s="4">
        <v>0.89100000000000001</v>
      </c>
      <c r="U104" s="4">
        <v>0.7</v>
      </c>
      <c r="V104" s="4">
        <v>2.1</v>
      </c>
      <c r="W104" s="4">
        <v>0.8</v>
      </c>
      <c r="X104" s="4">
        <v>0.4</v>
      </c>
      <c r="Y104" s="4">
        <v>0.1</v>
      </c>
      <c r="Z104" s="4">
        <v>0.9</v>
      </c>
      <c r="AA104" s="4">
        <v>1.6</v>
      </c>
      <c r="AB104" s="4">
        <v>6.4</v>
      </c>
      <c r="AC104" s="10">
        <f t="shared" si="7"/>
        <v>0.9956440572495332</v>
      </c>
      <c r="AD104" s="10">
        <f t="shared" si="8"/>
        <v>6.25E-2</v>
      </c>
      <c r="AE104" s="12">
        <f>100*(AC104/TOTAL_BASIC!$D$302)</f>
        <v>103.56885102748126</v>
      </c>
      <c r="AF104" s="9"/>
      <c r="AG104" s="9"/>
      <c r="AH104" s="12">
        <f t="shared" si="9"/>
        <v>20.9</v>
      </c>
      <c r="AI104" s="12">
        <f t="shared" si="10"/>
        <v>67.400000000000006</v>
      </c>
      <c r="AJ104" s="12">
        <f t="shared" si="11"/>
        <v>45.300000000000004</v>
      </c>
      <c r="AK104" s="12">
        <f t="shared" si="12"/>
        <v>32.5</v>
      </c>
      <c r="AL104" s="12">
        <f t="shared" si="13"/>
        <v>88.3</v>
      </c>
    </row>
    <row r="105" spans="1:38" ht="15.75" customHeight="1">
      <c r="A105" s="1" t="s">
        <v>147</v>
      </c>
      <c r="B105" s="7" t="s">
        <v>131</v>
      </c>
      <c r="C105" s="4" t="s">
        <v>8</v>
      </c>
      <c r="D105" s="4">
        <v>19</v>
      </c>
      <c r="E105" s="4">
        <v>553</v>
      </c>
      <c r="F105" s="4">
        <v>19</v>
      </c>
      <c r="G105" s="4">
        <v>19</v>
      </c>
      <c r="H105" s="4">
        <v>29.1</v>
      </c>
      <c r="I105" s="4">
        <v>4.5999999999999996</v>
      </c>
      <c r="J105" s="4">
        <v>11.7</v>
      </c>
      <c r="K105" s="4">
        <v>0.39200000000000002</v>
      </c>
      <c r="L105" s="4">
        <v>1.4</v>
      </c>
      <c r="M105" s="4">
        <v>3.6</v>
      </c>
      <c r="N105" s="4">
        <v>0.38200000000000001</v>
      </c>
      <c r="O105" s="4">
        <v>3.2</v>
      </c>
      <c r="P105" s="4">
        <v>8.1</v>
      </c>
      <c r="Q105" s="4">
        <v>0.39600000000000002</v>
      </c>
      <c r="R105" s="4">
        <v>3.6</v>
      </c>
      <c r="S105" s="4">
        <v>4.7</v>
      </c>
      <c r="T105" s="4">
        <v>0.77500000000000002</v>
      </c>
      <c r="U105" s="4">
        <v>0.7</v>
      </c>
      <c r="V105" s="4">
        <v>3.2</v>
      </c>
      <c r="W105" s="4">
        <v>4.9000000000000004</v>
      </c>
      <c r="X105" s="4">
        <v>0.9</v>
      </c>
      <c r="Y105" s="4">
        <v>0.6</v>
      </c>
      <c r="Z105" s="4">
        <v>1.7</v>
      </c>
      <c r="AA105" s="4">
        <v>2.2000000000000002</v>
      </c>
      <c r="AB105" s="4">
        <v>14.2</v>
      </c>
      <c r="AC105" s="10">
        <f t="shared" si="7"/>
        <v>0.91802430824928893</v>
      </c>
      <c r="AD105" s="10">
        <f t="shared" si="8"/>
        <v>0.27272727272727271</v>
      </c>
      <c r="AE105" s="12">
        <f>100*(AC105/TOTAL_BASIC!$D$302)</f>
        <v>95.494692233017616</v>
      </c>
      <c r="AF105" s="9"/>
      <c r="AG105" s="9"/>
      <c r="AH105" s="12">
        <f t="shared" si="9"/>
        <v>76.7</v>
      </c>
      <c r="AI105" s="12">
        <f t="shared" si="10"/>
        <v>45.300000000000004</v>
      </c>
      <c r="AJ105" s="12">
        <f t="shared" si="11"/>
        <v>79</v>
      </c>
      <c r="AK105" s="12">
        <f t="shared" si="12"/>
        <v>81.699999999999989</v>
      </c>
      <c r="AL105" s="12">
        <f t="shared" si="13"/>
        <v>41.9</v>
      </c>
    </row>
    <row r="106" spans="1:38" ht="15.75" customHeight="1">
      <c r="A106" s="1" t="s">
        <v>196</v>
      </c>
      <c r="B106" s="7" t="s">
        <v>99</v>
      </c>
      <c r="C106" s="4" t="s">
        <v>85</v>
      </c>
      <c r="D106" s="4">
        <v>38</v>
      </c>
      <c r="E106" s="4">
        <v>550</v>
      </c>
      <c r="F106" s="4">
        <v>38</v>
      </c>
      <c r="G106" s="4">
        <v>7</v>
      </c>
      <c r="H106" s="4">
        <v>14.5</v>
      </c>
      <c r="I106" s="4">
        <v>2.5</v>
      </c>
      <c r="J106" s="4">
        <v>5.2</v>
      </c>
      <c r="K106" s="4">
        <v>0.48199999999999998</v>
      </c>
      <c r="L106" s="4">
        <v>0.8</v>
      </c>
      <c r="M106" s="4">
        <v>2</v>
      </c>
      <c r="N106" s="4">
        <v>0.4</v>
      </c>
      <c r="O106" s="4">
        <v>1.7</v>
      </c>
      <c r="P106" s="4">
        <v>3.3</v>
      </c>
      <c r="Q106" s="4">
        <v>0.53200000000000003</v>
      </c>
      <c r="R106" s="4">
        <v>0.6</v>
      </c>
      <c r="S106" s="4">
        <v>0.7</v>
      </c>
      <c r="T106" s="4">
        <v>0.85199999999999998</v>
      </c>
      <c r="U106" s="4">
        <v>0.9</v>
      </c>
      <c r="V106" s="4">
        <v>2.7</v>
      </c>
      <c r="W106" s="4">
        <v>0.9</v>
      </c>
      <c r="X106" s="4">
        <v>0.4</v>
      </c>
      <c r="Y106" s="4">
        <v>0.4</v>
      </c>
      <c r="Z106" s="4">
        <v>0.3</v>
      </c>
      <c r="AA106" s="4">
        <v>1.7</v>
      </c>
      <c r="AB106" s="4">
        <v>6.4</v>
      </c>
      <c r="AC106" s="10">
        <f t="shared" si="7"/>
        <v>1.1019283746556474</v>
      </c>
      <c r="AD106" s="10">
        <f t="shared" si="8"/>
        <v>0.23529411764705885</v>
      </c>
      <c r="AE106" s="12">
        <f>100*(AC106/TOTAL_BASIC!$D$302)</f>
        <v>114.62475454625512</v>
      </c>
      <c r="AF106" s="9"/>
      <c r="AG106" s="9"/>
      <c r="AH106" s="12">
        <f t="shared" si="9"/>
        <v>74.5</v>
      </c>
      <c r="AI106" s="12">
        <f t="shared" si="10"/>
        <v>93.899999999999991</v>
      </c>
      <c r="AJ106" s="12">
        <f t="shared" si="11"/>
        <v>45.300000000000004</v>
      </c>
      <c r="AK106" s="12">
        <f t="shared" si="12"/>
        <v>28.7</v>
      </c>
      <c r="AL106" s="12">
        <f t="shared" si="13"/>
        <v>71.8</v>
      </c>
    </row>
    <row r="107" spans="1:38" ht="15.75" customHeight="1">
      <c r="A107" s="1" t="s">
        <v>231</v>
      </c>
      <c r="B107" s="7" t="s">
        <v>107</v>
      </c>
      <c r="C107" s="4" t="s">
        <v>85</v>
      </c>
      <c r="D107" s="4">
        <v>27</v>
      </c>
      <c r="E107" s="4">
        <v>544</v>
      </c>
      <c r="F107" s="4">
        <v>27</v>
      </c>
      <c r="G107" s="4">
        <v>18</v>
      </c>
      <c r="H107" s="4">
        <v>20.100000000000001</v>
      </c>
      <c r="I107" s="4">
        <v>4.3</v>
      </c>
      <c r="J107" s="4">
        <v>8</v>
      </c>
      <c r="K107" s="4">
        <v>0.53200000000000003</v>
      </c>
      <c r="L107" s="4">
        <v>0.2</v>
      </c>
      <c r="M107" s="4">
        <v>0.5</v>
      </c>
      <c r="N107" s="4">
        <v>0.42899999999999999</v>
      </c>
      <c r="O107" s="4">
        <v>4</v>
      </c>
      <c r="P107" s="4">
        <v>7.5</v>
      </c>
      <c r="Q107" s="4">
        <v>0.54</v>
      </c>
      <c r="R107" s="4">
        <v>2.2000000000000002</v>
      </c>
      <c r="S107" s="4">
        <v>3</v>
      </c>
      <c r="T107" s="4">
        <v>0.74099999999999999</v>
      </c>
      <c r="U107" s="4">
        <v>1.3</v>
      </c>
      <c r="V107" s="4">
        <v>4.4000000000000004</v>
      </c>
      <c r="W107" s="4">
        <v>0.9</v>
      </c>
      <c r="X107" s="4">
        <v>0.7</v>
      </c>
      <c r="Y107" s="4">
        <v>0.3</v>
      </c>
      <c r="Z107" s="4">
        <v>1.6</v>
      </c>
      <c r="AA107" s="4">
        <v>2.4</v>
      </c>
      <c r="AB107" s="4">
        <v>11</v>
      </c>
      <c r="AC107" s="10">
        <f t="shared" si="7"/>
        <v>1.0073260073260073</v>
      </c>
      <c r="AD107" s="10">
        <f t="shared" si="8"/>
        <v>0.125</v>
      </c>
      <c r="AE107" s="12">
        <f>100*(AC107/TOTAL_BASIC!$D$302)</f>
        <v>104.784030426556</v>
      </c>
      <c r="AF107" s="9"/>
      <c r="AG107" s="9"/>
      <c r="AH107" s="12">
        <f t="shared" si="9"/>
        <v>43.6</v>
      </c>
      <c r="AI107" s="12">
        <f t="shared" si="10"/>
        <v>72.3</v>
      </c>
      <c r="AJ107" s="12">
        <f t="shared" si="11"/>
        <v>69.599999999999994</v>
      </c>
      <c r="AK107" s="12">
        <f t="shared" si="12"/>
        <v>51.300000000000004</v>
      </c>
      <c r="AL107" s="12">
        <f t="shared" si="13"/>
        <v>33.1</v>
      </c>
    </row>
    <row r="108" spans="1:38" ht="15.75" customHeight="1">
      <c r="A108" s="1" t="s">
        <v>228</v>
      </c>
      <c r="B108" s="7" t="s">
        <v>161</v>
      </c>
      <c r="C108" s="4" t="s">
        <v>8</v>
      </c>
      <c r="D108" s="4">
        <v>40</v>
      </c>
      <c r="E108" s="4">
        <v>544</v>
      </c>
      <c r="F108" s="4">
        <v>40</v>
      </c>
      <c r="G108" s="4">
        <v>3</v>
      </c>
      <c r="H108" s="4">
        <v>13.6</v>
      </c>
      <c r="I108" s="4">
        <v>1.6</v>
      </c>
      <c r="J108" s="4">
        <v>4.5999999999999996</v>
      </c>
      <c r="K108" s="4">
        <v>0.35199999999999998</v>
      </c>
      <c r="L108" s="4">
        <v>1.1000000000000001</v>
      </c>
      <c r="M108" s="4">
        <v>3.3</v>
      </c>
      <c r="N108" s="4">
        <v>0.33300000000000002</v>
      </c>
      <c r="O108" s="4">
        <v>0.5</v>
      </c>
      <c r="P108" s="4">
        <v>1.3</v>
      </c>
      <c r="Q108" s="4">
        <v>0.4</v>
      </c>
      <c r="R108" s="4">
        <v>1.1000000000000001</v>
      </c>
      <c r="S108" s="4">
        <v>1.3</v>
      </c>
      <c r="T108" s="4">
        <v>0.88</v>
      </c>
      <c r="U108" s="4">
        <v>0.2</v>
      </c>
      <c r="V108" s="4">
        <v>1.2</v>
      </c>
      <c r="W108" s="4">
        <v>1</v>
      </c>
      <c r="X108" s="4">
        <v>0.4</v>
      </c>
      <c r="Y108" s="4">
        <v>0</v>
      </c>
      <c r="Z108" s="4">
        <v>0.5</v>
      </c>
      <c r="AA108" s="4">
        <v>1.3</v>
      </c>
      <c r="AB108" s="4">
        <v>5.4</v>
      </c>
      <c r="AC108" s="10">
        <f t="shared" si="7"/>
        <v>0.95204513399153745</v>
      </c>
      <c r="AD108" s="10">
        <f t="shared" si="8"/>
        <v>0</v>
      </c>
      <c r="AE108" s="12">
        <f>100*(AC108/TOTAL_BASIC!$D$302)</f>
        <v>99.033605369168399</v>
      </c>
      <c r="AF108" s="9"/>
      <c r="AG108" s="9"/>
      <c r="AH108" s="12">
        <f t="shared" si="9"/>
        <v>0</v>
      </c>
      <c r="AI108" s="12">
        <f t="shared" si="10"/>
        <v>53.5</v>
      </c>
      <c r="AJ108" s="12">
        <f t="shared" si="11"/>
        <v>35.299999999999997</v>
      </c>
      <c r="AK108" s="12">
        <f t="shared" si="12"/>
        <v>24.8</v>
      </c>
      <c r="AL108" s="12">
        <f t="shared" si="13"/>
        <v>85</v>
      </c>
    </row>
    <row r="109" spans="1:38" ht="15.75" customHeight="1">
      <c r="A109" s="1" t="s">
        <v>225</v>
      </c>
      <c r="B109" s="7" t="s">
        <v>93</v>
      </c>
      <c r="C109" s="4" t="s">
        <v>85</v>
      </c>
      <c r="D109" s="4">
        <v>33</v>
      </c>
      <c r="E109" s="4">
        <v>543</v>
      </c>
      <c r="F109" s="4">
        <v>33</v>
      </c>
      <c r="G109" s="4">
        <v>5</v>
      </c>
      <c r="H109" s="4">
        <v>16.5</v>
      </c>
      <c r="I109" s="4">
        <v>1.5</v>
      </c>
      <c r="J109" s="4">
        <v>3.9</v>
      </c>
      <c r="K109" s="4">
        <v>0.377</v>
      </c>
      <c r="L109" s="4">
        <v>0.6</v>
      </c>
      <c r="M109" s="4">
        <v>1.9</v>
      </c>
      <c r="N109" s="4">
        <v>0.29699999999999999</v>
      </c>
      <c r="O109" s="4">
        <v>0.9</v>
      </c>
      <c r="P109" s="4">
        <v>2</v>
      </c>
      <c r="Q109" s="4">
        <v>0.45500000000000002</v>
      </c>
      <c r="R109" s="4">
        <v>2.8</v>
      </c>
      <c r="S109" s="4">
        <v>3.3</v>
      </c>
      <c r="T109" s="4">
        <v>0.83599999999999997</v>
      </c>
      <c r="U109" s="4">
        <v>0.6</v>
      </c>
      <c r="V109" s="4">
        <v>2.7</v>
      </c>
      <c r="W109" s="4">
        <v>1.3</v>
      </c>
      <c r="X109" s="4">
        <v>0.5</v>
      </c>
      <c r="Y109" s="4">
        <v>0.2</v>
      </c>
      <c r="Z109" s="4">
        <v>1.4</v>
      </c>
      <c r="AA109" s="4">
        <v>1.9</v>
      </c>
      <c r="AB109" s="4">
        <v>6.3</v>
      </c>
      <c r="AC109" s="10">
        <f t="shared" si="7"/>
        <v>0.93305687203791454</v>
      </c>
      <c r="AD109" s="10">
        <f t="shared" si="8"/>
        <v>0.10526315789473685</v>
      </c>
      <c r="AE109" s="12">
        <f>100*(AC109/TOTAL_BASIC!$D$302)</f>
        <v>97.058409053551074</v>
      </c>
      <c r="AF109" s="9"/>
      <c r="AG109" s="9"/>
      <c r="AH109" s="12">
        <f t="shared" si="9"/>
        <v>37</v>
      </c>
      <c r="AI109" s="12">
        <f t="shared" si="10"/>
        <v>49.7</v>
      </c>
      <c r="AJ109" s="12">
        <f t="shared" si="11"/>
        <v>41.9</v>
      </c>
      <c r="AK109" s="12">
        <f t="shared" si="12"/>
        <v>37.5</v>
      </c>
      <c r="AL109" s="12">
        <f t="shared" si="13"/>
        <v>65.100000000000009</v>
      </c>
    </row>
    <row r="110" spans="1:38" ht="15.75" customHeight="1">
      <c r="A110" s="1" t="s">
        <v>243</v>
      </c>
      <c r="B110" s="7" t="s">
        <v>128</v>
      </c>
      <c r="C110" s="4" t="s">
        <v>8</v>
      </c>
      <c r="D110" s="4">
        <v>41</v>
      </c>
      <c r="E110" s="4">
        <v>532</v>
      </c>
      <c r="F110" s="4">
        <v>41</v>
      </c>
      <c r="G110" s="4">
        <v>1</v>
      </c>
      <c r="H110" s="4">
        <v>13</v>
      </c>
      <c r="I110" s="4">
        <v>1.7</v>
      </c>
      <c r="J110" s="4">
        <v>4.0999999999999996</v>
      </c>
      <c r="K110" s="4">
        <v>0.41299999999999998</v>
      </c>
      <c r="L110" s="4">
        <v>0.5</v>
      </c>
      <c r="M110" s="4">
        <v>1.5</v>
      </c>
      <c r="N110" s="4">
        <v>0.30199999999999999</v>
      </c>
      <c r="O110" s="4">
        <v>1.2</v>
      </c>
      <c r="P110" s="4">
        <v>2.5</v>
      </c>
      <c r="Q110" s="4">
        <v>0.48099999999999998</v>
      </c>
      <c r="R110" s="4">
        <v>0.8</v>
      </c>
      <c r="S110" s="4">
        <v>0.8</v>
      </c>
      <c r="T110" s="4">
        <v>0.91200000000000003</v>
      </c>
      <c r="U110" s="4">
        <v>0.3</v>
      </c>
      <c r="V110" s="4">
        <v>1.5</v>
      </c>
      <c r="W110" s="4">
        <v>1</v>
      </c>
      <c r="X110" s="4">
        <v>0.2</v>
      </c>
      <c r="Y110" s="4">
        <v>0.1</v>
      </c>
      <c r="Z110" s="4">
        <v>0.7</v>
      </c>
      <c r="AA110" s="4">
        <v>1.3</v>
      </c>
      <c r="AB110" s="4">
        <v>4.5999999999999996</v>
      </c>
      <c r="AC110" s="10">
        <f t="shared" si="7"/>
        <v>0.89285714285714279</v>
      </c>
      <c r="AD110" s="10">
        <f t="shared" si="8"/>
        <v>7.6923076923076927E-2</v>
      </c>
      <c r="AE110" s="12">
        <f>100*(AC110/TOTAL_BASIC!$D$302)</f>
        <v>92.876754241720079</v>
      </c>
      <c r="AF110" s="9"/>
      <c r="AG110" s="9"/>
      <c r="AH110" s="12">
        <f t="shared" si="9"/>
        <v>27</v>
      </c>
      <c r="AI110" s="12">
        <f t="shared" si="10"/>
        <v>39.200000000000003</v>
      </c>
      <c r="AJ110" s="12">
        <f t="shared" si="11"/>
        <v>27.6</v>
      </c>
      <c r="AK110" s="12">
        <f t="shared" si="12"/>
        <v>20.9</v>
      </c>
      <c r="AL110" s="12">
        <f t="shared" si="13"/>
        <v>92.800000000000011</v>
      </c>
    </row>
    <row r="111" spans="1:38" ht="15.75" customHeight="1">
      <c r="A111" s="1" t="s">
        <v>248</v>
      </c>
      <c r="B111" s="7" t="s">
        <v>84</v>
      </c>
      <c r="C111" s="4" t="s">
        <v>85</v>
      </c>
      <c r="D111" s="4">
        <v>18</v>
      </c>
      <c r="E111" s="4">
        <v>531</v>
      </c>
      <c r="F111" s="4">
        <v>18</v>
      </c>
      <c r="G111" s="4">
        <v>18</v>
      </c>
      <c r="H111" s="4">
        <v>29.5</v>
      </c>
      <c r="I111" s="4">
        <v>3.2</v>
      </c>
      <c r="J111" s="4">
        <v>7.2</v>
      </c>
      <c r="K111" s="4">
        <v>0.44600000000000001</v>
      </c>
      <c r="L111" s="4">
        <v>1.8</v>
      </c>
      <c r="M111" s="4">
        <v>4.2</v>
      </c>
      <c r="N111" s="4">
        <v>0.434</v>
      </c>
      <c r="O111" s="4">
        <v>1.4</v>
      </c>
      <c r="P111" s="4">
        <v>3</v>
      </c>
      <c r="Q111" s="4">
        <v>0.46300000000000002</v>
      </c>
      <c r="R111" s="4">
        <v>1.6</v>
      </c>
      <c r="S111" s="4">
        <v>1.8</v>
      </c>
      <c r="T111" s="4">
        <v>0.875</v>
      </c>
      <c r="U111" s="4">
        <v>1.2</v>
      </c>
      <c r="V111" s="4">
        <v>3.1</v>
      </c>
      <c r="W111" s="4">
        <v>2</v>
      </c>
      <c r="X111" s="4">
        <v>1.3</v>
      </c>
      <c r="Y111" s="4">
        <v>0.1</v>
      </c>
      <c r="Z111" s="4">
        <v>1.8</v>
      </c>
      <c r="AA111" s="4">
        <v>2.4</v>
      </c>
      <c r="AB111" s="4">
        <v>9.8000000000000007</v>
      </c>
      <c r="AC111" s="10">
        <f t="shared" si="7"/>
        <v>1.0008169934640523</v>
      </c>
      <c r="AD111" s="10">
        <f t="shared" si="8"/>
        <v>4.1666666666666671E-2</v>
      </c>
      <c r="AE111" s="12">
        <f>100*(AC111/TOTAL_BASIC!$D$302)</f>
        <v>104.10695001604573</v>
      </c>
      <c r="AF111" s="9"/>
      <c r="AG111" s="9"/>
      <c r="AH111" s="12">
        <f t="shared" si="9"/>
        <v>12.7</v>
      </c>
      <c r="AI111" s="12">
        <f t="shared" si="10"/>
        <v>70.099999999999994</v>
      </c>
      <c r="AJ111" s="12">
        <f t="shared" si="11"/>
        <v>64</v>
      </c>
      <c r="AK111" s="12">
        <f t="shared" si="12"/>
        <v>83.899999999999991</v>
      </c>
      <c r="AL111" s="12">
        <f t="shared" si="13"/>
        <v>81.2</v>
      </c>
    </row>
    <row r="112" spans="1:38" ht="15.75" customHeight="1">
      <c r="A112" s="1" t="s">
        <v>262</v>
      </c>
      <c r="B112" s="7" t="s">
        <v>131</v>
      </c>
      <c r="C112" s="4" t="s">
        <v>8</v>
      </c>
      <c r="D112" s="4">
        <v>24</v>
      </c>
      <c r="E112" s="4">
        <v>528</v>
      </c>
      <c r="F112" s="4">
        <v>24</v>
      </c>
      <c r="G112" s="4">
        <v>21</v>
      </c>
      <c r="H112" s="4">
        <v>22</v>
      </c>
      <c r="I112" s="4">
        <v>3.2</v>
      </c>
      <c r="J112" s="4">
        <v>7.2</v>
      </c>
      <c r="K112" s="4">
        <v>0.442</v>
      </c>
      <c r="L112" s="4">
        <v>0.9</v>
      </c>
      <c r="M112" s="4">
        <v>2.4</v>
      </c>
      <c r="N112" s="4">
        <v>0.38600000000000001</v>
      </c>
      <c r="O112" s="4">
        <v>2.2999999999999998</v>
      </c>
      <c r="P112" s="4">
        <v>4.8</v>
      </c>
      <c r="Q112" s="4">
        <v>0.47</v>
      </c>
      <c r="R112" s="4">
        <v>2</v>
      </c>
      <c r="S112" s="4">
        <v>2.6</v>
      </c>
      <c r="T112" s="4">
        <v>0.77400000000000002</v>
      </c>
      <c r="U112" s="4">
        <v>0.4</v>
      </c>
      <c r="V112" s="4">
        <v>2.8</v>
      </c>
      <c r="W112" s="4">
        <v>5.2</v>
      </c>
      <c r="X112" s="4">
        <v>1.1000000000000001</v>
      </c>
      <c r="Y112" s="4">
        <v>0.3</v>
      </c>
      <c r="Z112" s="4">
        <v>2</v>
      </c>
      <c r="AA112" s="4">
        <v>1.6</v>
      </c>
      <c r="AB112" s="4">
        <v>9.3000000000000007</v>
      </c>
      <c r="AC112" s="10">
        <f t="shared" si="7"/>
        <v>0.89907192575406025</v>
      </c>
      <c r="AD112" s="10">
        <f t="shared" si="8"/>
        <v>0.18749999999999997</v>
      </c>
      <c r="AE112" s="12">
        <f>100*(AC112/TOTAL_BASIC!$D$302)</f>
        <v>93.523228169156653</v>
      </c>
      <c r="AF112" s="9"/>
      <c r="AG112" s="9"/>
      <c r="AH112" s="12">
        <f t="shared" si="9"/>
        <v>62.4</v>
      </c>
      <c r="AI112" s="12">
        <f t="shared" si="10"/>
        <v>40.799999999999997</v>
      </c>
      <c r="AJ112" s="12">
        <f t="shared" si="11"/>
        <v>61.3</v>
      </c>
      <c r="AK112" s="12">
        <f t="shared" si="12"/>
        <v>55.2</v>
      </c>
      <c r="AL112" s="12">
        <f t="shared" si="13"/>
        <v>41.4</v>
      </c>
    </row>
    <row r="113" spans="1:38" ht="15.75" customHeight="1">
      <c r="A113" s="1" t="s">
        <v>136</v>
      </c>
      <c r="B113" s="7" t="s">
        <v>240</v>
      </c>
      <c r="C113" s="4" t="s">
        <v>8</v>
      </c>
      <c r="D113" s="4">
        <v>17</v>
      </c>
      <c r="E113" s="4">
        <v>519</v>
      </c>
      <c r="F113" s="4">
        <v>17</v>
      </c>
      <c r="G113" s="4">
        <v>15</v>
      </c>
      <c r="H113" s="4">
        <v>30.5</v>
      </c>
      <c r="I113" s="4">
        <v>7.4</v>
      </c>
      <c r="J113" s="4">
        <v>14.3</v>
      </c>
      <c r="K113" s="4">
        <v>0.51900000000000002</v>
      </c>
      <c r="L113" s="4">
        <v>2.4</v>
      </c>
      <c r="M113" s="4">
        <v>6.2</v>
      </c>
      <c r="N113" s="4">
        <v>0.377</v>
      </c>
      <c r="O113" s="4">
        <v>5.0999999999999996</v>
      </c>
      <c r="P113" s="4">
        <v>8.1</v>
      </c>
      <c r="Q113" s="4">
        <v>0.628</v>
      </c>
      <c r="R113" s="4">
        <v>4.4000000000000004</v>
      </c>
      <c r="S113" s="4">
        <v>5.4</v>
      </c>
      <c r="T113" s="4">
        <v>0.81299999999999994</v>
      </c>
      <c r="U113" s="4">
        <v>0.2</v>
      </c>
      <c r="V113" s="4">
        <v>2.1</v>
      </c>
      <c r="W113" s="4">
        <v>5.4</v>
      </c>
      <c r="X113" s="4">
        <v>1</v>
      </c>
      <c r="Y113" s="4">
        <v>0</v>
      </c>
      <c r="Z113" s="4">
        <v>2.8</v>
      </c>
      <c r="AA113" s="4">
        <v>3.3</v>
      </c>
      <c r="AB113" s="4">
        <v>21.5</v>
      </c>
      <c r="AC113" s="10">
        <f t="shared" si="7"/>
        <v>1.1039227767508728</v>
      </c>
      <c r="AD113" s="10">
        <f t="shared" si="8"/>
        <v>0</v>
      </c>
      <c r="AE113" s="12">
        <f>100*(AC113/TOTAL_BASIC!$D$302)</f>
        <v>114.8322161707034</v>
      </c>
      <c r="AF113" s="9"/>
      <c r="AG113" s="9"/>
      <c r="AH113" s="12">
        <f t="shared" si="9"/>
        <v>0</v>
      </c>
      <c r="AI113" s="12">
        <f t="shared" si="10"/>
        <v>94.399999999999991</v>
      </c>
      <c r="AJ113" s="12">
        <f t="shared" si="11"/>
        <v>98.3</v>
      </c>
      <c r="AK113" s="12">
        <f t="shared" si="12"/>
        <v>87.8</v>
      </c>
      <c r="AL113" s="12">
        <f t="shared" si="13"/>
        <v>54.6</v>
      </c>
    </row>
    <row r="114" spans="1:38" ht="15.75" customHeight="1">
      <c r="A114" s="1" t="s">
        <v>221</v>
      </c>
      <c r="B114" s="7" t="s">
        <v>157</v>
      </c>
      <c r="C114" s="4" t="s">
        <v>8</v>
      </c>
      <c r="D114" s="4">
        <v>36</v>
      </c>
      <c r="E114" s="4">
        <v>502</v>
      </c>
      <c r="F114" s="4">
        <v>36</v>
      </c>
      <c r="G114" s="4">
        <v>4</v>
      </c>
      <c r="H114" s="4">
        <v>13.9</v>
      </c>
      <c r="I114" s="4">
        <v>1.5</v>
      </c>
      <c r="J114" s="4">
        <v>3.4</v>
      </c>
      <c r="K114" s="4">
        <v>0.434</v>
      </c>
      <c r="L114" s="4">
        <v>0.7</v>
      </c>
      <c r="M114" s="4">
        <v>1.8</v>
      </c>
      <c r="N114" s="4">
        <v>0.36399999999999999</v>
      </c>
      <c r="O114" s="4">
        <v>0.8</v>
      </c>
      <c r="P114" s="4">
        <v>1.6</v>
      </c>
      <c r="Q114" s="4">
        <v>0.51800000000000002</v>
      </c>
      <c r="R114" s="4">
        <v>0.7</v>
      </c>
      <c r="S114" s="4">
        <v>0.8</v>
      </c>
      <c r="T114" s="4">
        <v>0.88900000000000001</v>
      </c>
      <c r="U114" s="4">
        <v>0.1</v>
      </c>
      <c r="V114" s="4">
        <v>1.1000000000000001</v>
      </c>
      <c r="W114" s="4">
        <v>2</v>
      </c>
      <c r="X114" s="4">
        <v>0.3</v>
      </c>
      <c r="Y114" s="4">
        <v>0.1</v>
      </c>
      <c r="Z114" s="4">
        <v>0.5</v>
      </c>
      <c r="AA114" s="4">
        <v>1.1000000000000001</v>
      </c>
      <c r="AB114" s="4">
        <v>4.3</v>
      </c>
      <c r="AC114" s="10">
        <f t="shared" si="7"/>
        <v>1.011288805268109</v>
      </c>
      <c r="AD114" s="10">
        <f t="shared" si="8"/>
        <v>9.0909090909090912E-2</v>
      </c>
      <c r="AE114" s="12">
        <f>100*(AC114/TOTAL_BASIC!$D$302)</f>
        <v>105.19624845440356</v>
      </c>
      <c r="AF114" s="9"/>
      <c r="AG114" s="9"/>
      <c r="AH114" s="12">
        <f t="shared" si="9"/>
        <v>32</v>
      </c>
      <c r="AI114" s="12">
        <f t="shared" si="10"/>
        <v>74</v>
      </c>
      <c r="AJ114" s="12">
        <f t="shared" si="11"/>
        <v>25.4</v>
      </c>
      <c r="AK114" s="12">
        <f t="shared" si="12"/>
        <v>26.5</v>
      </c>
      <c r="AL114" s="12">
        <f t="shared" si="13"/>
        <v>87.2</v>
      </c>
    </row>
    <row r="115" spans="1:38" ht="15.75" customHeight="1">
      <c r="A115" s="1" t="s">
        <v>160</v>
      </c>
      <c r="B115" s="7" t="s">
        <v>161</v>
      </c>
      <c r="C115" s="4" t="s">
        <v>8</v>
      </c>
      <c r="D115" s="4">
        <v>17</v>
      </c>
      <c r="E115" s="4">
        <v>500</v>
      </c>
      <c r="F115" s="4">
        <v>17</v>
      </c>
      <c r="G115" s="4">
        <v>17</v>
      </c>
      <c r="H115" s="4">
        <v>29.4</v>
      </c>
      <c r="I115" s="4">
        <v>6</v>
      </c>
      <c r="J115" s="4">
        <v>14.4</v>
      </c>
      <c r="K115" s="4">
        <v>0.41799999999999998</v>
      </c>
      <c r="L115" s="4">
        <v>0.9</v>
      </c>
      <c r="M115" s="4">
        <v>3.6</v>
      </c>
      <c r="N115" s="4">
        <v>0.25800000000000001</v>
      </c>
      <c r="O115" s="4">
        <v>5.0999999999999996</v>
      </c>
      <c r="P115" s="4">
        <v>10.7</v>
      </c>
      <c r="Q115" s="4">
        <v>0.47299999999999998</v>
      </c>
      <c r="R115" s="4">
        <v>5.6</v>
      </c>
      <c r="S115" s="4">
        <v>6.3</v>
      </c>
      <c r="T115" s="4">
        <v>0.89700000000000002</v>
      </c>
      <c r="U115" s="4">
        <v>0.9</v>
      </c>
      <c r="V115" s="4">
        <v>3.5</v>
      </c>
      <c r="W115" s="4">
        <v>3.4</v>
      </c>
      <c r="X115" s="4">
        <v>1.2</v>
      </c>
      <c r="Y115" s="4">
        <v>0.5</v>
      </c>
      <c r="Z115" s="4">
        <v>2.1</v>
      </c>
      <c r="AA115" s="4">
        <v>2.4</v>
      </c>
      <c r="AB115" s="4">
        <v>18.600000000000001</v>
      </c>
      <c r="AC115" s="10">
        <f t="shared" si="7"/>
        <v>0.96513075965130757</v>
      </c>
      <c r="AD115" s="10">
        <f t="shared" si="8"/>
        <v>0.20833333333333334</v>
      </c>
      <c r="AE115" s="12">
        <f>100*(AC115/TOTAL_BASIC!$D$302)</f>
        <v>100.39479786029023</v>
      </c>
      <c r="AF115" s="9"/>
      <c r="AG115" s="9"/>
      <c r="AH115" s="12">
        <f t="shared" si="9"/>
        <v>69.599999999999994</v>
      </c>
      <c r="AI115" s="12">
        <f t="shared" si="10"/>
        <v>57.4</v>
      </c>
      <c r="AJ115" s="12">
        <f t="shared" si="11"/>
        <v>93.899999999999991</v>
      </c>
      <c r="AK115" s="12">
        <f t="shared" si="12"/>
        <v>83.399999999999991</v>
      </c>
      <c r="AL115" s="12">
        <f t="shared" si="13"/>
        <v>90</v>
      </c>
    </row>
    <row r="116" spans="1:38" ht="15.75" customHeight="1">
      <c r="A116" s="1" t="s">
        <v>187</v>
      </c>
      <c r="B116" s="7" t="s">
        <v>117</v>
      </c>
      <c r="C116" s="4" t="s">
        <v>119</v>
      </c>
      <c r="D116" s="4">
        <v>38</v>
      </c>
      <c r="E116" s="4">
        <v>498</v>
      </c>
      <c r="F116" s="4">
        <v>38</v>
      </c>
      <c r="G116" s="4">
        <v>4</v>
      </c>
      <c r="H116" s="4">
        <v>13.1</v>
      </c>
      <c r="I116" s="4">
        <v>0.8</v>
      </c>
      <c r="J116" s="4">
        <v>1.4</v>
      </c>
      <c r="K116" s="4">
        <v>0.57699999999999996</v>
      </c>
      <c r="L116" s="4">
        <v>0</v>
      </c>
      <c r="M116" s="4">
        <v>0</v>
      </c>
      <c r="N116" s="4">
        <v>0</v>
      </c>
      <c r="O116" s="4">
        <v>0.8</v>
      </c>
      <c r="P116" s="4">
        <v>1.4</v>
      </c>
      <c r="Q116" s="4">
        <v>0.57699999999999996</v>
      </c>
      <c r="R116" s="4">
        <v>0.1</v>
      </c>
      <c r="S116" s="4">
        <v>0.1</v>
      </c>
      <c r="T116" s="4">
        <v>1</v>
      </c>
      <c r="U116" s="4">
        <v>0.6</v>
      </c>
      <c r="V116" s="4">
        <v>2.2999999999999998</v>
      </c>
      <c r="W116" s="4">
        <v>0.2</v>
      </c>
      <c r="X116" s="4">
        <v>0.3</v>
      </c>
      <c r="Y116" s="4">
        <v>0.5</v>
      </c>
      <c r="Z116" s="4">
        <v>0.7</v>
      </c>
      <c r="AA116" s="4">
        <v>1.4</v>
      </c>
      <c r="AB116" s="4">
        <v>1.6</v>
      </c>
      <c r="AC116" s="10">
        <f t="shared" si="7"/>
        <v>0.74626865671641796</v>
      </c>
      <c r="AD116" s="10">
        <f t="shared" si="8"/>
        <v>0.35714285714285715</v>
      </c>
      <c r="AE116" s="12">
        <f>100*(AC116/TOTAL_BASIC!$D$302)</f>
        <v>77.628331903527254</v>
      </c>
      <c r="AF116" s="9"/>
      <c r="AG116" s="9"/>
      <c r="AH116" s="12">
        <f t="shared" si="9"/>
        <v>82.8</v>
      </c>
      <c r="AI116" s="12">
        <f t="shared" si="10"/>
        <v>6</v>
      </c>
      <c r="AJ116" s="12">
        <f t="shared" si="11"/>
        <v>1.0999999999999999</v>
      </c>
      <c r="AK116" s="12">
        <f t="shared" si="12"/>
        <v>21.5</v>
      </c>
      <c r="AL116" s="12">
        <f t="shared" si="13"/>
        <v>97.7</v>
      </c>
    </row>
    <row r="117" spans="1:38" ht="15.75" customHeight="1">
      <c r="A117" s="1" t="s">
        <v>213</v>
      </c>
      <c r="B117" s="4" t="s">
        <v>131</v>
      </c>
      <c r="C117" s="4" t="s">
        <v>8</v>
      </c>
      <c r="D117" s="4">
        <v>37</v>
      </c>
      <c r="E117" s="4">
        <v>496</v>
      </c>
      <c r="F117" s="4">
        <v>37</v>
      </c>
      <c r="G117" s="4">
        <v>2</v>
      </c>
      <c r="H117" s="4">
        <v>13.4</v>
      </c>
      <c r="I117" s="4">
        <v>1.6</v>
      </c>
      <c r="J117" s="4">
        <v>4.5999999999999996</v>
      </c>
      <c r="K117" s="4">
        <v>0.35699999999999998</v>
      </c>
      <c r="L117" s="4">
        <v>1.1000000000000001</v>
      </c>
      <c r="M117" s="4">
        <v>3.4</v>
      </c>
      <c r="N117" s="4">
        <v>0.32800000000000001</v>
      </c>
      <c r="O117" s="4">
        <v>0.5</v>
      </c>
      <c r="P117" s="4">
        <v>1.2</v>
      </c>
      <c r="Q117" s="4">
        <v>0.435</v>
      </c>
      <c r="R117" s="4">
        <v>0.4</v>
      </c>
      <c r="S117" s="4">
        <v>0.5</v>
      </c>
      <c r="T117" s="4">
        <v>0.78900000000000003</v>
      </c>
      <c r="U117" s="4">
        <v>0.1</v>
      </c>
      <c r="V117" s="4">
        <v>1.2</v>
      </c>
      <c r="W117" s="4">
        <v>1.2</v>
      </c>
      <c r="X117" s="4">
        <v>0.3</v>
      </c>
      <c r="Y117" s="4">
        <v>0.2</v>
      </c>
      <c r="Z117" s="4">
        <v>0.8</v>
      </c>
      <c r="AA117" s="4">
        <v>1.3</v>
      </c>
      <c r="AB117" s="4">
        <v>4.8</v>
      </c>
      <c r="AC117" s="10">
        <f t="shared" si="7"/>
        <v>0.8540925266903916</v>
      </c>
      <c r="AD117" s="10">
        <f t="shared" si="8"/>
        <v>0.15384615384615385</v>
      </c>
      <c r="AE117" s="12">
        <f>100*(AC117/TOTAL_BASIC!$D$302)</f>
        <v>88.844382705246844</v>
      </c>
      <c r="AF117" s="9"/>
      <c r="AG117" s="9"/>
      <c r="AH117" s="12">
        <f t="shared" si="9"/>
        <v>53.5</v>
      </c>
      <c r="AI117" s="12">
        <f t="shared" si="10"/>
        <v>26.5</v>
      </c>
      <c r="AJ117" s="12">
        <f t="shared" si="11"/>
        <v>29.799999999999997</v>
      </c>
      <c r="AK117" s="12">
        <f t="shared" si="12"/>
        <v>22.6</v>
      </c>
      <c r="AL117" s="12">
        <f t="shared" si="13"/>
        <v>46.9</v>
      </c>
    </row>
    <row r="118" spans="1:38" ht="15.75" customHeight="1">
      <c r="A118" s="1" t="s">
        <v>249</v>
      </c>
      <c r="B118" s="7" t="s">
        <v>114</v>
      </c>
      <c r="C118" s="4" t="s">
        <v>8</v>
      </c>
      <c r="D118" s="4">
        <v>32</v>
      </c>
      <c r="E118" s="4">
        <v>491</v>
      </c>
      <c r="F118" s="4">
        <v>32</v>
      </c>
      <c r="G118" s="4">
        <v>1</v>
      </c>
      <c r="H118" s="4">
        <v>15.3</v>
      </c>
      <c r="I118" s="4">
        <v>1.5</v>
      </c>
      <c r="J118" s="4">
        <v>3.6</v>
      </c>
      <c r="K118" s="4">
        <v>0.40500000000000003</v>
      </c>
      <c r="L118" s="4">
        <v>0.8</v>
      </c>
      <c r="M118" s="4">
        <v>2.5</v>
      </c>
      <c r="N118" s="4">
        <v>0.32100000000000001</v>
      </c>
      <c r="O118" s="4">
        <v>0.7</v>
      </c>
      <c r="P118" s="4">
        <v>1.1000000000000001</v>
      </c>
      <c r="Q118" s="4">
        <v>0.6</v>
      </c>
      <c r="R118" s="4">
        <v>0.7</v>
      </c>
      <c r="S118" s="4">
        <v>0.9</v>
      </c>
      <c r="T118" s="4">
        <v>0.78600000000000003</v>
      </c>
      <c r="U118" s="4">
        <v>0.4</v>
      </c>
      <c r="V118" s="4">
        <v>2.1</v>
      </c>
      <c r="W118" s="4">
        <v>0.8</v>
      </c>
      <c r="X118" s="4">
        <v>0.8</v>
      </c>
      <c r="Y118" s="4">
        <v>0.1</v>
      </c>
      <c r="Z118" s="4">
        <v>0.5</v>
      </c>
      <c r="AA118" s="4">
        <v>0.9</v>
      </c>
      <c r="AB118" s="4">
        <v>4.4000000000000004</v>
      </c>
      <c r="AC118" s="10">
        <f t="shared" si="7"/>
        <v>0.97864768683274017</v>
      </c>
      <c r="AD118" s="10">
        <f t="shared" si="8"/>
        <v>0.11111111111111112</v>
      </c>
      <c r="AE118" s="12">
        <f>100*(AC118/TOTAL_BASIC!$D$302)</f>
        <v>101.80085518309534</v>
      </c>
      <c r="AF118" s="9"/>
      <c r="AG118" s="9"/>
      <c r="AH118" s="12">
        <f t="shared" si="9"/>
        <v>40.300000000000004</v>
      </c>
      <c r="AI118" s="12">
        <f t="shared" si="10"/>
        <v>63.5</v>
      </c>
      <c r="AJ118" s="12">
        <f t="shared" si="11"/>
        <v>25.900000000000002</v>
      </c>
      <c r="AK118" s="12">
        <f t="shared" si="12"/>
        <v>33.700000000000003</v>
      </c>
      <c r="AL118" s="12">
        <f t="shared" si="13"/>
        <v>45.300000000000004</v>
      </c>
    </row>
    <row r="119" spans="1:38" ht="15.75" customHeight="1">
      <c r="A119" s="1" t="s">
        <v>234</v>
      </c>
      <c r="B119" s="7" t="s">
        <v>232</v>
      </c>
      <c r="C119" s="4" t="s">
        <v>85</v>
      </c>
      <c r="D119" s="4">
        <v>37</v>
      </c>
      <c r="E119" s="4">
        <v>490</v>
      </c>
      <c r="F119" s="4">
        <v>37</v>
      </c>
      <c r="G119" s="4">
        <v>3</v>
      </c>
      <c r="H119" s="4">
        <v>13.2</v>
      </c>
      <c r="I119" s="4">
        <v>1.7</v>
      </c>
      <c r="J119" s="4">
        <v>3.1</v>
      </c>
      <c r="K119" s="4">
        <v>0.55200000000000005</v>
      </c>
      <c r="L119" s="4">
        <v>0</v>
      </c>
      <c r="M119" s="4">
        <v>0.1</v>
      </c>
      <c r="N119" s="4">
        <v>0.5</v>
      </c>
      <c r="O119" s="4">
        <v>1.7</v>
      </c>
      <c r="P119" s="4">
        <v>3.1</v>
      </c>
      <c r="Q119" s="4">
        <v>0.55300000000000005</v>
      </c>
      <c r="R119" s="4">
        <v>0.9</v>
      </c>
      <c r="S119" s="4">
        <v>1.4</v>
      </c>
      <c r="T119" s="4">
        <v>0.61499999999999999</v>
      </c>
      <c r="U119" s="4">
        <v>0.9</v>
      </c>
      <c r="V119" s="4">
        <v>2.8</v>
      </c>
      <c r="W119" s="4">
        <v>0.5</v>
      </c>
      <c r="X119" s="4">
        <v>0.4</v>
      </c>
      <c r="Y119" s="4">
        <v>0.4</v>
      </c>
      <c r="Z119" s="4">
        <v>0.8</v>
      </c>
      <c r="AA119" s="4">
        <v>1.9</v>
      </c>
      <c r="AB119" s="4">
        <v>4.4000000000000004</v>
      </c>
      <c r="AC119" s="10">
        <f t="shared" si="7"/>
        <v>0.97431355181576629</v>
      </c>
      <c r="AD119" s="10">
        <f t="shared" si="8"/>
        <v>0.2105263157894737</v>
      </c>
      <c r="AE119" s="12">
        <f>100*(AC119/TOTAL_BASIC!$D$302)</f>
        <v>101.35000994313479</v>
      </c>
      <c r="AF119" s="9"/>
      <c r="AG119" s="9"/>
      <c r="AH119" s="12">
        <f t="shared" si="9"/>
        <v>70.7</v>
      </c>
      <c r="AI119" s="12">
        <f t="shared" si="10"/>
        <v>61.8</v>
      </c>
      <c r="AJ119" s="12">
        <f t="shared" si="11"/>
        <v>25.900000000000002</v>
      </c>
      <c r="AK119" s="12">
        <f t="shared" si="12"/>
        <v>22</v>
      </c>
      <c r="AL119" s="12">
        <f t="shared" si="13"/>
        <v>9.3000000000000007</v>
      </c>
    </row>
    <row r="120" spans="1:38" ht="15.75" customHeight="1">
      <c r="A120" s="1" t="s">
        <v>206</v>
      </c>
      <c r="B120" s="7" t="s">
        <v>157</v>
      </c>
      <c r="C120" s="4" t="s">
        <v>85</v>
      </c>
      <c r="D120" s="4">
        <v>35</v>
      </c>
      <c r="E120" s="4">
        <v>482</v>
      </c>
      <c r="F120" s="4">
        <v>35</v>
      </c>
      <c r="G120" s="4">
        <v>3</v>
      </c>
      <c r="H120" s="4">
        <v>13.8</v>
      </c>
      <c r="I120" s="4">
        <v>1.5</v>
      </c>
      <c r="J120" s="4">
        <v>3.1</v>
      </c>
      <c r="K120" s="4">
        <v>0.48599999999999999</v>
      </c>
      <c r="L120" s="4">
        <v>0.2</v>
      </c>
      <c r="M120" s="4">
        <v>0.7</v>
      </c>
      <c r="N120" s="4">
        <v>0.34799999999999998</v>
      </c>
      <c r="O120" s="4">
        <v>1.3</v>
      </c>
      <c r="P120" s="4">
        <v>2.5</v>
      </c>
      <c r="Q120" s="4">
        <v>0.52300000000000002</v>
      </c>
      <c r="R120" s="4">
        <v>0.5</v>
      </c>
      <c r="S120" s="4">
        <v>0.9</v>
      </c>
      <c r="T120" s="4">
        <v>0.61299999999999999</v>
      </c>
      <c r="U120" s="4">
        <v>0.6</v>
      </c>
      <c r="V120" s="4">
        <v>3.3</v>
      </c>
      <c r="W120" s="4">
        <v>1.5</v>
      </c>
      <c r="X120" s="4">
        <v>0.5</v>
      </c>
      <c r="Y120" s="4">
        <v>0.4</v>
      </c>
      <c r="Z120" s="4">
        <v>1.1000000000000001</v>
      </c>
      <c r="AA120" s="4">
        <v>2.1</v>
      </c>
      <c r="AB120" s="4">
        <v>3.8</v>
      </c>
      <c r="AC120" s="10">
        <f t="shared" si="7"/>
        <v>0.82680591818973015</v>
      </c>
      <c r="AD120" s="10">
        <f t="shared" si="8"/>
        <v>0.19047619047619047</v>
      </c>
      <c r="AE120" s="12">
        <f>100*(AC120/TOTAL_BASIC!$D$302)</f>
        <v>86.005976077624169</v>
      </c>
      <c r="AF120" s="9"/>
      <c r="AG120" s="9"/>
      <c r="AH120" s="12">
        <f t="shared" si="9"/>
        <v>64.600000000000009</v>
      </c>
      <c r="AI120" s="12">
        <f t="shared" si="10"/>
        <v>17.599999999999998</v>
      </c>
      <c r="AJ120" s="12">
        <f t="shared" si="11"/>
        <v>18.7</v>
      </c>
      <c r="AK120" s="12">
        <f t="shared" si="12"/>
        <v>25.4</v>
      </c>
      <c r="AL120" s="12">
        <f t="shared" si="13"/>
        <v>8.7999999999999989</v>
      </c>
    </row>
    <row r="121" spans="1:38" ht="15.75" customHeight="1">
      <c r="A121" s="1" t="s">
        <v>264</v>
      </c>
      <c r="B121" s="7" t="s">
        <v>84</v>
      </c>
      <c r="C121" s="4" t="s">
        <v>112</v>
      </c>
      <c r="D121" s="4">
        <v>26</v>
      </c>
      <c r="E121" s="4">
        <v>476</v>
      </c>
      <c r="F121" s="4">
        <v>26</v>
      </c>
      <c r="G121" s="4">
        <v>12</v>
      </c>
      <c r="H121" s="4">
        <v>18.3</v>
      </c>
      <c r="I121" s="4">
        <v>1.9</v>
      </c>
      <c r="J121" s="4">
        <v>4.7</v>
      </c>
      <c r="K121" s="4">
        <v>0.41299999999999998</v>
      </c>
      <c r="L121" s="4">
        <v>1.2</v>
      </c>
      <c r="M121" s="4">
        <v>3.1</v>
      </c>
      <c r="N121" s="4">
        <v>0.39500000000000002</v>
      </c>
      <c r="O121" s="4">
        <v>0.7</v>
      </c>
      <c r="P121" s="4">
        <v>1.5</v>
      </c>
      <c r="Q121" s="4">
        <v>0.45</v>
      </c>
      <c r="R121" s="4">
        <v>0.5</v>
      </c>
      <c r="S121" s="4">
        <v>0.6</v>
      </c>
      <c r="T121" s="4">
        <v>0.86699999999999999</v>
      </c>
      <c r="U121" s="4">
        <v>0.6</v>
      </c>
      <c r="V121" s="4">
        <v>2.4</v>
      </c>
      <c r="W121" s="4">
        <v>0.7</v>
      </c>
      <c r="X121" s="4">
        <v>0.6</v>
      </c>
      <c r="Y121" s="4">
        <v>0.4</v>
      </c>
      <c r="Z121" s="4">
        <v>0.6</v>
      </c>
      <c r="AA121" s="4">
        <v>2.2000000000000002</v>
      </c>
      <c r="AB121" s="4">
        <v>5.6</v>
      </c>
      <c r="AC121" s="10">
        <f t="shared" si="7"/>
        <v>1.0064701653486698</v>
      </c>
      <c r="AD121" s="10">
        <f t="shared" si="8"/>
        <v>0.18181818181818182</v>
      </c>
      <c r="AE121" s="12">
        <f>100*(AC121/TOTAL_BASIC!$D$302)</f>
        <v>104.6950040625572</v>
      </c>
      <c r="AF121" s="9"/>
      <c r="AG121" s="9"/>
      <c r="AH121" s="12">
        <f t="shared" si="9"/>
        <v>60.699999999999996</v>
      </c>
      <c r="AI121" s="12">
        <f t="shared" si="10"/>
        <v>71.8</v>
      </c>
      <c r="AJ121" s="12">
        <f t="shared" si="11"/>
        <v>38.6</v>
      </c>
      <c r="AK121" s="12">
        <f t="shared" si="12"/>
        <v>45.800000000000004</v>
      </c>
      <c r="AL121" s="12">
        <f t="shared" si="13"/>
        <v>78.400000000000006</v>
      </c>
    </row>
    <row r="122" spans="1:38" ht="15.75" customHeight="1">
      <c r="A122" s="1" t="s">
        <v>254</v>
      </c>
      <c r="B122" s="7" t="s">
        <v>232</v>
      </c>
      <c r="C122" s="4" t="s">
        <v>8</v>
      </c>
      <c r="D122" s="4">
        <v>30</v>
      </c>
      <c r="E122" s="4">
        <v>475</v>
      </c>
      <c r="F122" s="4">
        <v>30</v>
      </c>
      <c r="G122" s="4">
        <v>2</v>
      </c>
      <c r="H122" s="4">
        <v>15.8</v>
      </c>
      <c r="I122" s="4">
        <v>1.4</v>
      </c>
      <c r="J122" s="4">
        <v>3.8</v>
      </c>
      <c r="K122" s="4">
        <v>0.372</v>
      </c>
      <c r="L122" s="4">
        <v>1</v>
      </c>
      <c r="M122" s="4">
        <v>3.2</v>
      </c>
      <c r="N122" s="4">
        <v>0.316</v>
      </c>
      <c r="O122" s="4">
        <v>0.4</v>
      </c>
      <c r="P122" s="4">
        <v>0.6</v>
      </c>
      <c r="Q122" s="4">
        <v>0.66700000000000004</v>
      </c>
      <c r="R122" s="4">
        <v>1</v>
      </c>
      <c r="S122" s="4">
        <v>1.1000000000000001</v>
      </c>
      <c r="T122" s="4">
        <v>0.90900000000000003</v>
      </c>
      <c r="U122" s="4">
        <v>0.5</v>
      </c>
      <c r="V122" s="4">
        <v>1.5</v>
      </c>
      <c r="W122" s="4">
        <v>0.8</v>
      </c>
      <c r="X122" s="4">
        <v>0.6</v>
      </c>
      <c r="Y122" s="4">
        <v>0.1</v>
      </c>
      <c r="Z122" s="4">
        <v>0.3</v>
      </c>
      <c r="AA122" s="4">
        <v>1.7</v>
      </c>
      <c r="AB122" s="4">
        <v>4.8</v>
      </c>
      <c r="AC122" s="10">
        <f t="shared" si="7"/>
        <v>1.0471204188481675</v>
      </c>
      <c r="AD122" s="10">
        <f t="shared" si="8"/>
        <v>5.8823529411764712E-2</v>
      </c>
      <c r="AE122" s="12">
        <f>100*(AC122/TOTAL_BASIC!$D$302)</f>
        <v>108.92352329919007</v>
      </c>
      <c r="AF122" s="9"/>
      <c r="AG122" s="9"/>
      <c r="AH122" s="12">
        <f t="shared" si="9"/>
        <v>19.3</v>
      </c>
      <c r="AI122" s="12">
        <f t="shared" si="10"/>
        <v>86.1</v>
      </c>
      <c r="AJ122" s="12">
        <f t="shared" si="11"/>
        <v>29.799999999999997</v>
      </c>
      <c r="AK122" s="12">
        <f t="shared" si="12"/>
        <v>35.9</v>
      </c>
      <c r="AL122" s="12">
        <f t="shared" si="13"/>
        <v>92.2</v>
      </c>
    </row>
    <row r="123" spans="1:38" ht="15.75" customHeight="1">
      <c r="A123" s="1" t="s">
        <v>133</v>
      </c>
      <c r="B123" s="7" t="s">
        <v>99</v>
      </c>
      <c r="C123" s="4" t="s">
        <v>8</v>
      </c>
      <c r="D123" s="4">
        <v>32</v>
      </c>
      <c r="E123" s="4">
        <v>461</v>
      </c>
      <c r="F123" s="4">
        <v>32</v>
      </c>
      <c r="G123" s="4">
        <v>11</v>
      </c>
      <c r="H123" s="4">
        <v>14.4</v>
      </c>
      <c r="I123" s="4">
        <v>1.6</v>
      </c>
      <c r="J123" s="4">
        <v>4.3</v>
      </c>
      <c r="K123" s="4">
        <v>0.377</v>
      </c>
      <c r="L123" s="4">
        <v>0.5</v>
      </c>
      <c r="M123" s="4">
        <v>1.5</v>
      </c>
      <c r="N123" s="4">
        <v>0.313</v>
      </c>
      <c r="O123" s="4">
        <v>1.2</v>
      </c>
      <c r="P123" s="4">
        <v>2.8</v>
      </c>
      <c r="Q123" s="4">
        <v>0.41099999999999998</v>
      </c>
      <c r="R123" s="4">
        <v>1</v>
      </c>
      <c r="S123" s="4">
        <v>1.1000000000000001</v>
      </c>
      <c r="T123" s="4">
        <v>0.86099999999999999</v>
      </c>
      <c r="U123" s="4">
        <v>0.1</v>
      </c>
      <c r="V123" s="4">
        <v>0.9</v>
      </c>
      <c r="W123" s="4">
        <v>2</v>
      </c>
      <c r="X123" s="4">
        <v>0.5</v>
      </c>
      <c r="Y123" s="4">
        <v>0.1</v>
      </c>
      <c r="Z123" s="4">
        <v>1</v>
      </c>
      <c r="AA123" s="4">
        <v>1.2</v>
      </c>
      <c r="AB123" s="4">
        <v>4.7</v>
      </c>
      <c r="AC123" s="10">
        <f t="shared" si="7"/>
        <v>0.81258644536652846</v>
      </c>
      <c r="AD123" s="10">
        <f t="shared" si="8"/>
        <v>8.3333333333333343E-2</v>
      </c>
      <c r="AE123" s="12">
        <f>100*(AC123/TOTAL_BASIC!$D$302)</f>
        <v>84.526838576835175</v>
      </c>
      <c r="AF123" s="9"/>
      <c r="AG123" s="9"/>
      <c r="AH123" s="12">
        <f t="shared" si="9"/>
        <v>29.799999999999997</v>
      </c>
      <c r="AI123" s="12">
        <f t="shared" si="10"/>
        <v>15.4</v>
      </c>
      <c r="AJ123" s="12">
        <f t="shared" si="11"/>
        <v>28.1</v>
      </c>
      <c r="AK123" s="12">
        <f t="shared" si="12"/>
        <v>28.1</v>
      </c>
      <c r="AL123" s="12">
        <f t="shared" si="13"/>
        <v>75.599999999999994</v>
      </c>
    </row>
    <row r="124" spans="1:38" ht="15.75" customHeight="1">
      <c r="A124" s="1" t="s">
        <v>172</v>
      </c>
      <c r="B124" s="7" t="s">
        <v>107</v>
      </c>
      <c r="C124" s="4" t="s">
        <v>88</v>
      </c>
      <c r="D124" s="4">
        <v>18</v>
      </c>
      <c r="E124" s="4">
        <v>455</v>
      </c>
      <c r="F124" s="4">
        <v>18</v>
      </c>
      <c r="G124" s="4">
        <v>18</v>
      </c>
      <c r="H124" s="4">
        <v>25.3</v>
      </c>
      <c r="I124" s="4">
        <v>5.4</v>
      </c>
      <c r="J124" s="4">
        <v>10.199999999999999</v>
      </c>
      <c r="K124" s="4">
        <v>0.52700000000000002</v>
      </c>
      <c r="L124" s="4">
        <v>0.1</v>
      </c>
      <c r="M124" s="4">
        <v>0.2</v>
      </c>
      <c r="N124" s="4">
        <v>0.25</v>
      </c>
      <c r="O124" s="4">
        <v>5.3</v>
      </c>
      <c r="P124" s="4">
        <v>10</v>
      </c>
      <c r="Q124" s="4">
        <v>0.53300000000000003</v>
      </c>
      <c r="R124" s="4">
        <v>2.4</v>
      </c>
      <c r="S124" s="4">
        <v>3.6</v>
      </c>
      <c r="T124" s="4">
        <v>0.67200000000000004</v>
      </c>
      <c r="U124" s="4">
        <v>1.9</v>
      </c>
      <c r="V124" s="4">
        <v>5.8</v>
      </c>
      <c r="W124" s="4">
        <v>2.5</v>
      </c>
      <c r="X124" s="4">
        <v>0.4</v>
      </c>
      <c r="Y124" s="4">
        <v>1.8</v>
      </c>
      <c r="Z124" s="4">
        <v>1.8</v>
      </c>
      <c r="AA124" s="4">
        <v>2.7</v>
      </c>
      <c r="AB124" s="4">
        <v>13.2</v>
      </c>
      <c r="AC124" s="10">
        <f t="shared" si="7"/>
        <v>0.9717314487632509</v>
      </c>
      <c r="AD124" s="10">
        <f t="shared" si="8"/>
        <v>0.66666666666666663</v>
      </c>
      <c r="AE124" s="12">
        <f>100*(AC124/TOTAL_BASIC!$D$302)</f>
        <v>101.08141451042327</v>
      </c>
      <c r="AF124" s="9"/>
      <c r="AG124" s="9"/>
      <c r="AH124" s="12">
        <f t="shared" si="9"/>
        <v>96.6</v>
      </c>
      <c r="AI124" s="12">
        <f t="shared" si="10"/>
        <v>60.699999999999996</v>
      </c>
      <c r="AJ124" s="12">
        <f t="shared" si="11"/>
        <v>77.900000000000006</v>
      </c>
      <c r="AK124" s="12">
        <f t="shared" si="12"/>
        <v>70.099999999999994</v>
      </c>
      <c r="AL124" s="12">
        <f t="shared" si="13"/>
        <v>16</v>
      </c>
    </row>
    <row r="125" spans="1:38" ht="15.75" customHeight="1">
      <c r="A125" s="1" t="s">
        <v>100</v>
      </c>
      <c r="B125" s="7" t="s">
        <v>240</v>
      </c>
      <c r="C125" s="4" t="s">
        <v>94</v>
      </c>
      <c r="D125" s="4">
        <v>27</v>
      </c>
      <c r="E125" s="4">
        <v>448</v>
      </c>
      <c r="F125" s="4">
        <v>27</v>
      </c>
      <c r="G125" s="4">
        <v>5</v>
      </c>
      <c r="H125" s="4">
        <v>16.600000000000001</v>
      </c>
      <c r="I125" s="4">
        <v>1.5</v>
      </c>
      <c r="J125" s="4">
        <v>4</v>
      </c>
      <c r="K125" s="4">
        <v>0.38300000000000001</v>
      </c>
      <c r="L125" s="4">
        <v>0.5</v>
      </c>
      <c r="M125" s="4">
        <v>2</v>
      </c>
      <c r="N125" s="4">
        <v>0.26400000000000001</v>
      </c>
      <c r="O125" s="4">
        <v>1</v>
      </c>
      <c r="P125" s="4">
        <v>2</v>
      </c>
      <c r="Q125" s="4">
        <v>0.5</v>
      </c>
      <c r="R125" s="4">
        <v>1.1000000000000001</v>
      </c>
      <c r="S125" s="4">
        <v>1.4</v>
      </c>
      <c r="T125" s="4">
        <v>0.81100000000000005</v>
      </c>
      <c r="U125" s="4">
        <v>0.2</v>
      </c>
      <c r="V125" s="4">
        <v>1.9</v>
      </c>
      <c r="W125" s="4">
        <v>2</v>
      </c>
      <c r="X125" s="4">
        <v>0.4</v>
      </c>
      <c r="Y125" s="4">
        <v>0.1</v>
      </c>
      <c r="Z125" s="4">
        <v>1.3</v>
      </c>
      <c r="AA125" s="4">
        <v>1.4</v>
      </c>
      <c r="AB125" s="4">
        <v>4.7</v>
      </c>
      <c r="AC125" s="10">
        <f t="shared" si="7"/>
        <v>0.7944557133198108</v>
      </c>
      <c r="AD125" s="10">
        <f t="shared" si="8"/>
        <v>7.1428571428571438E-2</v>
      </c>
      <c r="AE125" s="12">
        <f>100*(AC125/TOTAL_BASIC!$D$302)</f>
        <v>82.640844206966634</v>
      </c>
      <c r="AF125" s="9"/>
      <c r="AG125" s="9"/>
      <c r="AH125" s="12">
        <f t="shared" si="9"/>
        <v>24.3</v>
      </c>
      <c r="AI125" s="12">
        <f t="shared" si="10"/>
        <v>13.200000000000001</v>
      </c>
      <c r="AJ125" s="12">
        <f t="shared" si="11"/>
        <v>28.1</v>
      </c>
      <c r="AK125" s="12">
        <f t="shared" si="12"/>
        <v>38.6</v>
      </c>
      <c r="AL125" s="12">
        <f t="shared" si="13"/>
        <v>53.5</v>
      </c>
    </row>
    <row r="126" spans="1:38" ht="15.75" customHeight="1">
      <c r="A126" s="1" t="s">
        <v>233</v>
      </c>
      <c r="B126" s="7" t="s">
        <v>107</v>
      </c>
      <c r="C126" s="4" t="s">
        <v>85</v>
      </c>
      <c r="D126" s="4">
        <v>37</v>
      </c>
      <c r="E126" s="4">
        <v>440</v>
      </c>
      <c r="F126" s="4">
        <v>37</v>
      </c>
      <c r="G126" s="4">
        <v>1</v>
      </c>
      <c r="H126" s="4">
        <v>11.9</v>
      </c>
      <c r="I126" s="4">
        <v>1.5</v>
      </c>
      <c r="J126" s="4">
        <v>3.6</v>
      </c>
      <c r="K126" s="4">
        <v>0.40899999999999997</v>
      </c>
      <c r="L126" s="4">
        <v>0.1</v>
      </c>
      <c r="M126" s="4">
        <v>0.8</v>
      </c>
      <c r="N126" s="4">
        <v>0.16700000000000001</v>
      </c>
      <c r="O126" s="4">
        <v>1.3</v>
      </c>
      <c r="P126" s="4">
        <v>2.8</v>
      </c>
      <c r="Q126" s="4">
        <v>0.48</v>
      </c>
      <c r="R126" s="4">
        <v>1.2</v>
      </c>
      <c r="S126" s="4">
        <v>1.7</v>
      </c>
      <c r="T126" s="4">
        <v>0.67200000000000004</v>
      </c>
      <c r="U126" s="4">
        <v>0.8</v>
      </c>
      <c r="V126" s="4">
        <v>1.8</v>
      </c>
      <c r="W126" s="4">
        <v>0.8</v>
      </c>
      <c r="X126" s="4">
        <v>0.5</v>
      </c>
      <c r="Y126" s="4">
        <v>0.3</v>
      </c>
      <c r="Z126" s="4">
        <v>0.8</v>
      </c>
      <c r="AA126" s="4">
        <v>1.7</v>
      </c>
      <c r="AB126" s="4">
        <v>4.2</v>
      </c>
      <c r="AC126" s="10">
        <f t="shared" si="7"/>
        <v>0.81585081585081598</v>
      </c>
      <c r="AD126" s="10">
        <f t="shared" si="8"/>
        <v>0.17647058823529413</v>
      </c>
      <c r="AE126" s="12">
        <f>100*(AC126/TOTAL_BASIC!$D$302)</f>
        <v>84.86640480828504</v>
      </c>
      <c r="AF126" s="9"/>
      <c r="AG126" s="9"/>
      <c r="AH126" s="12">
        <f t="shared" si="9"/>
        <v>59.599999999999994</v>
      </c>
      <c r="AI126" s="12">
        <f t="shared" si="10"/>
        <v>16.5</v>
      </c>
      <c r="AJ126" s="12">
        <f t="shared" si="11"/>
        <v>24.3</v>
      </c>
      <c r="AK126" s="12">
        <f t="shared" si="12"/>
        <v>18.2</v>
      </c>
      <c r="AL126" s="12">
        <f t="shared" si="13"/>
        <v>16</v>
      </c>
    </row>
    <row r="127" spans="1:38" ht="15.75" customHeight="1">
      <c r="A127" s="1" t="s">
        <v>178</v>
      </c>
      <c r="B127" s="7" t="s">
        <v>91</v>
      </c>
      <c r="C127" s="4" t="s">
        <v>85</v>
      </c>
      <c r="D127" s="4">
        <v>36</v>
      </c>
      <c r="E127" s="4">
        <v>425</v>
      </c>
      <c r="F127" s="4">
        <v>36</v>
      </c>
      <c r="G127" s="4">
        <v>1</v>
      </c>
      <c r="H127" s="4">
        <v>11.8</v>
      </c>
      <c r="I127" s="4">
        <v>1.4</v>
      </c>
      <c r="J127" s="4">
        <v>2.9</v>
      </c>
      <c r="K127" s="4">
        <v>0.495</v>
      </c>
      <c r="L127" s="4">
        <v>0.2</v>
      </c>
      <c r="M127" s="4">
        <v>0.5</v>
      </c>
      <c r="N127" s="4">
        <v>0.41199999999999998</v>
      </c>
      <c r="O127" s="4">
        <v>1.2</v>
      </c>
      <c r="P127" s="4">
        <v>2.4</v>
      </c>
      <c r="Q127" s="4">
        <v>0.51200000000000001</v>
      </c>
      <c r="R127" s="4">
        <v>0.8</v>
      </c>
      <c r="S127" s="4">
        <v>1.4</v>
      </c>
      <c r="T127" s="4">
        <v>0.54</v>
      </c>
      <c r="U127" s="4">
        <v>1.2</v>
      </c>
      <c r="V127" s="4">
        <v>3.1</v>
      </c>
      <c r="W127" s="4">
        <v>1</v>
      </c>
      <c r="X127" s="4">
        <v>0.5</v>
      </c>
      <c r="Y127" s="4">
        <v>0.8</v>
      </c>
      <c r="Z127" s="4">
        <v>0.8</v>
      </c>
      <c r="AA127" s="4">
        <v>1.6</v>
      </c>
      <c r="AB127" s="4">
        <v>3.8</v>
      </c>
      <c r="AC127" s="10">
        <f t="shared" si="7"/>
        <v>0.88044485634847081</v>
      </c>
      <c r="AD127" s="10">
        <f t="shared" si="8"/>
        <v>0.5</v>
      </c>
      <c r="AE127" s="12">
        <f>100*(AC127/TOTAL_BASIC!$D$302)</f>
        <v>91.585603812039096</v>
      </c>
      <c r="AF127" s="9"/>
      <c r="AG127" s="9"/>
      <c r="AH127" s="12">
        <f t="shared" si="9"/>
        <v>90.600000000000009</v>
      </c>
      <c r="AI127" s="12">
        <f t="shared" si="10"/>
        <v>34.799999999999997</v>
      </c>
      <c r="AJ127" s="12">
        <f t="shared" si="11"/>
        <v>18.7</v>
      </c>
      <c r="AK127" s="12">
        <f t="shared" si="12"/>
        <v>16.5</v>
      </c>
      <c r="AL127" s="12">
        <f t="shared" si="13"/>
        <v>3.8</v>
      </c>
    </row>
    <row r="128" spans="1:38" ht="15.75" customHeight="1">
      <c r="A128" s="1" t="s">
        <v>258</v>
      </c>
      <c r="B128" s="4" t="s">
        <v>161</v>
      </c>
      <c r="C128" s="4" t="s">
        <v>88</v>
      </c>
      <c r="D128" s="4">
        <v>24</v>
      </c>
      <c r="E128" s="4">
        <v>424</v>
      </c>
      <c r="F128" s="4">
        <v>24</v>
      </c>
      <c r="G128" s="4">
        <v>9</v>
      </c>
      <c r="H128" s="4">
        <v>17.7</v>
      </c>
      <c r="I128" s="4">
        <v>2.4</v>
      </c>
      <c r="J128" s="4">
        <v>4.7</v>
      </c>
      <c r="K128" s="4">
        <v>0.50900000000000001</v>
      </c>
      <c r="L128" s="4">
        <v>0.5</v>
      </c>
      <c r="M128" s="4">
        <v>1.3</v>
      </c>
      <c r="N128" s="4">
        <v>0.34399999999999997</v>
      </c>
      <c r="O128" s="4">
        <v>1.9</v>
      </c>
      <c r="P128" s="4">
        <v>3.3</v>
      </c>
      <c r="Q128" s="4">
        <v>0.57499999999999996</v>
      </c>
      <c r="R128" s="4">
        <v>0.8</v>
      </c>
      <c r="S128" s="4">
        <v>1.3</v>
      </c>
      <c r="T128" s="4">
        <v>0.56299999999999994</v>
      </c>
      <c r="U128" s="4">
        <v>1.2</v>
      </c>
      <c r="V128" s="4">
        <v>3.4</v>
      </c>
      <c r="W128" s="4">
        <v>1</v>
      </c>
      <c r="X128" s="4">
        <v>0.5</v>
      </c>
      <c r="Y128" s="4">
        <v>0.3</v>
      </c>
      <c r="Z128" s="4">
        <v>1.2</v>
      </c>
      <c r="AA128" s="4">
        <v>2.2999999999999998</v>
      </c>
      <c r="AB128" s="4">
        <v>6</v>
      </c>
      <c r="AC128" s="10">
        <f t="shared" si="7"/>
        <v>0.9270704573547589</v>
      </c>
      <c r="AD128" s="10">
        <f t="shared" si="8"/>
        <v>0.13043478260869565</v>
      </c>
      <c r="AE128" s="12">
        <f>100*(AC128/TOTAL_BASIC!$D$302)</f>
        <v>96.435690436396627</v>
      </c>
      <c r="AF128" s="9"/>
      <c r="AG128" s="9"/>
      <c r="AH128" s="12">
        <f t="shared" si="9"/>
        <v>49.7</v>
      </c>
      <c r="AI128" s="12">
        <f t="shared" si="10"/>
        <v>48.6</v>
      </c>
      <c r="AJ128" s="12">
        <f t="shared" si="11"/>
        <v>40.300000000000004</v>
      </c>
      <c r="AK128" s="12">
        <f t="shared" si="12"/>
        <v>44.1</v>
      </c>
      <c r="AL128" s="12">
        <f t="shared" si="13"/>
        <v>5.5</v>
      </c>
    </row>
    <row r="129" spans="1:38" ht="15.75" customHeight="1">
      <c r="A129" s="1" t="s">
        <v>192</v>
      </c>
      <c r="B129" s="7" t="s">
        <v>96</v>
      </c>
      <c r="C129" s="4" t="s">
        <v>8</v>
      </c>
      <c r="D129" s="4">
        <v>37</v>
      </c>
      <c r="E129" s="4">
        <v>423</v>
      </c>
      <c r="F129" s="4">
        <v>37</v>
      </c>
      <c r="G129" s="4">
        <v>0</v>
      </c>
      <c r="H129" s="4">
        <v>11.4</v>
      </c>
      <c r="I129" s="4">
        <v>1</v>
      </c>
      <c r="J129" s="4">
        <v>2.2999999999999998</v>
      </c>
      <c r="K129" s="4">
        <v>0.44700000000000001</v>
      </c>
      <c r="L129" s="4">
        <v>0.7</v>
      </c>
      <c r="M129" s="4">
        <v>1.6</v>
      </c>
      <c r="N129" s="4">
        <v>0.43099999999999999</v>
      </c>
      <c r="O129" s="4">
        <v>0.4</v>
      </c>
      <c r="P129" s="4">
        <v>0.7</v>
      </c>
      <c r="Q129" s="4">
        <v>0.48099999999999998</v>
      </c>
      <c r="R129" s="4">
        <v>0.2</v>
      </c>
      <c r="S129" s="4">
        <v>0.2</v>
      </c>
      <c r="T129" s="4">
        <v>1</v>
      </c>
      <c r="U129" s="4">
        <v>0.2</v>
      </c>
      <c r="V129" s="4">
        <v>0.7</v>
      </c>
      <c r="W129" s="4">
        <v>1.1000000000000001</v>
      </c>
      <c r="X129" s="4">
        <v>0.4</v>
      </c>
      <c r="Y129" s="4">
        <v>0</v>
      </c>
      <c r="Z129" s="4">
        <v>0.4</v>
      </c>
      <c r="AA129" s="4">
        <v>1</v>
      </c>
      <c r="AB129" s="4">
        <v>2.9</v>
      </c>
      <c r="AC129" s="10">
        <f t="shared" si="7"/>
        <v>1.0401721664275467</v>
      </c>
      <c r="AD129" s="10">
        <f t="shared" si="8"/>
        <v>0</v>
      </c>
      <c r="AE129" s="12">
        <f>100*(AC129/TOTAL_BASIC!$D$302)</f>
        <v>108.20075243081308</v>
      </c>
      <c r="AF129" s="9"/>
      <c r="AG129" s="9"/>
      <c r="AH129" s="12">
        <f t="shared" si="9"/>
        <v>0</v>
      </c>
      <c r="AI129" s="12">
        <f t="shared" si="10"/>
        <v>84.5</v>
      </c>
      <c r="AJ129" s="12">
        <f t="shared" si="11"/>
        <v>9.3000000000000007</v>
      </c>
      <c r="AK129" s="12">
        <f t="shared" si="12"/>
        <v>14.899999999999999</v>
      </c>
      <c r="AL129" s="12">
        <f t="shared" si="13"/>
        <v>97.7</v>
      </c>
    </row>
    <row r="130" spans="1:38" ht="15.75" customHeight="1">
      <c r="A130" s="1" t="s">
        <v>195</v>
      </c>
      <c r="B130" s="7" t="s">
        <v>99</v>
      </c>
      <c r="C130" s="4" t="s">
        <v>8</v>
      </c>
      <c r="D130" s="4">
        <v>36</v>
      </c>
      <c r="E130" s="4">
        <v>423</v>
      </c>
      <c r="F130" s="4">
        <v>36</v>
      </c>
      <c r="G130" s="4">
        <v>2</v>
      </c>
      <c r="H130" s="4">
        <v>11.8</v>
      </c>
      <c r="I130" s="4">
        <v>2.2999999999999998</v>
      </c>
      <c r="J130" s="4">
        <v>5.7</v>
      </c>
      <c r="K130" s="4">
        <v>0.39500000000000002</v>
      </c>
      <c r="L130" s="4">
        <v>0.4</v>
      </c>
      <c r="M130" s="4">
        <v>1.7</v>
      </c>
      <c r="N130" s="4">
        <v>0.25</v>
      </c>
      <c r="O130" s="4">
        <v>1.8</v>
      </c>
      <c r="P130" s="4">
        <v>4</v>
      </c>
      <c r="Q130" s="4">
        <v>0.45500000000000002</v>
      </c>
      <c r="R130" s="4">
        <v>1.3</v>
      </c>
      <c r="S130" s="4">
        <v>1.8</v>
      </c>
      <c r="T130" s="4">
        <v>0.73799999999999999</v>
      </c>
      <c r="U130" s="4">
        <v>0.6</v>
      </c>
      <c r="V130" s="4">
        <v>2.4</v>
      </c>
      <c r="W130" s="4">
        <v>1.2</v>
      </c>
      <c r="X130" s="4">
        <v>0.8</v>
      </c>
      <c r="Y130" s="4">
        <v>0.3</v>
      </c>
      <c r="Z130" s="4">
        <v>0.7</v>
      </c>
      <c r="AA130" s="4">
        <v>1.6</v>
      </c>
      <c r="AB130" s="4">
        <v>6.3</v>
      </c>
      <c r="AC130" s="10">
        <f t="shared" si="7"/>
        <v>0.87597330367074522</v>
      </c>
      <c r="AD130" s="10">
        <f t="shared" si="8"/>
        <v>0.18749999999999997</v>
      </c>
      <c r="AE130" s="12">
        <f>100*(AC130/TOTAL_BASIC!$D$302)</f>
        <v>91.1204641170157</v>
      </c>
      <c r="AF130" s="9"/>
      <c r="AG130" s="9"/>
      <c r="AH130" s="12">
        <f t="shared" si="9"/>
        <v>62.4</v>
      </c>
      <c r="AI130" s="12">
        <f t="shared" si="10"/>
        <v>33.1</v>
      </c>
      <c r="AJ130" s="12">
        <f t="shared" si="11"/>
        <v>41.9</v>
      </c>
      <c r="AK130" s="12">
        <f t="shared" si="12"/>
        <v>16.5</v>
      </c>
      <c r="AL130" s="12">
        <f t="shared" si="13"/>
        <v>32.5</v>
      </c>
    </row>
    <row r="131" spans="1:38" ht="15.75" customHeight="1">
      <c r="A131" s="1" t="s">
        <v>217</v>
      </c>
      <c r="B131" s="7" t="s">
        <v>137</v>
      </c>
      <c r="C131" s="4" t="s">
        <v>8</v>
      </c>
      <c r="D131" s="4">
        <v>37</v>
      </c>
      <c r="E131" s="4">
        <v>417</v>
      </c>
      <c r="F131" s="4">
        <v>37</v>
      </c>
      <c r="G131" s="4">
        <v>0</v>
      </c>
      <c r="H131" s="4">
        <v>11.3</v>
      </c>
      <c r="I131" s="4">
        <v>0.9</v>
      </c>
      <c r="J131" s="4">
        <v>2.5</v>
      </c>
      <c r="K131" s="4">
        <v>0.37</v>
      </c>
      <c r="L131" s="4">
        <v>0.6</v>
      </c>
      <c r="M131" s="4">
        <v>1.9</v>
      </c>
      <c r="N131" s="4">
        <v>0.34799999999999998</v>
      </c>
      <c r="O131" s="4">
        <v>0.3</v>
      </c>
      <c r="P131" s="4">
        <v>0.6</v>
      </c>
      <c r="Q131" s="4">
        <v>0.435</v>
      </c>
      <c r="R131" s="4">
        <v>0.5</v>
      </c>
      <c r="S131" s="4">
        <v>0.5</v>
      </c>
      <c r="T131" s="4">
        <v>0.85</v>
      </c>
      <c r="U131" s="4">
        <v>0.3</v>
      </c>
      <c r="V131" s="4">
        <v>1.1000000000000001</v>
      </c>
      <c r="W131" s="4">
        <v>1</v>
      </c>
      <c r="X131" s="4">
        <v>0.2</v>
      </c>
      <c r="Y131" s="4">
        <v>0</v>
      </c>
      <c r="Z131" s="4">
        <v>0.6</v>
      </c>
      <c r="AA131" s="4">
        <v>0.7</v>
      </c>
      <c r="AB131" s="4">
        <v>2.9</v>
      </c>
      <c r="AC131" s="10">
        <f t="shared" si="7"/>
        <v>0.87349397590361433</v>
      </c>
      <c r="AD131" s="10">
        <f t="shared" si="8"/>
        <v>0</v>
      </c>
      <c r="AE131" s="12">
        <f>100*(AC131/TOTAL_BASIC!$D$302)</f>
        <v>90.862559571417705</v>
      </c>
      <c r="AF131" s="9"/>
      <c r="AG131" s="9"/>
      <c r="AH131" s="12">
        <f t="shared" si="9"/>
        <v>0</v>
      </c>
      <c r="AI131" s="12">
        <f t="shared" si="10"/>
        <v>31.4</v>
      </c>
      <c r="AJ131" s="12">
        <f t="shared" si="11"/>
        <v>9.3000000000000007</v>
      </c>
      <c r="AK131" s="12">
        <f t="shared" si="12"/>
        <v>14.299999999999999</v>
      </c>
      <c r="AL131" s="12">
        <f t="shared" si="13"/>
        <v>71.2</v>
      </c>
    </row>
    <row r="132" spans="1:38" ht="15.75" customHeight="1">
      <c r="A132" s="1" t="s">
        <v>216</v>
      </c>
      <c r="B132" s="7" t="s">
        <v>107</v>
      </c>
      <c r="C132" s="4" t="s">
        <v>85</v>
      </c>
      <c r="D132" s="4">
        <v>35</v>
      </c>
      <c r="E132" s="4">
        <v>414</v>
      </c>
      <c r="F132" s="4">
        <v>35</v>
      </c>
      <c r="G132" s="4">
        <v>1</v>
      </c>
      <c r="H132" s="4">
        <v>11.8</v>
      </c>
      <c r="I132" s="4">
        <v>1.4</v>
      </c>
      <c r="J132" s="4">
        <v>2.9</v>
      </c>
      <c r="K132" s="4">
        <v>0.47499999999999998</v>
      </c>
      <c r="L132" s="4">
        <v>0.1</v>
      </c>
      <c r="M132" s="4">
        <v>0.1</v>
      </c>
      <c r="N132" s="4">
        <v>0.4</v>
      </c>
      <c r="O132" s="4">
        <v>1.3</v>
      </c>
      <c r="P132" s="4">
        <v>2.7</v>
      </c>
      <c r="Q132" s="4">
        <v>0.47899999999999998</v>
      </c>
      <c r="R132" s="4">
        <v>1</v>
      </c>
      <c r="S132" s="4">
        <v>1.5</v>
      </c>
      <c r="T132" s="4">
        <v>0.66700000000000004</v>
      </c>
      <c r="U132" s="4">
        <v>1.2</v>
      </c>
      <c r="V132" s="4">
        <v>3.1</v>
      </c>
      <c r="W132" s="4">
        <v>0.8</v>
      </c>
      <c r="X132" s="4">
        <v>0.5</v>
      </c>
      <c r="Y132" s="4">
        <v>0.3</v>
      </c>
      <c r="Z132" s="4">
        <v>0.9</v>
      </c>
      <c r="AA132" s="4">
        <v>2.7</v>
      </c>
      <c r="AB132" s="4">
        <v>3.8</v>
      </c>
      <c r="AC132" s="10">
        <f t="shared" ref="AC132:AC180" si="14">(AB132)/(J132+(0.44*S132)+Z132)</f>
        <v>0.85201793721973096</v>
      </c>
      <c r="AD132" s="10">
        <f t="shared" ref="AD132:AD180" si="15">Y132/AA132</f>
        <v>0.1111111111111111</v>
      </c>
      <c r="AE132" s="12">
        <f>100*(AC132/TOTAL_BASIC!$D$302)</f>
        <v>88.628579832457561</v>
      </c>
      <c r="AF132" s="9"/>
      <c r="AG132" s="9"/>
      <c r="AH132" s="12">
        <f t="shared" ref="AH132:AH180" si="16">(PERCENTRANK(AD$3:AD$298,AD132))*100</f>
        <v>39.700000000000003</v>
      </c>
      <c r="AI132" s="12">
        <f t="shared" ref="AI132:AI180" si="17">(PERCENTRANK(AE$3:AE$298,AE132))*100</f>
        <v>25.900000000000002</v>
      </c>
      <c r="AJ132" s="12">
        <f t="shared" ref="AJ132:AJ180" si="18">(PERCENTRANK(AB$3:AB$298,AB132))*100</f>
        <v>18.7</v>
      </c>
      <c r="AK132" s="12">
        <f t="shared" ref="AK132:AK159" si="19">(PERCENTRANK(H$3:H$298,H132))*100</f>
        <v>16.5</v>
      </c>
      <c r="AL132" s="12">
        <f t="shared" ref="AL132:AL180" si="20">(PERCENTRANK(T$3:T$298,T132))*100</f>
        <v>14.299999999999999</v>
      </c>
    </row>
    <row r="133" spans="1:38" ht="15.75" customHeight="1">
      <c r="A133" s="1" t="s">
        <v>273</v>
      </c>
      <c r="B133" s="4" t="s">
        <v>96</v>
      </c>
      <c r="C133" s="4" t="s">
        <v>85</v>
      </c>
      <c r="D133" s="4">
        <v>13</v>
      </c>
      <c r="E133" s="4">
        <v>397</v>
      </c>
      <c r="F133" s="4">
        <v>13</v>
      </c>
      <c r="G133" s="4">
        <v>13</v>
      </c>
      <c r="H133" s="4">
        <v>30.5</v>
      </c>
      <c r="I133" s="4">
        <v>6.6</v>
      </c>
      <c r="J133" s="4">
        <v>13.2</v>
      </c>
      <c r="K133" s="4">
        <v>0.5</v>
      </c>
      <c r="L133" s="4">
        <v>1.6</v>
      </c>
      <c r="M133" s="4">
        <v>3.6</v>
      </c>
      <c r="N133" s="4">
        <v>0.44700000000000001</v>
      </c>
      <c r="O133" s="4">
        <v>5</v>
      </c>
      <c r="P133" s="4">
        <v>9.6</v>
      </c>
      <c r="Q133" s="4">
        <v>0.52</v>
      </c>
      <c r="R133" s="4">
        <v>2.8</v>
      </c>
      <c r="S133" s="4">
        <v>3.4</v>
      </c>
      <c r="T133" s="4">
        <v>0.84099999999999997</v>
      </c>
      <c r="U133" s="4">
        <v>1.2</v>
      </c>
      <c r="V133" s="4">
        <v>7.3</v>
      </c>
      <c r="W133" s="4">
        <v>2.8</v>
      </c>
      <c r="X133" s="4">
        <v>1.3</v>
      </c>
      <c r="Y133" s="4">
        <v>1.1000000000000001</v>
      </c>
      <c r="Z133" s="4">
        <v>2.5</v>
      </c>
      <c r="AA133" s="4">
        <v>1.9</v>
      </c>
      <c r="AB133" s="4">
        <v>17.7</v>
      </c>
      <c r="AC133" s="10">
        <f t="shared" si="14"/>
        <v>1.0293091416608515</v>
      </c>
      <c r="AD133" s="10">
        <f t="shared" si="15"/>
        <v>0.57894736842105265</v>
      </c>
      <c r="AE133" s="12">
        <f>100*(AC133/TOTAL_BASIC!$D$302)</f>
        <v>107.07075925144565</v>
      </c>
      <c r="AF133" s="9"/>
      <c r="AG133" s="9"/>
      <c r="AH133" s="12">
        <f t="shared" si="16"/>
        <v>93.899999999999991</v>
      </c>
      <c r="AI133" s="12">
        <f t="shared" si="17"/>
        <v>80.100000000000009</v>
      </c>
      <c r="AJ133" s="12">
        <f t="shared" si="18"/>
        <v>91.7</v>
      </c>
      <c r="AK133" s="12">
        <f t="shared" si="19"/>
        <v>87.8</v>
      </c>
      <c r="AL133" s="12">
        <f t="shared" si="20"/>
        <v>65.7</v>
      </c>
    </row>
    <row r="134" spans="1:38" ht="15.75" customHeight="1">
      <c r="A134" s="1" t="s">
        <v>229</v>
      </c>
      <c r="B134" s="4" t="s">
        <v>131</v>
      </c>
      <c r="C134" s="4" t="s">
        <v>8</v>
      </c>
      <c r="D134" s="4">
        <v>29</v>
      </c>
      <c r="E134" s="4">
        <v>392</v>
      </c>
      <c r="F134" s="4">
        <v>29</v>
      </c>
      <c r="G134" s="4">
        <v>4</v>
      </c>
      <c r="H134" s="4">
        <v>13.5</v>
      </c>
      <c r="I134" s="4">
        <v>1.6</v>
      </c>
      <c r="J134" s="4">
        <v>3.6</v>
      </c>
      <c r="K134" s="4">
        <v>0.433</v>
      </c>
      <c r="L134" s="4">
        <v>0</v>
      </c>
      <c r="M134" s="4">
        <v>0.7</v>
      </c>
      <c r="N134" s="4">
        <v>4.8000000000000001E-2</v>
      </c>
      <c r="O134" s="4">
        <v>1.5</v>
      </c>
      <c r="P134" s="4">
        <v>2.9</v>
      </c>
      <c r="Q134" s="4">
        <v>0.53</v>
      </c>
      <c r="R134" s="4">
        <v>1.8</v>
      </c>
      <c r="S134" s="4">
        <v>2.1</v>
      </c>
      <c r="T134" s="4">
        <v>0.88300000000000001</v>
      </c>
      <c r="U134" s="4">
        <v>0.6</v>
      </c>
      <c r="V134" s="4">
        <v>2.7</v>
      </c>
      <c r="W134" s="4">
        <v>0.6</v>
      </c>
      <c r="X134" s="4">
        <v>0.7</v>
      </c>
      <c r="Y134" s="4">
        <v>0.2</v>
      </c>
      <c r="Z134" s="4">
        <v>0.8</v>
      </c>
      <c r="AA134" s="4">
        <v>1.6</v>
      </c>
      <c r="AB134" s="4">
        <v>5</v>
      </c>
      <c r="AC134" s="10">
        <f t="shared" si="14"/>
        <v>0.9391435011269722</v>
      </c>
      <c r="AD134" s="10">
        <f t="shared" si="15"/>
        <v>0.125</v>
      </c>
      <c r="AE134" s="12">
        <f>100*(AC134/TOTAL_BASIC!$D$302)</f>
        <v>97.691552170103776</v>
      </c>
      <c r="AF134" s="9"/>
      <c r="AG134" s="9"/>
      <c r="AH134" s="12">
        <f t="shared" si="16"/>
        <v>43.6</v>
      </c>
      <c r="AI134" s="12">
        <f t="shared" si="17"/>
        <v>51.300000000000004</v>
      </c>
      <c r="AJ134" s="12">
        <f t="shared" si="18"/>
        <v>31.4</v>
      </c>
      <c r="AK134" s="12">
        <f t="shared" si="19"/>
        <v>24.3</v>
      </c>
      <c r="AL134" s="12">
        <f t="shared" si="20"/>
        <v>86.7</v>
      </c>
    </row>
    <row r="135" spans="1:38" ht="15.75" customHeight="1">
      <c r="A135" s="1" t="s">
        <v>253</v>
      </c>
      <c r="B135" s="7" t="s">
        <v>140</v>
      </c>
      <c r="C135" s="4" t="s">
        <v>8</v>
      </c>
      <c r="D135" s="4">
        <v>32</v>
      </c>
      <c r="E135" s="4">
        <v>389</v>
      </c>
      <c r="F135" s="4">
        <v>32</v>
      </c>
      <c r="G135" s="4">
        <v>0</v>
      </c>
      <c r="H135" s="4">
        <v>12.2</v>
      </c>
      <c r="I135" s="4">
        <v>1.3</v>
      </c>
      <c r="J135" s="4">
        <v>3.7</v>
      </c>
      <c r="K135" s="4">
        <v>0.34200000000000003</v>
      </c>
      <c r="L135" s="4">
        <v>0.3</v>
      </c>
      <c r="M135" s="4">
        <v>1.4</v>
      </c>
      <c r="N135" s="4">
        <v>0.182</v>
      </c>
      <c r="O135" s="4">
        <v>1</v>
      </c>
      <c r="P135" s="4">
        <v>2.2999999999999998</v>
      </c>
      <c r="Q135" s="4">
        <v>0.438</v>
      </c>
      <c r="R135" s="4">
        <v>0.7</v>
      </c>
      <c r="S135" s="4">
        <v>1.3</v>
      </c>
      <c r="T135" s="4">
        <v>0.55000000000000004</v>
      </c>
      <c r="U135" s="4">
        <v>0.3</v>
      </c>
      <c r="V135" s="4">
        <v>1.4</v>
      </c>
      <c r="W135" s="4">
        <v>2</v>
      </c>
      <c r="X135" s="4">
        <v>0.6</v>
      </c>
      <c r="Y135" s="4">
        <v>0.2</v>
      </c>
      <c r="Z135" s="4">
        <v>1.2</v>
      </c>
      <c r="AA135" s="4">
        <v>1.6</v>
      </c>
      <c r="AB135" s="4">
        <v>3.4</v>
      </c>
      <c r="AC135" s="10">
        <f t="shared" si="14"/>
        <v>0.62134502923976598</v>
      </c>
      <c r="AD135" s="10">
        <f t="shared" si="15"/>
        <v>0.125</v>
      </c>
      <c r="AE135" s="12">
        <f>100*(AC135/TOTAL_BASIC!$D$302)</f>
        <v>64.633530729618059</v>
      </c>
      <c r="AF135" s="9"/>
      <c r="AG135" s="9"/>
      <c r="AH135" s="12">
        <f t="shared" si="16"/>
        <v>43.6</v>
      </c>
      <c r="AI135" s="12">
        <f t="shared" si="17"/>
        <v>0.5</v>
      </c>
      <c r="AJ135" s="12">
        <f t="shared" si="18"/>
        <v>12.7</v>
      </c>
      <c r="AK135" s="12">
        <f t="shared" si="19"/>
        <v>18.7</v>
      </c>
      <c r="AL135" s="12">
        <f t="shared" si="20"/>
        <v>4.9000000000000004</v>
      </c>
    </row>
    <row r="136" spans="1:38" ht="15.75" customHeight="1">
      <c r="A136" s="1" t="s">
        <v>238</v>
      </c>
      <c r="B136" s="7" t="s">
        <v>232</v>
      </c>
      <c r="C136" s="4" t="s">
        <v>8</v>
      </c>
      <c r="D136" s="4">
        <v>29</v>
      </c>
      <c r="E136" s="4">
        <v>388</v>
      </c>
      <c r="F136" s="4">
        <v>29</v>
      </c>
      <c r="G136" s="4">
        <v>1</v>
      </c>
      <c r="H136" s="4">
        <v>13.4</v>
      </c>
      <c r="I136" s="4">
        <v>2.2000000000000002</v>
      </c>
      <c r="J136" s="4">
        <v>5.2</v>
      </c>
      <c r="K136" s="4">
        <v>0.41699999999999998</v>
      </c>
      <c r="L136" s="4">
        <v>0.8</v>
      </c>
      <c r="M136" s="4">
        <v>2.1</v>
      </c>
      <c r="N136" s="4">
        <v>0.36699999999999999</v>
      </c>
      <c r="O136" s="4">
        <v>1.4</v>
      </c>
      <c r="P136" s="4">
        <v>3.1</v>
      </c>
      <c r="Q136" s="4">
        <v>0.45100000000000001</v>
      </c>
      <c r="R136" s="4">
        <v>0.4</v>
      </c>
      <c r="S136" s="4">
        <v>0.6</v>
      </c>
      <c r="T136" s="4">
        <v>0.72199999999999998</v>
      </c>
      <c r="U136" s="4">
        <v>0.5</v>
      </c>
      <c r="V136" s="4">
        <v>1.6</v>
      </c>
      <c r="W136" s="4">
        <v>3.2</v>
      </c>
      <c r="X136" s="4">
        <v>0.7</v>
      </c>
      <c r="Y136" s="4">
        <v>0</v>
      </c>
      <c r="Z136" s="4">
        <v>2.5</v>
      </c>
      <c r="AA136" s="4">
        <v>1.5</v>
      </c>
      <c r="AB136" s="4">
        <v>5.6</v>
      </c>
      <c r="AC136" s="10">
        <f t="shared" si="14"/>
        <v>0.70316423907584125</v>
      </c>
      <c r="AD136" s="10">
        <f t="shared" si="15"/>
        <v>0</v>
      </c>
      <c r="AE136" s="12">
        <f>100*(AC136/TOTAL_BASIC!$D$302)</f>
        <v>73.144525691118574</v>
      </c>
      <c r="AF136" s="9"/>
      <c r="AG136" s="9"/>
      <c r="AH136" s="12">
        <f t="shared" si="16"/>
        <v>0</v>
      </c>
      <c r="AI136" s="12">
        <f t="shared" si="17"/>
        <v>3.8</v>
      </c>
      <c r="AJ136" s="12">
        <f t="shared" si="18"/>
        <v>38.6</v>
      </c>
      <c r="AK136" s="12">
        <f t="shared" si="19"/>
        <v>22.6</v>
      </c>
      <c r="AL136" s="12">
        <f t="shared" si="20"/>
        <v>27</v>
      </c>
    </row>
    <row r="137" spans="1:38" ht="15.75" customHeight="1">
      <c r="A137" s="1" t="s">
        <v>223</v>
      </c>
      <c r="B137" s="4" t="s">
        <v>128</v>
      </c>
      <c r="C137" s="4" t="s">
        <v>88</v>
      </c>
      <c r="D137" s="4">
        <v>40</v>
      </c>
      <c r="E137" s="4">
        <v>373</v>
      </c>
      <c r="F137" s="4">
        <v>40</v>
      </c>
      <c r="G137" s="4">
        <v>2</v>
      </c>
      <c r="H137" s="4">
        <v>9.3000000000000007</v>
      </c>
      <c r="I137" s="4">
        <v>2.2000000000000002</v>
      </c>
      <c r="J137" s="4">
        <v>3.8</v>
      </c>
      <c r="K137" s="4">
        <v>0.58299999999999996</v>
      </c>
      <c r="L137" s="4">
        <v>0</v>
      </c>
      <c r="M137" s="4">
        <v>0.2</v>
      </c>
      <c r="N137" s="4">
        <v>0.111</v>
      </c>
      <c r="O137" s="4">
        <v>2.2000000000000002</v>
      </c>
      <c r="P137" s="4">
        <v>3.6</v>
      </c>
      <c r="Q137" s="4">
        <v>0.61299999999999999</v>
      </c>
      <c r="R137" s="4">
        <v>1.1000000000000001</v>
      </c>
      <c r="S137" s="4">
        <v>1.4</v>
      </c>
      <c r="T137" s="4">
        <v>0.76800000000000002</v>
      </c>
      <c r="U137" s="4">
        <v>1.2</v>
      </c>
      <c r="V137" s="4">
        <v>3.3</v>
      </c>
      <c r="W137" s="4">
        <v>0.3</v>
      </c>
      <c r="X137" s="4">
        <v>0.3</v>
      </c>
      <c r="Y137" s="4">
        <v>0.3</v>
      </c>
      <c r="Z137" s="4">
        <v>1.3</v>
      </c>
      <c r="AA137" s="4">
        <v>1.6</v>
      </c>
      <c r="AB137" s="4">
        <v>5.5</v>
      </c>
      <c r="AC137" s="10">
        <f t="shared" si="14"/>
        <v>0.96221133659902036</v>
      </c>
      <c r="AD137" s="10">
        <f t="shared" si="15"/>
        <v>0.18749999999999997</v>
      </c>
      <c r="AE137" s="12">
        <f>100*(AC137/TOTAL_BASIC!$D$302)</f>
        <v>100.09111373845275</v>
      </c>
      <c r="AF137" s="9"/>
      <c r="AG137" s="9"/>
      <c r="AH137" s="12">
        <f t="shared" si="16"/>
        <v>62.4</v>
      </c>
      <c r="AI137" s="12">
        <f t="shared" si="17"/>
        <v>54.6</v>
      </c>
      <c r="AJ137" s="12">
        <f t="shared" si="18"/>
        <v>37</v>
      </c>
      <c r="AK137" s="12">
        <f t="shared" si="19"/>
        <v>6</v>
      </c>
      <c r="AL137" s="12">
        <f t="shared" si="20"/>
        <v>39.200000000000003</v>
      </c>
    </row>
    <row r="138" spans="1:38" ht="15.75" customHeight="1">
      <c r="A138" s="1" t="s">
        <v>227</v>
      </c>
      <c r="B138" s="7" t="s">
        <v>161</v>
      </c>
      <c r="C138" s="4" t="s">
        <v>85</v>
      </c>
      <c r="D138" s="4">
        <v>36</v>
      </c>
      <c r="E138" s="4">
        <v>370</v>
      </c>
      <c r="F138" s="4">
        <v>36</v>
      </c>
      <c r="G138" s="4">
        <v>1</v>
      </c>
      <c r="H138" s="4">
        <v>10.3</v>
      </c>
      <c r="I138" s="4">
        <v>0.8</v>
      </c>
      <c r="J138" s="4">
        <v>2.1</v>
      </c>
      <c r="K138" s="4">
        <v>0.38200000000000001</v>
      </c>
      <c r="L138" s="4">
        <v>0.1</v>
      </c>
      <c r="M138" s="4">
        <v>0.5</v>
      </c>
      <c r="N138" s="4">
        <v>0.158</v>
      </c>
      <c r="O138" s="4">
        <v>0.7</v>
      </c>
      <c r="P138" s="4">
        <v>1.6</v>
      </c>
      <c r="Q138" s="4">
        <v>0.45600000000000002</v>
      </c>
      <c r="R138" s="4">
        <v>0.3</v>
      </c>
      <c r="S138" s="4">
        <v>0.6</v>
      </c>
      <c r="T138" s="4">
        <v>0.5</v>
      </c>
      <c r="U138" s="4">
        <v>0.8</v>
      </c>
      <c r="V138" s="4">
        <v>1.9</v>
      </c>
      <c r="W138" s="4">
        <v>0.5</v>
      </c>
      <c r="X138" s="4">
        <v>0.4</v>
      </c>
      <c r="Y138" s="4">
        <v>0.5</v>
      </c>
      <c r="Z138" s="4">
        <v>0.5</v>
      </c>
      <c r="AA138" s="4">
        <v>1.4</v>
      </c>
      <c r="AB138" s="4">
        <v>2</v>
      </c>
      <c r="AC138" s="10">
        <f t="shared" si="14"/>
        <v>0.6983240223463687</v>
      </c>
      <c r="AD138" s="10">
        <f t="shared" si="15"/>
        <v>0.35714285714285715</v>
      </c>
      <c r="AE138" s="12">
        <f>100*(AC138/TOTAL_BASIC!$D$302)</f>
        <v>72.64103683709952</v>
      </c>
      <c r="AF138" s="9"/>
      <c r="AG138" s="9"/>
      <c r="AH138" s="12">
        <f t="shared" si="16"/>
        <v>82.8</v>
      </c>
      <c r="AI138" s="12">
        <f t="shared" si="17"/>
        <v>3.3000000000000003</v>
      </c>
      <c r="AJ138" s="12">
        <f t="shared" si="18"/>
        <v>2.7</v>
      </c>
      <c r="AK138" s="12">
        <f t="shared" si="19"/>
        <v>11</v>
      </c>
      <c r="AL138" s="12">
        <f t="shared" si="20"/>
        <v>2.1999999999999997</v>
      </c>
    </row>
    <row r="139" spans="1:38" ht="15.75" customHeight="1">
      <c r="A139" s="1" t="s">
        <v>226</v>
      </c>
      <c r="B139" s="4" t="s">
        <v>157</v>
      </c>
      <c r="C139" s="4" t="s">
        <v>8</v>
      </c>
      <c r="D139" s="4">
        <v>36</v>
      </c>
      <c r="E139" s="4">
        <v>368</v>
      </c>
      <c r="F139" s="4">
        <v>36</v>
      </c>
      <c r="G139" s="4">
        <v>0</v>
      </c>
      <c r="H139" s="4">
        <v>10.199999999999999</v>
      </c>
      <c r="I139" s="4">
        <v>1.2</v>
      </c>
      <c r="J139" s="4">
        <v>3.1</v>
      </c>
      <c r="K139" s="4">
        <v>0.4</v>
      </c>
      <c r="L139" s="4">
        <v>0.3</v>
      </c>
      <c r="M139" s="4">
        <v>1.3</v>
      </c>
      <c r="N139" s="4">
        <v>0.24399999999999999</v>
      </c>
      <c r="O139" s="4">
        <v>0.9</v>
      </c>
      <c r="P139" s="4">
        <v>1.8</v>
      </c>
      <c r="Q139" s="4">
        <v>0.50800000000000001</v>
      </c>
      <c r="R139" s="4">
        <v>0.3</v>
      </c>
      <c r="S139" s="4">
        <v>0.3</v>
      </c>
      <c r="T139" s="4">
        <v>0.75</v>
      </c>
      <c r="U139" s="4">
        <v>0.5</v>
      </c>
      <c r="V139" s="4">
        <v>1.6</v>
      </c>
      <c r="W139" s="4">
        <v>1.2</v>
      </c>
      <c r="X139" s="4">
        <v>0.3</v>
      </c>
      <c r="Y139" s="4">
        <v>0.1</v>
      </c>
      <c r="Z139" s="4">
        <v>0.8</v>
      </c>
      <c r="AA139" s="4">
        <v>1.2</v>
      </c>
      <c r="AB139" s="4">
        <v>3</v>
      </c>
      <c r="AC139" s="10">
        <f t="shared" si="14"/>
        <v>0.74404761904761907</v>
      </c>
      <c r="AD139" s="10">
        <f t="shared" si="15"/>
        <v>8.3333333333333343E-2</v>
      </c>
      <c r="AE139" s="12">
        <f>100*(AC139/TOTAL_BASIC!$D$302)</f>
        <v>77.397295201433408</v>
      </c>
      <c r="AF139" s="9"/>
      <c r="AG139" s="9"/>
      <c r="AH139" s="12">
        <f t="shared" si="16"/>
        <v>29.799999999999997</v>
      </c>
      <c r="AI139" s="12">
        <f t="shared" si="17"/>
        <v>5.5</v>
      </c>
      <c r="AJ139" s="12">
        <f t="shared" si="18"/>
        <v>11</v>
      </c>
      <c r="AK139" s="12">
        <f t="shared" si="19"/>
        <v>9.9</v>
      </c>
      <c r="AL139" s="12">
        <f t="shared" si="20"/>
        <v>35.299999999999997</v>
      </c>
    </row>
    <row r="140" spans="1:38" ht="15.75" customHeight="1">
      <c r="A140" s="1" t="s">
        <v>204</v>
      </c>
      <c r="B140" s="7" t="s">
        <v>128</v>
      </c>
      <c r="C140" s="4" t="s">
        <v>8</v>
      </c>
      <c r="D140" s="4">
        <v>32</v>
      </c>
      <c r="E140" s="4">
        <v>368</v>
      </c>
      <c r="F140" s="4">
        <v>32</v>
      </c>
      <c r="G140" s="4">
        <v>1</v>
      </c>
      <c r="H140" s="4">
        <v>11.5</v>
      </c>
      <c r="I140" s="4">
        <v>1.3</v>
      </c>
      <c r="J140" s="4">
        <v>3.7</v>
      </c>
      <c r="K140" s="4">
        <v>0.35899999999999999</v>
      </c>
      <c r="L140" s="4">
        <v>0.9</v>
      </c>
      <c r="M140" s="4">
        <v>2.4</v>
      </c>
      <c r="N140" s="4">
        <v>0.36799999999999999</v>
      </c>
      <c r="O140" s="4">
        <v>0.4</v>
      </c>
      <c r="P140" s="4">
        <v>1.3</v>
      </c>
      <c r="Q140" s="4">
        <v>0.34100000000000003</v>
      </c>
      <c r="R140" s="4">
        <v>0.3</v>
      </c>
      <c r="S140" s="4">
        <v>0.3</v>
      </c>
      <c r="T140" s="4">
        <v>0.9</v>
      </c>
      <c r="U140" s="4">
        <v>0.2</v>
      </c>
      <c r="V140" s="4">
        <v>0.8</v>
      </c>
      <c r="W140" s="4">
        <v>1.4</v>
      </c>
      <c r="X140" s="4">
        <v>0.2</v>
      </c>
      <c r="Y140" s="4">
        <v>0.1</v>
      </c>
      <c r="Z140" s="4">
        <v>0.5</v>
      </c>
      <c r="AA140" s="4">
        <v>1.1000000000000001</v>
      </c>
      <c r="AB140" s="4">
        <v>3.8</v>
      </c>
      <c r="AC140" s="10">
        <f t="shared" si="14"/>
        <v>0.87719298245614019</v>
      </c>
      <c r="AD140" s="10">
        <f t="shared" si="15"/>
        <v>9.0909090909090912E-2</v>
      </c>
      <c r="AE140" s="12">
        <f>100*(AC140/TOTAL_BASIC!$D$302)</f>
        <v>91.247337500637272</v>
      </c>
      <c r="AF140" s="9"/>
      <c r="AG140" s="9"/>
      <c r="AH140" s="12">
        <f t="shared" si="16"/>
        <v>32</v>
      </c>
      <c r="AI140" s="12">
        <f t="shared" si="17"/>
        <v>33.700000000000003</v>
      </c>
      <c r="AJ140" s="12">
        <f t="shared" si="18"/>
        <v>18.7</v>
      </c>
      <c r="AK140" s="12">
        <f t="shared" si="19"/>
        <v>16</v>
      </c>
      <c r="AL140" s="12">
        <f t="shared" si="20"/>
        <v>90.600000000000009</v>
      </c>
    </row>
    <row r="141" spans="1:38" ht="15.75" customHeight="1">
      <c r="A141" s="1" t="s">
        <v>189</v>
      </c>
      <c r="B141" s="7" t="s">
        <v>140</v>
      </c>
      <c r="C141" s="4" t="s">
        <v>8</v>
      </c>
      <c r="D141" s="4">
        <v>36</v>
      </c>
      <c r="E141" s="4">
        <v>361</v>
      </c>
      <c r="F141" s="4">
        <v>36</v>
      </c>
      <c r="G141" s="4">
        <v>2</v>
      </c>
      <c r="H141" s="4">
        <v>10</v>
      </c>
      <c r="I141" s="4">
        <v>0.9</v>
      </c>
      <c r="J141" s="4">
        <v>2.8</v>
      </c>
      <c r="K141" s="4">
        <v>0.31</v>
      </c>
      <c r="L141" s="4">
        <v>0.2</v>
      </c>
      <c r="M141" s="4">
        <v>1.1000000000000001</v>
      </c>
      <c r="N141" s="4">
        <v>0.19500000000000001</v>
      </c>
      <c r="O141" s="4">
        <v>0.6</v>
      </c>
      <c r="P141" s="4">
        <v>1.6</v>
      </c>
      <c r="Q141" s="4">
        <v>0.39</v>
      </c>
      <c r="R141" s="4">
        <v>0.3</v>
      </c>
      <c r="S141" s="4">
        <v>0.5</v>
      </c>
      <c r="T141" s="4">
        <v>0.5</v>
      </c>
      <c r="U141" s="4">
        <v>0.7</v>
      </c>
      <c r="V141" s="4">
        <v>1.1000000000000001</v>
      </c>
      <c r="W141" s="4">
        <v>0.5</v>
      </c>
      <c r="X141" s="4">
        <v>0.3</v>
      </c>
      <c r="Y141" s="4">
        <v>0.1</v>
      </c>
      <c r="Z141" s="4">
        <v>0.6</v>
      </c>
      <c r="AA141" s="4">
        <v>1.8</v>
      </c>
      <c r="AB141" s="4">
        <v>2.2000000000000002</v>
      </c>
      <c r="AC141" s="10">
        <f t="shared" si="14"/>
        <v>0.60773480662983426</v>
      </c>
      <c r="AD141" s="10">
        <f t="shared" si="15"/>
        <v>5.5555555555555559E-2</v>
      </c>
      <c r="AE141" s="12">
        <f>100*(AC141/TOTAL_BASIC!$D$302)</f>
        <v>63.217768633038204</v>
      </c>
      <c r="AF141" s="9"/>
      <c r="AG141" s="9"/>
      <c r="AH141" s="12">
        <f t="shared" si="16"/>
        <v>18.7</v>
      </c>
      <c r="AI141" s="12">
        <f t="shared" si="17"/>
        <v>0</v>
      </c>
      <c r="AJ141" s="12">
        <f t="shared" si="18"/>
        <v>3.8</v>
      </c>
      <c r="AK141" s="12">
        <f t="shared" si="19"/>
        <v>9.3000000000000007</v>
      </c>
      <c r="AL141" s="12">
        <f t="shared" si="20"/>
        <v>2.1999999999999997</v>
      </c>
    </row>
    <row r="142" spans="1:38" ht="15.75" customHeight="1">
      <c r="A142" s="1" t="s">
        <v>135</v>
      </c>
      <c r="B142" s="7" t="s">
        <v>232</v>
      </c>
      <c r="C142" s="4" t="s">
        <v>88</v>
      </c>
      <c r="D142" s="4">
        <v>21</v>
      </c>
      <c r="E142" s="4">
        <v>348</v>
      </c>
      <c r="F142" s="4">
        <v>21</v>
      </c>
      <c r="G142" s="4">
        <v>9</v>
      </c>
      <c r="H142" s="4">
        <v>16.600000000000001</v>
      </c>
      <c r="I142" s="4">
        <v>1.6</v>
      </c>
      <c r="J142" s="4">
        <v>4.8</v>
      </c>
      <c r="K142" s="4">
        <v>0.33</v>
      </c>
      <c r="L142" s="4">
        <v>0.8</v>
      </c>
      <c r="M142" s="4">
        <v>2.6</v>
      </c>
      <c r="N142" s="4">
        <v>0.29099999999999998</v>
      </c>
      <c r="O142" s="4">
        <v>0.8</v>
      </c>
      <c r="P142" s="4">
        <v>2.1</v>
      </c>
      <c r="Q142" s="4">
        <v>0.378</v>
      </c>
      <c r="R142" s="4">
        <v>0.6</v>
      </c>
      <c r="S142" s="4">
        <v>0.7</v>
      </c>
      <c r="T142" s="4">
        <v>0.8</v>
      </c>
      <c r="U142" s="4">
        <v>0.5</v>
      </c>
      <c r="V142" s="4">
        <v>2.6</v>
      </c>
      <c r="W142" s="4">
        <v>1.3</v>
      </c>
      <c r="X142" s="4">
        <v>0.3</v>
      </c>
      <c r="Y142" s="4">
        <v>0.4</v>
      </c>
      <c r="Z142" s="4">
        <v>0.9</v>
      </c>
      <c r="AA142" s="4">
        <v>2.5</v>
      </c>
      <c r="AB142" s="4">
        <v>4.5</v>
      </c>
      <c r="AC142" s="10">
        <f t="shared" si="14"/>
        <v>0.74900133155792281</v>
      </c>
      <c r="AD142" s="10">
        <f t="shared" si="15"/>
        <v>0.16</v>
      </c>
      <c r="AE142" s="12">
        <f>100*(AC142/TOTAL_BASIC!$D$302)</f>
        <v>77.912590109565457</v>
      </c>
      <c r="AF142" s="9"/>
      <c r="AG142" s="9"/>
      <c r="AH142" s="12">
        <f t="shared" si="16"/>
        <v>57.999999999999993</v>
      </c>
      <c r="AI142" s="12">
        <f t="shared" si="17"/>
        <v>7.1</v>
      </c>
      <c r="AJ142" s="12">
        <f t="shared" si="18"/>
        <v>27</v>
      </c>
      <c r="AK142" s="12">
        <f t="shared" si="19"/>
        <v>38.6</v>
      </c>
      <c r="AL142" s="12">
        <f t="shared" si="20"/>
        <v>51.300000000000004</v>
      </c>
    </row>
    <row r="143" spans="1:38" ht="15.75" customHeight="1">
      <c r="A143" s="1" t="s">
        <v>269</v>
      </c>
      <c r="B143" s="7" t="s">
        <v>232</v>
      </c>
      <c r="C143" s="4" t="s">
        <v>8</v>
      </c>
      <c r="D143" s="4">
        <v>29</v>
      </c>
      <c r="E143" s="4">
        <v>325</v>
      </c>
      <c r="F143" s="4">
        <v>29</v>
      </c>
      <c r="G143" s="4">
        <v>1</v>
      </c>
      <c r="H143" s="4">
        <v>11.2</v>
      </c>
      <c r="I143" s="4">
        <v>1.4</v>
      </c>
      <c r="J143" s="4">
        <v>3.7</v>
      </c>
      <c r="K143" s="4">
        <v>0.39300000000000002</v>
      </c>
      <c r="L143" s="4">
        <v>0.3</v>
      </c>
      <c r="M143" s="4">
        <v>1.8</v>
      </c>
      <c r="N143" s="4">
        <v>0.189</v>
      </c>
      <c r="O143" s="4">
        <v>1.1000000000000001</v>
      </c>
      <c r="P143" s="4">
        <v>1.9</v>
      </c>
      <c r="Q143" s="4">
        <v>0.59299999999999997</v>
      </c>
      <c r="R143" s="4">
        <v>0.8</v>
      </c>
      <c r="S143" s="4">
        <v>0.8</v>
      </c>
      <c r="T143" s="4">
        <v>0.91700000000000004</v>
      </c>
      <c r="U143" s="4">
        <v>0.3</v>
      </c>
      <c r="V143" s="4">
        <v>1.4</v>
      </c>
      <c r="W143" s="4">
        <v>1.8</v>
      </c>
      <c r="X143" s="4">
        <v>0.6</v>
      </c>
      <c r="Y143" s="4">
        <v>0</v>
      </c>
      <c r="Z143" s="4">
        <v>1.1000000000000001</v>
      </c>
      <c r="AA143" s="4">
        <v>1.1000000000000001</v>
      </c>
      <c r="AB143" s="4">
        <v>4</v>
      </c>
      <c r="AC143" s="10">
        <f t="shared" si="14"/>
        <v>0.77639751552795011</v>
      </c>
      <c r="AD143" s="10">
        <f t="shared" si="15"/>
        <v>0</v>
      </c>
      <c r="AE143" s="12">
        <f>100*(AC143/TOTAL_BASIC!$D$302)</f>
        <v>80.762394992800054</v>
      </c>
      <c r="AF143" s="9"/>
      <c r="AG143" s="9"/>
      <c r="AH143" s="12">
        <f t="shared" si="16"/>
        <v>0</v>
      </c>
      <c r="AI143" s="12">
        <f t="shared" si="17"/>
        <v>9.9</v>
      </c>
      <c r="AJ143" s="12">
        <f t="shared" si="18"/>
        <v>22</v>
      </c>
      <c r="AK143" s="12">
        <f t="shared" si="19"/>
        <v>13.8</v>
      </c>
      <c r="AL143" s="12">
        <f t="shared" si="20"/>
        <v>93.899999999999991</v>
      </c>
    </row>
    <row r="144" spans="1:38" ht="15.75" customHeight="1">
      <c r="A144" s="1" t="s">
        <v>218</v>
      </c>
      <c r="B144" s="7" t="s">
        <v>140</v>
      </c>
      <c r="C144" s="4" t="s">
        <v>85</v>
      </c>
      <c r="D144" s="4">
        <v>35</v>
      </c>
      <c r="E144" s="4">
        <v>324</v>
      </c>
      <c r="F144" s="4">
        <v>35</v>
      </c>
      <c r="G144" s="4">
        <v>3</v>
      </c>
      <c r="H144" s="4">
        <v>9.3000000000000007</v>
      </c>
      <c r="I144" s="4">
        <v>1.1000000000000001</v>
      </c>
      <c r="J144" s="4">
        <v>2.6</v>
      </c>
      <c r="K144" s="4">
        <v>0.42899999999999999</v>
      </c>
      <c r="L144" s="4">
        <v>0.1</v>
      </c>
      <c r="M144" s="4">
        <v>0.9</v>
      </c>
      <c r="N144" s="4">
        <v>0.125</v>
      </c>
      <c r="O144" s="4">
        <v>1</v>
      </c>
      <c r="P144" s="4">
        <v>1.7</v>
      </c>
      <c r="Q144" s="4">
        <v>0.59299999999999997</v>
      </c>
      <c r="R144" s="4">
        <v>0.5</v>
      </c>
      <c r="S144" s="4">
        <v>0.7</v>
      </c>
      <c r="T144" s="4">
        <v>0.68</v>
      </c>
      <c r="U144" s="4">
        <v>0.6</v>
      </c>
      <c r="V144" s="4">
        <v>2.4</v>
      </c>
      <c r="W144" s="4">
        <v>0.6</v>
      </c>
      <c r="X144" s="4">
        <v>0.3</v>
      </c>
      <c r="Y144" s="4">
        <v>0.2</v>
      </c>
      <c r="Z144" s="4">
        <v>0.7</v>
      </c>
      <c r="AA144" s="4">
        <v>1</v>
      </c>
      <c r="AB144" s="4">
        <v>2.8</v>
      </c>
      <c r="AC144" s="10">
        <f t="shared" si="14"/>
        <v>0.77605321507760539</v>
      </c>
      <c r="AD144" s="10">
        <f t="shared" si="15"/>
        <v>0.2</v>
      </c>
      <c r="AE144" s="12">
        <f>100*(AC144/TOTAL_BASIC!$D$302)</f>
        <v>80.72658018349064</v>
      </c>
      <c r="AF144" s="9"/>
      <c r="AG144" s="9"/>
      <c r="AH144" s="12">
        <f t="shared" si="16"/>
        <v>67.400000000000006</v>
      </c>
      <c r="AI144" s="12">
        <f t="shared" si="17"/>
        <v>9.3000000000000007</v>
      </c>
      <c r="AJ144" s="12">
        <f t="shared" si="18"/>
        <v>7.7</v>
      </c>
      <c r="AK144" s="12">
        <f t="shared" si="19"/>
        <v>6</v>
      </c>
      <c r="AL144" s="12">
        <f t="shared" si="20"/>
        <v>18.2</v>
      </c>
    </row>
    <row r="145" spans="1:38" ht="15.75" customHeight="1">
      <c r="A145" s="1" t="s">
        <v>150</v>
      </c>
      <c r="B145" s="7" t="s">
        <v>93</v>
      </c>
      <c r="C145" s="4" t="s">
        <v>8</v>
      </c>
      <c r="D145" s="4">
        <v>16</v>
      </c>
      <c r="E145" s="4">
        <v>323</v>
      </c>
      <c r="F145" s="4">
        <v>16</v>
      </c>
      <c r="G145" s="4">
        <v>7</v>
      </c>
      <c r="H145" s="4">
        <v>20.2</v>
      </c>
      <c r="I145" s="4">
        <v>3.1</v>
      </c>
      <c r="J145" s="4">
        <v>7.4</v>
      </c>
      <c r="K145" s="4">
        <v>0.42</v>
      </c>
      <c r="L145" s="4">
        <v>2</v>
      </c>
      <c r="M145" s="4">
        <v>4.8</v>
      </c>
      <c r="N145" s="4">
        <v>0.42099999999999999</v>
      </c>
      <c r="O145" s="4">
        <v>1.1000000000000001</v>
      </c>
      <c r="P145" s="4">
        <v>2.7</v>
      </c>
      <c r="Q145" s="4">
        <v>0.41899999999999998</v>
      </c>
      <c r="R145" s="4">
        <v>2.1</v>
      </c>
      <c r="S145" s="4">
        <v>2.4</v>
      </c>
      <c r="T145" s="4">
        <v>0.89500000000000002</v>
      </c>
      <c r="U145" s="4">
        <v>0.4</v>
      </c>
      <c r="V145" s="4">
        <v>1.1000000000000001</v>
      </c>
      <c r="W145" s="4">
        <v>1.6</v>
      </c>
      <c r="X145" s="4">
        <v>0.6</v>
      </c>
      <c r="Y145" s="4">
        <v>0</v>
      </c>
      <c r="Z145" s="4">
        <v>1.4</v>
      </c>
      <c r="AA145" s="4">
        <v>2.2999999999999998</v>
      </c>
      <c r="AB145" s="4">
        <v>10.4</v>
      </c>
      <c r="AC145" s="10">
        <f t="shared" si="14"/>
        <v>1.0551948051948052</v>
      </c>
      <c r="AD145" s="10">
        <f t="shared" si="15"/>
        <v>0</v>
      </c>
      <c r="AE145" s="12">
        <f>100*(AC145/TOTAL_BASIC!$D$302)</f>
        <v>109.76343683112376</v>
      </c>
      <c r="AF145" s="9"/>
      <c r="AG145" s="9"/>
      <c r="AH145" s="12">
        <f t="shared" si="16"/>
        <v>0</v>
      </c>
      <c r="AI145" s="12">
        <f t="shared" si="17"/>
        <v>87.2</v>
      </c>
      <c r="AJ145" s="12">
        <f t="shared" si="18"/>
        <v>66.8</v>
      </c>
      <c r="AK145" s="12">
        <f t="shared" si="19"/>
        <v>51.9</v>
      </c>
      <c r="AL145" s="12">
        <f t="shared" si="20"/>
        <v>89.5</v>
      </c>
    </row>
    <row r="146" spans="1:38" ht="15.75" customHeight="1">
      <c r="A146" s="1" t="s">
        <v>239</v>
      </c>
      <c r="B146" s="7" t="s">
        <v>99</v>
      </c>
      <c r="C146" s="4" t="s">
        <v>85</v>
      </c>
      <c r="D146" s="4">
        <v>28</v>
      </c>
      <c r="E146" s="4">
        <v>319</v>
      </c>
      <c r="F146" s="4">
        <v>28</v>
      </c>
      <c r="G146" s="4">
        <v>1</v>
      </c>
      <c r="H146" s="4">
        <v>11.4</v>
      </c>
      <c r="I146" s="4">
        <v>0.8</v>
      </c>
      <c r="J146" s="4">
        <v>1.9</v>
      </c>
      <c r="K146" s="4">
        <v>0.434</v>
      </c>
      <c r="L146" s="4">
        <v>0.5</v>
      </c>
      <c r="M146" s="4">
        <v>1.2</v>
      </c>
      <c r="N146" s="4">
        <v>0.38200000000000001</v>
      </c>
      <c r="O146" s="4">
        <v>0.4</v>
      </c>
      <c r="P146" s="4">
        <v>0.7</v>
      </c>
      <c r="Q146" s="4">
        <v>0.52600000000000002</v>
      </c>
      <c r="R146" s="4">
        <v>0.6</v>
      </c>
      <c r="S146" s="4">
        <v>0.9</v>
      </c>
      <c r="T146" s="4">
        <v>0.66700000000000004</v>
      </c>
      <c r="U146" s="4">
        <v>0.4</v>
      </c>
      <c r="V146" s="4">
        <v>1.7</v>
      </c>
      <c r="W146" s="4">
        <v>0.7</v>
      </c>
      <c r="X146" s="4">
        <v>0.2</v>
      </c>
      <c r="Y146" s="4">
        <v>0.2</v>
      </c>
      <c r="Z146" s="4">
        <v>0.5</v>
      </c>
      <c r="AA146" s="4">
        <v>1.9</v>
      </c>
      <c r="AB146" s="4">
        <v>2.7</v>
      </c>
      <c r="AC146" s="10">
        <f t="shared" si="14"/>
        <v>0.96566523605150223</v>
      </c>
      <c r="AD146" s="10">
        <f t="shared" si="15"/>
        <v>0.10526315789473685</v>
      </c>
      <c r="AE146" s="12">
        <f>100*(AC146/TOTAL_BASIC!$D$302)</f>
        <v>100.45039514555137</v>
      </c>
      <c r="AF146" s="9"/>
      <c r="AG146" s="9"/>
      <c r="AH146" s="12">
        <f t="shared" si="16"/>
        <v>37</v>
      </c>
      <c r="AI146" s="12">
        <f t="shared" si="17"/>
        <v>57.999999999999993</v>
      </c>
      <c r="AJ146" s="12">
        <f t="shared" si="18"/>
        <v>6.6000000000000005</v>
      </c>
      <c r="AK146" s="12">
        <f t="shared" si="19"/>
        <v>14.899999999999999</v>
      </c>
      <c r="AL146" s="12">
        <f t="shared" si="20"/>
        <v>14.299999999999999</v>
      </c>
    </row>
    <row r="147" spans="1:38" ht="15.75" customHeight="1">
      <c r="A147" s="1" t="s">
        <v>246</v>
      </c>
      <c r="B147" s="7" t="s">
        <v>99</v>
      </c>
      <c r="C147" s="4" t="s">
        <v>88</v>
      </c>
      <c r="D147" s="4">
        <v>30</v>
      </c>
      <c r="E147" s="4">
        <v>311</v>
      </c>
      <c r="F147" s="4">
        <v>30</v>
      </c>
      <c r="G147" s="4">
        <v>0</v>
      </c>
      <c r="H147" s="4">
        <v>10.4</v>
      </c>
      <c r="I147" s="4">
        <v>1</v>
      </c>
      <c r="J147" s="4">
        <v>2.5</v>
      </c>
      <c r="K147" s="4">
        <v>0.38700000000000001</v>
      </c>
      <c r="L147" s="4">
        <v>0.3</v>
      </c>
      <c r="M147" s="4">
        <v>1.1000000000000001</v>
      </c>
      <c r="N147" s="4">
        <v>0.23499999999999999</v>
      </c>
      <c r="O147" s="4">
        <v>0.7</v>
      </c>
      <c r="P147" s="4">
        <v>1.4</v>
      </c>
      <c r="Q147" s="4">
        <v>0.51200000000000001</v>
      </c>
      <c r="R147" s="4">
        <v>1.2</v>
      </c>
      <c r="S147" s="4">
        <v>1.6</v>
      </c>
      <c r="T147" s="4">
        <v>0.72899999999999998</v>
      </c>
      <c r="U147" s="4">
        <v>0.9</v>
      </c>
      <c r="V147" s="4">
        <v>2.7</v>
      </c>
      <c r="W147" s="4">
        <v>0.4</v>
      </c>
      <c r="X147" s="4">
        <v>0.1</v>
      </c>
      <c r="Y147" s="4">
        <v>0.3</v>
      </c>
      <c r="Z147" s="4">
        <v>0.6</v>
      </c>
      <c r="AA147" s="4">
        <v>1.4</v>
      </c>
      <c r="AB147" s="4">
        <v>3.4</v>
      </c>
      <c r="AC147" s="10">
        <f t="shared" si="14"/>
        <v>0.89379600420609873</v>
      </c>
      <c r="AD147" s="10">
        <f t="shared" si="15"/>
        <v>0.2142857142857143</v>
      </c>
      <c r="AE147" s="12">
        <f>100*(AC147/TOTAL_BASIC!$D$302)</f>
        <v>92.974416443867</v>
      </c>
      <c r="AF147" s="9"/>
      <c r="AG147" s="9"/>
      <c r="AH147" s="12">
        <f t="shared" si="16"/>
        <v>71.2</v>
      </c>
      <c r="AI147" s="12">
        <f t="shared" si="17"/>
        <v>39.700000000000003</v>
      </c>
      <c r="AJ147" s="12">
        <f t="shared" si="18"/>
        <v>12.7</v>
      </c>
      <c r="AK147" s="12">
        <f t="shared" si="19"/>
        <v>12.1</v>
      </c>
      <c r="AL147" s="12">
        <f t="shared" si="20"/>
        <v>30.3</v>
      </c>
    </row>
    <row r="148" spans="1:38" ht="15.75" customHeight="1">
      <c r="A148" s="1" t="s">
        <v>190</v>
      </c>
      <c r="B148" s="7" t="s">
        <v>240</v>
      </c>
      <c r="C148" s="4" t="s">
        <v>8</v>
      </c>
      <c r="D148" s="4">
        <v>24</v>
      </c>
      <c r="E148" s="4">
        <v>310</v>
      </c>
      <c r="F148" s="4">
        <v>24</v>
      </c>
      <c r="G148" s="4">
        <v>0</v>
      </c>
      <c r="H148" s="4">
        <v>12.9</v>
      </c>
      <c r="I148" s="4">
        <v>1.5</v>
      </c>
      <c r="J148" s="4">
        <v>4.2</v>
      </c>
      <c r="K148" s="4">
        <v>0.35</v>
      </c>
      <c r="L148" s="4">
        <v>0.8</v>
      </c>
      <c r="M148" s="4">
        <v>2.8</v>
      </c>
      <c r="N148" s="4">
        <v>0.28399999999999997</v>
      </c>
      <c r="O148" s="4">
        <v>0.7</v>
      </c>
      <c r="P148" s="4">
        <v>1.4</v>
      </c>
      <c r="Q148" s="4">
        <v>0.48499999999999999</v>
      </c>
      <c r="R148" s="4">
        <v>0.4</v>
      </c>
      <c r="S148" s="4">
        <v>0.5</v>
      </c>
      <c r="T148" s="4">
        <v>0.75</v>
      </c>
      <c r="U148" s="4">
        <v>0</v>
      </c>
      <c r="V148" s="4">
        <v>0.4</v>
      </c>
      <c r="W148" s="4">
        <v>1.2</v>
      </c>
      <c r="X148" s="4">
        <v>0.4</v>
      </c>
      <c r="Y148" s="4">
        <v>0</v>
      </c>
      <c r="Z148" s="4">
        <v>0.8</v>
      </c>
      <c r="AA148" s="4">
        <v>1.1000000000000001</v>
      </c>
      <c r="AB148" s="4">
        <v>4.0999999999999996</v>
      </c>
      <c r="AC148" s="10">
        <f t="shared" si="14"/>
        <v>0.78544061302681989</v>
      </c>
      <c r="AD148" s="10">
        <f t="shared" si="15"/>
        <v>0</v>
      </c>
      <c r="AE148" s="12">
        <f>100*(AC148/TOTAL_BASIC!$D$302)</f>
        <v>81.703075762064884</v>
      </c>
      <c r="AF148" s="9"/>
      <c r="AG148" s="9"/>
      <c r="AH148" s="12">
        <f t="shared" si="16"/>
        <v>0</v>
      </c>
      <c r="AI148" s="12">
        <f t="shared" si="17"/>
        <v>11.600000000000001</v>
      </c>
      <c r="AJ148" s="12">
        <f t="shared" si="18"/>
        <v>23.7</v>
      </c>
      <c r="AK148" s="12">
        <f t="shared" si="19"/>
        <v>20.399999999999999</v>
      </c>
      <c r="AL148" s="12">
        <f t="shared" si="20"/>
        <v>35.299999999999997</v>
      </c>
    </row>
    <row r="149" spans="1:38" ht="15.75" customHeight="1">
      <c r="A149" s="1" t="s">
        <v>171</v>
      </c>
      <c r="B149" s="7" t="s">
        <v>107</v>
      </c>
      <c r="C149" s="4" t="s">
        <v>8</v>
      </c>
      <c r="D149" s="4">
        <v>20</v>
      </c>
      <c r="E149" s="4">
        <v>308</v>
      </c>
      <c r="F149" s="4">
        <v>20</v>
      </c>
      <c r="G149" s="4">
        <v>3</v>
      </c>
      <c r="H149" s="4">
        <v>15.4</v>
      </c>
      <c r="I149" s="4">
        <v>2.1</v>
      </c>
      <c r="J149" s="4">
        <v>5.0999999999999996</v>
      </c>
      <c r="K149" s="4">
        <v>0.40600000000000003</v>
      </c>
      <c r="L149" s="4">
        <v>0.6</v>
      </c>
      <c r="M149" s="4">
        <v>1.7</v>
      </c>
      <c r="N149" s="4">
        <v>0.36399999999999999</v>
      </c>
      <c r="O149" s="4">
        <v>1.5</v>
      </c>
      <c r="P149" s="4">
        <v>3.4</v>
      </c>
      <c r="Q149" s="4">
        <v>0.42599999999999999</v>
      </c>
      <c r="R149" s="4">
        <v>0.6</v>
      </c>
      <c r="S149" s="4">
        <v>0.7</v>
      </c>
      <c r="T149" s="4">
        <v>0.85699999999999998</v>
      </c>
      <c r="U149" s="4">
        <v>0.3</v>
      </c>
      <c r="V149" s="4">
        <v>1.3</v>
      </c>
      <c r="W149" s="4">
        <v>1.9</v>
      </c>
      <c r="X149" s="4">
        <v>0.8</v>
      </c>
      <c r="Y149" s="4">
        <v>0.2</v>
      </c>
      <c r="Z149" s="4">
        <v>1.1000000000000001</v>
      </c>
      <c r="AA149" s="4">
        <v>1.3</v>
      </c>
      <c r="AB149" s="4">
        <v>5.3</v>
      </c>
      <c r="AC149" s="10">
        <f t="shared" si="14"/>
        <v>0.81438229870928092</v>
      </c>
      <c r="AD149" s="10">
        <f t="shared" si="15"/>
        <v>0.15384615384615385</v>
      </c>
      <c r="AE149" s="12">
        <f>100*(AC149/TOTAL_BASIC!$D$302)</f>
        <v>84.713646769952447</v>
      </c>
      <c r="AF149" s="9"/>
      <c r="AG149" s="9"/>
      <c r="AH149" s="12">
        <f t="shared" si="16"/>
        <v>53.5</v>
      </c>
      <c r="AI149" s="12">
        <f t="shared" si="17"/>
        <v>16</v>
      </c>
      <c r="AJ149" s="12">
        <f t="shared" si="18"/>
        <v>34.200000000000003</v>
      </c>
      <c r="AK149" s="12">
        <f t="shared" si="19"/>
        <v>35.299999999999997</v>
      </c>
      <c r="AL149" s="12">
        <f t="shared" si="20"/>
        <v>74</v>
      </c>
    </row>
    <row r="150" spans="1:38" ht="15.75" customHeight="1">
      <c r="A150" s="1" t="s">
        <v>241</v>
      </c>
      <c r="B150" s="7" t="s">
        <v>96</v>
      </c>
      <c r="C150" s="4" t="s">
        <v>85</v>
      </c>
      <c r="D150" s="4">
        <v>30</v>
      </c>
      <c r="E150" s="4">
        <v>307</v>
      </c>
      <c r="F150" s="4">
        <v>30</v>
      </c>
      <c r="G150" s="4">
        <v>0</v>
      </c>
      <c r="H150" s="4">
        <v>10.199999999999999</v>
      </c>
      <c r="I150" s="4">
        <v>1.3</v>
      </c>
      <c r="J150" s="4">
        <v>2.7</v>
      </c>
      <c r="K150" s="4">
        <v>0.47599999999999998</v>
      </c>
      <c r="L150" s="4">
        <v>0.1</v>
      </c>
      <c r="M150" s="4">
        <v>0.1</v>
      </c>
      <c r="N150" s="4">
        <v>0.66700000000000004</v>
      </c>
      <c r="O150" s="4">
        <v>1.2</v>
      </c>
      <c r="P150" s="4">
        <v>2.6</v>
      </c>
      <c r="Q150" s="4">
        <v>0.46800000000000003</v>
      </c>
      <c r="R150" s="4">
        <v>0.9</v>
      </c>
      <c r="S150" s="4">
        <v>1.1000000000000001</v>
      </c>
      <c r="T150" s="4">
        <v>0.84799999999999998</v>
      </c>
      <c r="U150" s="4">
        <v>1.2</v>
      </c>
      <c r="V150" s="4">
        <v>2</v>
      </c>
      <c r="W150" s="4">
        <v>0.7</v>
      </c>
      <c r="X150" s="4">
        <v>0.6</v>
      </c>
      <c r="Y150" s="4">
        <v>0.4</v>
      </c>
      <c r="Z150" s="4">
        <v>0.6</v>
      </c>
      <c r="AA150" s="4">
        <v>1.2</v>
      </c>
      <c r="AB150" s="4">
        <v>3.6</v>
      </c>
      <c r="AC150" s="10">
        <f t="shared" si="14"/>
        <v>0.95137420718816068</v>
      </c>
      <c r="AD150" s="10">
        <f t="shared" si="15"/>
        <v>0.33333333333333337</v>
      </c>
      <c r="AE150" s="12">
        <f>100*(AC150/TOTAL_BASIC!$D$302)</f>
        <v>98.963814244877227</v>
      </c>
      <c r="AF150" s="9"/>
      <c r="AG150" s="9"/>
      <c r="AH150" s="12">
        <f t="shared" si="16"/>
        <v>81.699999999999989</v>
      </c>
      <c r="AI150" s="12">
        <f t="shared" si="17"/>
        <v>53</v>
      </c>
      <c r="AJ150" s="12">
        <f t="shared" si="18"/>
        <v>15.4</v>
      </c>
      <c r="AK150" s="12">
        <f t="shared" si="19"/>
        <v>9.9</v>
      </c>
      <c r="AL150" s="12">
        <f t="shared" si="20"/>
        <v>69.599999999999994</v>
      </c>
    </row>
    <row r="151" spans="1:38" ht="15.75" customHeight="1">
      <c r="A151" s="1" t="s">
        <v>272</v>
      </c>
      <c r="B151" s="7" t="s">
        <v>93</v>
      </c>
      <c r="C151" s="4" t="s">
        <v>8</v>
      </c>
      <c r="D151" s="4">
        <v>18</v>
      </c>
      <c r="E151" s="4">
        <v>307</v>
      </c>
      <c r="F151" s="4">
        <v>18</v>
      </c>
      <c r="G151" s="4">
        <v>7</v>
      </c>
      <c r="H151" s="4">
        <v>17.100000000000001</v>
      </c>
      <c r="I151" s="4">
        <v>1.7</v>
      </c>
      <c r="J151" s="4">
        <v>5.0999999999999996</v>
      </c>
      <c r="K151" s="4">
        <v>0.33700000000000002</v>
      </c>
      <c r="L151" s="4">
        <v>1.3</v>
      </c>
      <c r="M151" s="4">
        <v>4</v>
      </c>
      <c r="N151" s="4">
        <v>0.33300000000000002</v>
      </c>
      <c r="O151" s="4">
        <v>0.4</v>
      </c>
      <c r="P151" s="4">
        <v>1.1000000000000001</v>
      </c>
      <c r="Q151" s="4">
        <v>0.35</v>
      </c>
      <c r="R151" s="4">
        <v>0.6</v>
      </c>
      <c r="S151" s="4">
        <v>0.6</v>
      </c>
      <c r="T151" s="4">
        <v>1</v>
      </c>
      <c r="U151" s="4">
        <v>0.3</v>
      </c>
      <c r="V151" s="4">
        <v>1.7</v>
      </c>
      <c r="W151" s="4">
        <v>2.1</v>
      </c>
      <c r="X151" s="4">
        <v>0.7</v>
      </c>
      <c r="Y151" s="4">
        <v>0.1</v>
      </c>
      <c r="Z151" s="4">
        <v>1.1000000000000001</v>
      </c>
      <c r="AA151" s="4">
        <v>1.9</v>
      </c>
      <c r="AB151" s="4">
        <v>5.4</v>
      </c>
      <c r="AC151" s="10">
        <f t="shared" si="14"/>
        <v>0.83539603960396036</v>
      </c>
      <c r="AD151" s="10">
        <f t="shared" si="15"/>
        <v>5.2631578947368425E-2</v>
      </c>
      <c r="AE151" s="12">
        <f>100*(AC151/TOTAL_BASIC!$D$302)</f>
        <v>86.899537384579688</v>
      </c>
      <c r="AF151" s="9"/>
      <c r="AG151" s="9"/>
      <c r="AH151" s="12">
        <f t="shared" si="16"/>
        <v>17.100000000000001</v>
      </c>
      <c r="AI151" s="12">
        <f t="shared" si="17"/>
        <v>19.8</v>
      </c>
      <c r="AJ151" s="12">
        <f t="shared" si="18"/>
        <v>35.299999999999997</v>
      </c>
      <c r="AK151" s="12">
        <f t="shared" si="19"/>
        <v>42.5</v>
      </c>
      <c r="AL151" s="12">
        <f t="shared" si="20"/>
        <v>97.7</v>
      </c>
    </row>
    <row r="152" spans="1:38" ht="15.75" customHeight="1">
      <c r="A152" s="1" t="s">
        <v>205</v>
      </c>
      <c r="B152" s="7" t="s">
        <v>117</v>
      </c>
      <c r="C152" s="4" t="s">
        <v>85</v>
      </c>
      <c r="D152" s="4">
        <v>28</v>
      </c>
      <c r="E152" s="4">
        <v>306</v>
      </c>
      <c r="F152" s="4">
        <v>28</v>
      </c>
      <c r="G152" s="4">
        <v>1</v>
      </c>
      <c r="H152" s="4">
        <v>10.9</v>
      </c>
      <c r="I152" s="4">
        <v>1.8</v>
      </c>
      <c r="J152" s="4">
        <v>3.4</v>
      </c>
      <c r="K152" s="4">
        <v>0.53700000000000003</v>
      </c>
      <c r="L152" s="4">
        <v>0.3</v>
      </c>
      <c r="M152" s="4">
        <v>0.5</v>
      </c>
      <c r="N152" s="4">
        <v>0.46700000000000003</v>
      </c>
      <c r="O152" s="4">
        <v>1.6</v>
      </c>
      <c r="P152" s="4">
        <v>2.9</v>
      </c>
      <c r="Q152" s="4">
        <v>0.55000000000000004</v>
      </c>
      <c r="R152" s="4">
        <v>1.6</v>
      </c>
      <c r="S152" s="4">
        <v>2</v>
      </c>
      <c r="T152" s="4">
        <v>0.78600000000000003</v>
      </c>
      <c r="U152" s="4">
        <v>1</v>
      </c>
      <c r="V152" s="4">
        <v>2.9</v>
      </c>
      <c r="W152" s="4">
        <v>0.6</v>
      </c>
      <c r="X152" s="4">
        <v>0.4</v>
      </c>
      <c r="Y152" s="4">
        <v>0.7</v>
      </c>
      <c r="Z152" s="4">
        <v>0.6</v>
      </c>
      <c r="AA152" s="4">
        <v>1.8</v>
      </c>
      <c r="AB152" s="4">
        <v>5.5</v>
      </c>
      <c r="AC152" s="10">
        <f t="shared" si="14"/>
        <v>1.1270491803278688</v>
      </c>
      <c r="AD152" s="10">
        <f t="shared" si="15"/>
        <v>0.38888888888888884</v>
      </c>
      <c r="AE152" s="12">
        <f>100*(AC152/TOTAL_BASIC!$D$302)</f>
        <v>117.23787010840077</v>
      </c>
      <c r="AF152" s="9"/>
      <c r="AG152" s="9"/>
      <c r="AH152" s="12">
        <f t="shared" si="16"/>
        <v>85</v>
      </c>
      <c r="AI152" s="12">
        <f t="shared" si="17"/>
        <v>95.5</v>
      </c>
      <c r="AJ152" s="12">
        <f t="shared" si="18"/>
        <v>37</v>
      </c>
      <c r="AK152" s="12">
        <f t="shared" si="19"/>
        <v>13.200000000000001</v>
      </c>
      <c r="AL152" s="12">
        <f t="shared" si="20"/>
        <v>45.300000000000004</v>
      </c>
    </row>
    <row r="153" spans="1:38" ht="15.75" customHeight="1">
      <c r="A153" s="1" t="s">
        <v>201</v>
      </c>
      <c r="B153" s="7" t="s">
        <v>107</v>
      </c>
      <c r="C153" s="4" t="s">
        <v>8</v>
      </c>
      <c r="D153" s="4">
        <v>33</v>
      </c>
      <c r="E153" s="4">
        <v>302</v>
      </c>
      <c r="F153" s="4">
        <v>33</v>
      </c>
      <c r="G153" s="4">
        <v>5</v>
      </c>
      <c r="H153" s="4">
        <v>9.1999999999999993</v>
      </c>
      <c r="I153" s="4">
        <v>1</v>
      </c>
      <c r="J153" s="4">
        <v>3</v>
      </c>
      <c r="K153" s="4">
        <v>0.33700000000000002</v>
      </c>
      <c r="L153" s="4">
        <v>0.3</v>
      </c>
      <c r="M153" s="4">
        <v>1.5</v>
      </c>
      <c r="N153" s="4">
        <v>0.18</v>
      </c>
      <c r="O153" s="4">
        <v>0.7</v>
      </c>
      <c r="P153" s="4">
        <v>1.5</v>
      </c>
      <c r="Q153" s="4">
        <v>0.5</v>
      </c>
      <c r="R153" s="4">
        <v>0.6</v>
      </c>
      <c r="S153" s="4">
        <v>0.6</v>
      </c>
      <c r="T153" s="4">
        <v>0.95199999999999996</v>
      </c>
      <c r="U153" s="4">
        <v>0.4</v>
      </c>
      <c r="V153" s="4">
        <v>1.2</v>
      </c>
      <c r="W153" s="4">
        <v>0.4</v>
      </c>
      <c r="X153" s="4">
        <v>0.2</v>
      </c>
      <c r="Y153" s="4">
        <v>0.1</v>
      </c>
      <c r="Z153" s="4">
        <v>0.2</v>
      </c>
      <c r="AA153" s="4">
        <v>1.4</v>
      </c>
      <c r="AB153" s="4">
        <v>2.9</v>
      </c>
      <c r="AC153" s="10">
        <f t="shared" si="14"/>
        <v>0.83718244803695141</v>
      </c>
      <c r="AD153" s="10">
        <f t="shared" si="15"/>
        <v>7.1428571428571438E-2</v>
      </c>
      <c r="AE153" s="12">
        <f>100*(AC153/TOTAL_BASIC!$D$302)</f>
        <v>87.085363099626676</v>
      </c>
      <c r="AF153" s="9"/>
      <c r="AG153" s="9"/>
      <c r="AH153" s="12">
        <f t="shared" si="16"/>
        <v>24.3</v>
      </c>
      <c r="AI153" s="12">
        <f t="shared" si="17"/>
        <v>20.9</v>
      </c>
      <c r="AJ153" s="12">
        <f t="shared" si="18"/>
        <v>9.3000000000000007</v>
      </c>
      <c r="AK153" s="12">
        <f t="shared" si="19"/>
        <v>5.5</v>
      </c>
      <c r="AL153" s="12">
        <f t="shared" si="20"/>
        <v>97.2</v>
      </c>
    </row>
    <row r="154" spans="1:38" ht="15.75" customHeight="1">
      <c r="A154" s="1" t="s">
        <v>255</v>
      </c>
      <c r="B154" s="7" t="s">
        <v>137</v>
      </c>
      <c r="C154" s="4" t="s">
        <v>8</v>
      </c>
      <c r="D154" s="4">
        <v>33</v>
      </c>
      <c r="E154" s="4">
        <v>300</v>
      </c>
      <c r="F154" s="4">
        <v>33</v>
      </c>
      <c r="G154" s="4">
        <v>0</v>
      </c>
      <c r="H154" s="4">
        <v>9.1</v>
      </c>
      <c r="I154" s="4">
        <v>0.8</v>
      </c>
      <c r="J154" s="4">
        <v>2</v>
      </c>
      <c r="K154" s="4">
        <v>0.39400000000000002</v>
      </c>
      <c r="L154" s="4">
        <v>0.3</v>
      </c>
      <c r="M154" s="4">
        <v>1</v>
      </c>
      <c r="N154" s="4">
        <v>0.27300000000000002</v>
      </c>
      <c r="O154" s="4">
        <v>0.5</v>
      </c>
      <c r="P154" s="4">
        <v>1</v>
      </c>
      <c r="Q154" s="4">
        <v>0.51500000000000001</v>
      </c>
      <c r="R154" s="4">
        <v>0.4</v>
      </c>
      <c r="S154" s="4">
        <v>0.6</v>
      </c>
      <c r="T154" s="4">
        <v>0.57099999999999995</v>
      </c>
      <c r="U154" s="4">
        <v>0.3</v>
      </c>
      <c r="V154" s="4">
        <v>1</v>
      </c>
      <c r="W154" s="4">
        <v>0.5</v>
      </c>
      <c r="X154" s="4">
        <v>0.4</v>
      </c>
      <c r="Y154" s="4">
        <v>0</v>
      </c>
      <c r="Z154" s="4">
        <v>0.3</v>
      </c>
      <c r="AA154" s="4">
        <v>1.1000000000000001</v>
      </c>
      <c r="AB154" s="4">
        <v>2.2000000000000002</v>
      </c>
      <c r="AC154" s="10">
        <f t="shared" si="14"/>
        <v>0.85803432137285496</v>
      </c>
      <c r="AD154" s="10">
        <f t="shared" si="15"/>
        <v>0</v>
      </c>
      <c r="AE154" s="12">
        <f>100*(AC154/TOTAL_BASIC!$D$302)</f>
        <v>89.254415932760651</v>
      </c>
      <c r="AF154" s="9"/>
      <c r="AG154" s="9"/>
      <c r="AH154" s="12">
        <f t="shared" si="16"/>
        <v>0</v>
      </c>
      <c r="AI154" s="12">
        <f t="shared" si="17"/>
        <v>27.6</v>
      </c>
      <c r="AJ154" s="12">
        <f t="shared" si="18"/>
        <v>3.8</v>
      </c>
      <c r="AK154" s="12">
        <f t="shared" si="19"/>
        <v>4.9000000000000004</v>
      </c>
      <c r="AL154" s="12">
        <f t="shared" si="20"/>
        <v>6</v>
      </c>
    </row>
    <row r="155" spans="1:38" ht="15.75" customHeight="1">
      <c r="A155" s="1" t="s">
        <v>275</v>
      </c>
      <c r="B155" s="7" t="s">
        <v>114</v>
      </c>
      <c r="C155" s="4" t="s">
        <v>119</v>
      </c>
      <c r="D155" s="4">
        <v>14</v>
      </c>
      <c r="E155" s="4">
        <v>286</v>
      </c>
      <c r="F155" s="4">
        <v>14</v>
      </c>
      <c r="G155" s="4">
        <v>9</v>
      </c>
      <c r="H155" s="4">
        <v>20.399999999999999</v>
      </c>
      <c r="I155" s="4">
        <v>2.6</v>
      </c>
      <c r="J155" s="4">
        <v>6.6</v>
      </c>
      <c r="K155" s="4">
        <v>0.39800000000000002</v>
      </c>
      <c r="L155" s="4">
        <v>0.6</v>
      </c>
      <c r="M155" s="4">
        <v>1.9</v>
      </c>
      <c r="N155" s="4">
        <v>0.308</v>
      </c>
      <c r="O155" s="4">
        <v>2.1</v>
      </c>
      <c r="P155" s="4">
        <v>4.8</v>
      </c>
      <c r="Q155" s="4">
        <v>0.433</v>
      </c>
      <c r="R155" s="4">
        <v>1</v>
      </c>
      <c r="S155" s="4">
        <v>1.1000000000000001</v>
      </c>
      <c r="T155" s="4">
        <v>0.875</v>
      </c>
      <c r="U155" s="4">
        <v>0.5</v>
      </c>
      <c r="V155" s="4">
        <v>4</v>
      </c>
      <c r="W155" s="4">
        <v>1.8</v>
      </c>
      <c r="X155" s="4">
        <v>0.8</v>
      </c>
      <c r="Y155" s="4">
        <v>1.2</v>
      </c>
      <c r="Z155" s="4">
        <v>1.1000000000000001</v>
      </c>
      <c r="AA155" s="4">
        <v>2.5</v>
      </c>
      <c r="AB155" s="4">
        <v>6.9</v>
      </c>
      <c r="AC155" s="10">
        <f t="shared" si="14"/>
        <v>0.84310850439882712</v>
      </c>
      <c r="AD155" s="10">
        <f t="shared" si="15"/>
        <v>0.48</v>
      </c>
      <c r="AE155" s="12">
        <f>100*(AC155/TOTAL_BASIC!$D$302)</f>
        <v>87.701803125612528</v>
      </c>
      <c r="AF155" s="9"/>
      <c r="AG155" s="9"/>
      <c r="AH155" s="12">
        <f t="shared" si="16"/>
        <v>89.5</v>
      </c>
      <c r="AI155" s="12">
        <f t="shared" si="17"/>
        <v>23.200000000000003</v>
      </c>
      <c r="AJ155" s="12">
        <f t="shared" si="18"/>
        <v>49.7</v>
      </c>
      <c r="AK155" s="12">
        <f t="shared" si="19"/>
        <v>53</v>
      </c>
      <c r="AL155" s="12">
        <f t="shared" si="20"/>
        <v>81.2</v>
      </c>
    </row>
    <row r="156" spans="1:38" ht="15.75" customHeight="1">
      <c r="A156" s="1" t="s">
        <v>202</v>
      </c>
      <c r="B156" s="7" t="s">
        <v>117</v>
      </c>
      <c r="C156" s="4" t="s">
        <v>85</v>
      </c>
      <c r="D156" s="4">
        <v>27</v>
      </c>
      <c r="E156" s="4">
        <v>268</v>
      </c>
      <c r="F156" s="4">
        <v>27</v>
      </c>
      <c r="G156" s="4">
        <v>0</v>
      </c>
      <c r="H156" s="4">
        <v>9.9</v>
      </c>
      <c r="I156" s="4">
        <v>0.7</v>
      </c>
      <c r="J156" s="4">
        <v>2.5</v>
      </c>
      <c r="K156" s="4">
        <v>0.27900000000000003</v>
      </c>
      <c r="L156" s="4">
        <v>0.4</v>
      </c>
      <c r="M156" s="4">
        <v>1.8</v>
      </c>
      <c r="N156" s="4">
        <v>0.245</v>
      </c>
      <c r="O156" s="4">
        <v>0.3</v>
      </c>
      <c r="P156" s="4">
        <v>0.7</v>
      </c>
      <c r="Q156" s="4">
        <v>0.36799999999999999</v>
      </c>
      <c r="R156" s="4">
        <v>0.1</v>
      </c>
      <c r="S156" s="4">
        <v>0.1</v>
      </c>
      <c r="T156" s="4">
        <v>0.75</v>
      </c>
      <c r="U156" s="4">
        <v>0.4</v>
      </c>
      <c r="V156" s="4">
        <v>1.4</v>
      </c>
      <c r="W156" s="4">
        <v>0.6</v>
      </c>
      <c r="X156" s="4">
        <v>0.2</v>
      </c>
      <c r="Y156" s="4">
        <v>0.4</v>
      </c>
      <c r="Z156" s="4">
        <v>0.5</v>
      </c>
      <c r="AA156" s="4">
        <v>1</v>
      </c>
      <c r="AB156" s="4">
        <v>2</v>
      </c>
      <c r="AC156" s="10">
        <f t="shared" si="14"/>
        <v>0.65703022339027595</v>
      </c>
      <c r="AD156" s="10">
        <f t="shared" si="15"/>
        <v>0.4</v>
      </c>
      <c r="AE156" s="12">
        <f>100*(AC156/TOTAL_BASIC!$D$302)</f>
        <v>68.345574737665245</v>
      </c>
      <c r="AF156" s="9"/>
      <c r="AG156" s="9"/>
      <c r="AH156" s="12">
        <f t="shared" si="16"/>
        <v>86.1</v>
      </c>
      <c r="AI156" s="12">
        <f t="shared" si="17"/>
        <v>1.6</v>
      </c>
      <c r="AJ156" s="12">
        <f t="shared" si="18"/>
        <v>2.7</v>
      </c>
      <c r="AK156" s="12">
        <f t="shared" si="19"/>
        <v>8.7999999999999989</v>
      </c>
      <c r="AL156" s="12">
        <f t="shared" si="20"/>
        <v>35.299999999999997</v>
      </c>
    </row>
    <row r="157" spans="1:38" ht="15.75" customHeight="1">
      <c r="A157" s="1" t="s">
        <v>266</v>
      </c>
      <c r="B157" s="7" t="s">
        <v>96</v>
      </c>
      <c r="C157" s="4" t="s">
        <v>85</v>
      </c>
      <c r="D157" s="4">
        <v>18</v>
      </c>
      <c r="E157" s="4">
        <v>261</v>
      </c>
      <c r="F157" s="4">
        <v>18</v>
      </c>
      <c r="G157" s="4">
        <v>0</v>
      </c>
      <c r="H157" s="4">
        <v>14.5</v>
      </c>
      <c r="I157" s="4">
        <v>1.4</v>
      </c>
      <c r="J157" s="4">
        <v>3.6</v>
      </c>
      <c r="K157" s="4">
        <v>0.38500000000000001</v>
      </c>
      <c r="L157" s="4">
        <v>0.8</v>
      </c>
      <c r="M157" s="4">
        <v>2.5</v>
      </c>
      <c r="N157" s="4">
        <v>0.311</v>
      </c>
      <c r="O157" s="4">
        <v>0.6</v>
      </c>
      <c r="P157" s="4">
        <v>1.1000000000000001</v>
      </c>
      <c r="Q157" s="4">
        <v>0.55000000000000004</v>
      </c>
      <c r="R157" s="4">
        <v>0.1</v>
      </c>
      <c r="S157" s="4">
        <v>0.2</v>
      </c>
      <c r="T157" s="4">
        <v>0.25</v>
      </c>
      <c r="U157" s="4">
        <v>0.4</v>
      </c>
      <c r="V157" s="4">
        <v>2.7</v>
      </c>
      <c r="W157" s="4">
        <v>1.3</v>
      </c>
      <c r="X157" s="4">
        <v>0.3</v>
      </c>
      <c r="Y157" s="4">
        <v>0.6</v>
      </c>
      <c r="Z157" s="4">
        <v>0.6</v>
      </c>
      <c r="AA157" s="4">
        <v>0.8</v>
      </c>
      <c r="AB157" s="4">
        <v>3.6</v>
      </c>
      <c r="AC157" s="10">
        <f t="shared" si="14"/>
        <v>0.83955223880597007</v>
      </c>
      <c r="AD157" s="10">
        <f t="shared" si="15"/>
        <v>0.74999999999999989</v>
      </c>
      <c r="AE157" s="12">
        <f>100*(AC157/TOTAL_BASIC!$D$302)</f>
        <v>87.331873391468136</v>
      </c>
      <c r="AF157" s="9"/>
      <c r="AG157" s="9"/>
      <c r="AH157" s="12">
        <f t="shared" si="16"/>
        <v>98.3</v>
      </c>
      <c r="AI157" s="12">
        <f t="shared" si="17"/>
        <v>22.6</v>
      </c>
      <c r="AJ157" s="12">
        <f t="shared" si="18"/>
        <v>15.4</v>
      </c>
      <c r="AK157" s="12">
        <f t="shared" si="19"/>
        <v>28.7</v>
      </c>
      <c r="AL157" s="12">
        <f t="shared" si="20"/>
        <v>0.5</v>
      </c>
    </row>
    <row r="158" spans="1:38" ht="15.75" customHeight="1">
      <c r="A158" s="1" t="s">
        <v>222</v>
      </c>
      <c r="B158" s="7" t="s">
        <v>240</v>
      </c>
      <c r="C158" s="4" t="s">
        <v>8</v>
      </c>
      <c r="D158" s="4">
        <v>25</v>
      </c>
      <c r="E158" s="4">
        <v>257</v>
      </c>
      <c r="F158" s="4">
        <v>25</v>
      </c>
      <c r="G158" s="4">
        <v>2</v>
      </c>
      <c r="H158" s="4">
        <v>10.3</v>
      </c>
      <c r="I158" s="4">
        <v>1.4</v>
      </c>
      <c r="J158" s="4">
        <v>3</v>
      </c>
      <c r="K158" s="4">
        <v>0.45900000000000002</v>
      </c>
      <c r="L158" s="4">
        <v>0.3</v>
      </c>
      <c r="M158" s="4">
        <v>1</v>
      </c>
      <c r="N158" s="4">
        <v>0.26900000000000002</v>
      </c>
      <c r="O158" s="4">
        <v>1.1000000000000001</v>
      </c>
      <c r="P158" s="4">
        <v>1.9</v>
      </c>
      <c r="Q158" s="4">
        <v>0.56299999999999994</v>
      </c>
      <c r="R158" s="4">
        <v>0.4</v>
      </c>
      <c r="S158" s="4">
        <v>0.6</v>
      </c>
      <c r="T158" s="4">
        <v>0.64300000000000002</v>
      </c>
      <c r="U158" s="4">
        <v>0.1</v>
      </c>
      <c r="V158" s="4">
        <v>0.8</v>
      </c>
      <c r="W158" s="4">
        <v>2</v>
      </c>
      <c r="X158" s="4">
        <v>0.4</v>
      </c>
      <c r="Y158" s="4">
        <v>0.1</v>
      </c>
      <c r="Z158" s="4">
        <v>0.8</v>
      </c>
      <c r="AA158" s="4">
        <v>0.8</v>
      </c>
      <c r="AB158" s="4">
        <v>3.4</v>
      </c>
      <c r="AC158" s="10">
        <f t="shared" si="14"/>
        <v>0.83661417322834641</v>
      </c>
      <c r="AD158" s="10">
        <f t="shared" si="15"/>
        <v>0.125</v>
      </c>
      <c r="AE158" s="12">
        <f>100*(AC158/TOTAL_BASIC!$D$302)</f>
        <v>87.026250037517244</v>
      </c>
      <c r="AF158" s="9"/>
      <c r="AG158" s="9"/>
      <c r="AH158" s="12">
        <f t="shared" si="16"/>
        <v>43.6</v>
      </c>
      <c r="AI158" s="12">
        <f t="shared" si="17"/>
        <v>20.399999999999999</v>
      </c>
      <c r="AJ158" s="12">
        <f t="shared" si="18"/>
        <v>12.7</v>
      </c>
      <c r="AK158" s="12">
        <f t="shared" si="19"/>
        <v>11</v>
      </c>
      <c r="AL158" s="12">
        <f t="shared" si="20"/>
        <v>11.600000000000001</v>
      </c>
    </row>
    <row r="159" spans="1:38" ht="15.75" customHeight="1">
      <c r="A159" s="1" t="s">
        <v>197</v>
      </c>
      <c r="B159" s="7" t="s">
        <v>114</v>
      </c>
      <c r="C159" s="4" t="s">
        <v>85</v>
      </c>
      <c r="D159" s="4">
        <v>26</v>
      </c>
      <c r="E159" s="4">
        <v>252</v>
      </c>
      <c r="F159" s="4">
        <v>26</v>
      </c>
      <c r="G159" s="4">
        <v>0</v>
      </c>
      <c r="H159" s="4">
        <v>9.6999999999999993</v>
      </c>
      <c r="I159" s="4">
        <v>1</v>
      </c>
      <c r="J159" s="4">
        <v>1.8</v>
      </c>
      <c r="K159" s="4">
        <v>0.55300000000000005</v>
      </c>
      <c r="L159" s="4">
        <v>0.2</v>
      </c>
      <c r="M159" s="4">
        <v>0.4</v>
      </c>
      <c r="N159" s="4">
        <v>0.54500000000000004</v>
      </c>
      <c r="O159" s="4">
        <v>0.8</v>
      </c>
      <c r="P159" s="4">
        <v>1.4</v>
      </c>
      <c r="Q159" s="4">
        <v>0.55600000000000005</v>
      </c>
      <c r="R159" s="4">
        <v>0.5</v>
      </c>
      <c r="S159" s="4">
        <v>0.7</v>
      </c>
      <c r="T159" s="4">
        <v>0.70599999999999996</v>
      </c>
      <c r="U159" s="4">
        <v>0.9</v>
      </c>
      <c r="V159" s="4">
        <v>2.8</v>
      </c>
      <c r="W159" s="4">
        <v>0.5</v>
      </c>
      <c r="X159" s="4">
        <v>0.6</v>
      </c>
      <c r="Y159" s="4">
        <v>0.2</v>
      </c>
      <c r="Z159" s="4">
        <v>0.5</v>
      </c>
      <c r="AA159" s="4">
        <v>1.4</v>
      </c>
      <c r="AB159" s="4">
        <v>2.7</v>
      </c>
      <c r="AC159" s="10">
        <f t="shared" si="14"/>
        <v>1.035276073619632</v>
      </c>
      <c r="AD159" s="10">
        <f t="shared" si="15"/>
        <v>0.14285714285714288</v>
      </c>
      <c r="AE159" s="12">
        <f>100*(AC159/TOTAL_BASIC!$D$302)</f>
        <v>107.6914512373319</v>
      </c>
      <c r="AF159" s="9"/>
      <c r="AG159" s="9"/>
      <c r="AH159" s="12">
        <f t="shared" si="16"/>
        <v>51.9</v>
      </c>
      <c r="AI159" s="12">
        <f t="shared" si="17"/>
        <v>82.8</v>
      </c>
      <c r="AJ159" s="12">
        <f t="shared" si="18"/>
        <v>6.6000000000000005</v>
      </c>
      <c r="AK159" s="12">
        <f t="shared" si="19"/>
        <v>8.2000000000000011</v>
      </c>
      <c r="AL159" s="12">
        <f t="shared" si="20"/>
        <v>21.5</v>
      </c>
    </row>
    <row r="160" spans="1:38" ht="15.75" customHeight="1">
      <c r="A160" s="1" t="s">
        <v>270</v>
      </c>
      <c r="B160" s="7" t="s">
        <v>84</v>
      </c>
      <c r="C160" s="4" t="s">
        <v>8</v>
      </c>
      <c r="D160" s="4">
        <v>19</v>
      </c>
      <c r="E160" s="4">
        <v>236</v>
      </c>
      <c r="F160" s="4">
        <v>19</v>
      </c>
      <c r="G160" s="4">
        <v>0</v>
      </c>
      <c r="H160" s="4">
        <v>12.4</v>
      </c>
      <c r="I160" s="4">
        <v>1.1000000000000001</v>
      </c>
      <c r="J160" s="4">
        <v>3</v>
      </c>
      <c r="K160" s="4">
        <v>0.36799999999999999</v>
      </c>
      <c r="L160" s="4">
        <v>0.6</v>
      </c>
      <c r="M160" s="4">
        <v>1.8</v>
      </c>
      <c r="N160" s="4">
        <v>0.314</v>
      </c>
      <c r="O160" s="4">
        <v>0.5</v>
      </c>
      <c r="P160" s="4">
        <v>1.2</v>
      </c>
      <c r="Q160" s="4">
        <v>0.45500000000000002</v>
      </c>
      <c r="R160" s="4">
        <v>0.8</v>
      </c>
      <c r="S160" s="4">
        <v>1.3</v>
      </c>
      <c r="T160" s="4">
        <v>0.64</v>
      </c>
      <c r="U160" s="4">
        <v>0.3</v>
      </c>
      <c r="V160" s="4">
        <v>1.9</v>
      </c>
      <c r="W160" s="4">
        <v>1.8</v>
      </c>
      <c r="X160" s="4">
        <v>0.2</v>
      </c>
      <c r="Y160" s="4">
        <v>0</v>
      </c>
      <c r="Z160" s="4">
        <v>1.2</v>
      </c>
      <c r="AA160" s="4">
        <v>0.8</v>
      </c>
      <c r="AB160" s="4">
        <v>3.6</v>
      </c>
      <c r="AC160" s="10">
        <f t="shared" si="14"/>
        <v>0.75440067057837379</v>
      </c>
      <c r="AD160" s="10">
        <f t="shared" si="15"/>
        <v>0</v>
      </c>
      <c r="AE160" s="12">
        <f>100*(AC160/TOTAL_BASIC!$D$302)</f>
        <v>78.474239962828037</v>
      </c>
      <c r="AF160" s="9"/>
      <c r="AG160" s="9"/>
      <c r="AH160" s="12">
        <f t="shared" si="16"/>
        <v>0</v>
      </c>
      <c r="AI160" s="12">
        <f t="shared" si="17"/>
        <v>7.7</v>
      </c>
      <c r="AJ160" s="12">
        <f t="shared" si="18"/>
        <v>15.4</v>
      </c>
      <c r="AK160" s="12">
        <f>(PERCENTRANK(H$3:H$298,H160))*100</f>
        <v>19.3</v>
      </c>
      <c r="AL160" s="12">
        <f t="shared" si="20"/>
        <v>11</v>
      </c>
    </row>
    <row r="161" spans="1:38" ht="15.75" customHeight="1">
      <c r="A161" s="1" t="s">
        <v>155</v>
      </c>
      <c r="B161" s="7" t="s">
        <v>117</v>
      </c>
      <c r="C161" s="4" t="s">
        <v>8</v>
      </c>
      <c r="D161" s="4">
        <v>13</v>
      </c>
      <c r="E161" s="4">
        <v>220</v>
      </c>
      <c r="F161" s="4">
        <v>13</v>
      </c>
      <c r="G161" s="4">
        <v>0</v>
      </c>
      <c r="H161" s="4">
        <v>16.899999999999999</v>
      </c>
      <c r="I161" s="4">
        <v>4.5999999999999996</v>
      </c>
      <c r="J161" s="4">
        <v>7.7</v>
      </c>
      <c r="K161" s="4">
        <v>0.6</v>
      </c>
      <c r="L161" s="4">
        <v>0.8</v>
      </c>
      <c r="M161" s="4">
        <v>1.6</v>
      </c>
      <c r="N161" s="4">
        <v>0.52400000000000002</v>
      </c>
      <c r="O161" s="4">
        <v>3.8</v>
      </c>
      <c r="P161" s="4">
        <v>6.1</v>
      </c>
      <c r="Q161" s="4">
        <v>0.62</v>
      </c>
      <c r="R161" s="4">
        <v>2.2000000000000002</v>
      </c>
      <c r="S161" s="4">
        <v>2.8</v>
      </c>
      <c r="T161" s="4">
        <v>0.75700000000000001</v>
      </c>
      <c r="U161" s="4">
        <v>0.7</v>
      </c>
      <c r="V161" s="4">
        <v>1.8</v>
      </c>
      <c r="W161" s="4">
        <v>1.3</v>
      </c>
      <c r="X161" s="4">
        <v>0.8</v>
      </c>
      <c r="Y161" s="4">
        <v>0.3</v>
      </c>
      <c r="Z161" s="4">
        <v>1.3</v>
      </c>
      <c r="AA161" s="4">
        <v>2.5</v>
      </c>
      <c r="AB161" s="4">
        <v>12.2</v>
      </c>
      <c r="AC161" s="10">
        <f t="shared" si="14"/>
        <v>1.1923377638780295</v>
      </c>
      <c r="AD161" s="10">
        <f t="shared" si="15"/>
        <v>0.12</v>
      </c>
      <c r="AE161" s="12">
        <f>100*(AC161/TOTAL_BASIC!$D$302)</f>
        <v>124.02931684508044</v>
      </c>
      <c r="AF161" s="9"/>
      <c r="AG161" s="9"/>
      <c r="AH161" s="12">
        <f t="shared" si="16"/>
        <v>41.9</v>
      </c>
      <c r="AI161" s="12">
        <f t="shared" si="17"/>
        <v>98.3</v>
      </c>
      <c r="AJ161" s="12">
        <f t="shared" si="18"/>
        <v>74</v>
      </c>
      <c r="AK161" s="12">
        <f t="shared" ref="AK161:AK180" si="21">(PERCENTRANK(H$3:H$298,H161))*100</f>
        <v>40.799999999999997</v>
      </c>
      <c r="AL161" s="12">
        <f t="shared" si="20"/>
        <v>37.5</v>
      </c>
    </row>
    <row r="162" spans="1:38" ht="15.75" customHeight="1">
      <c r="A162" s="1" t="s">
        <v>242</v>
      </c>
      <c r="B162" s="7" t="s">
        <v>84</v>
      </c>
      <c r="C162" s="4" t="s">
        <v>85</v>
      </c>
      <c r="D162" s="4">
        <v>13</v>
      </c>
      <c r="E162" s="4">
        <v>218</v>
      </c>
      <c r="F162" s="4">
        <v>13</v>
      </c>
      <c r="G162" s="4">
        <v>5</v>
      </c>
      <c r="H162" s="4">
        <v>16.8</v>
      </c>
      <c r="I162" s="4">
        <v>3.5</v>
      </c>
      <c r="J162" s="4">
        <v>7.5</v>
      </c>
      <c r="K162" s="4">
        <v>0.45900000000000002</v>
      </c>
      <c r="L162" s="4">
        <v>1.5</v>
      </c>
      <c r="M162" s="4">
        <v>4</v>
      </c>
      <c r="N162" s="4">
        <v>0.38500000000000001</v>
      </c>
      <c r="O162" s="4">
        <v>1.9</v>
      </c>
      <c r="P162" s="4">
        <v>3.5</v>
      </c>
      <c r="Q162" s="4">
        <v>0.54300000000000004</v>
      </c>
      <c r="R162" s="4">
        <v>1.9</v>
      </c>
      <c r="S162" s="4">
        <v>2.2000000000000002</v>
      </c>
      <c r="T162" s="4">
        <v>0.86199999999999999</v>
      </c>
      <c r="U162" s="4">
        <v>0.4</v>
      </c>
      <c r="V162" s="4">
        <v>2.8</v>
      </c>
      <c r="W162" s="4">
        <v>1.9</v>
      </c>
      <c r="X162" s="4">
        <v>0.1</v>
      </c>
      <c r="Y162" s="4">
        <v>0.2</v>
      </c>
      <c r="Z162" s="4">
        <v>1.7</v>
      </c>
      <c r="AA162" s="4">
        <v>2.6</v>
      </c>
      <c r="AB162" s="4">
        <v>10.4</v>
      </c>
      <c r="AC162" s="10">
        <f t="shared" si="14"/>
        <v>1.0228166797797011</v>
      </c>
      <c r="AD162" s="10">
        <f t="shared" si="15"/>
        <v>7.6923076923076927E-2</v>
      </c>
      <c r="AE162" s="12">
        <f>100*(AC162/TOTAL_BASIC!$D$302)</f>
        <v>106.39540061049919</v>
      </c>
      <c r="AF162" s="9"/>
      <c r="AG162" s="9"/>
      <c r="AH162" s="12">
        <f t="shared" si="16"/>
        <v>27</v>
      </c>
      <c r="AI162" s="12">
        <f t="shared" si="17"/>
        <v>77.3</v>
      </c>
      <c r="AJ162" s="12">
        <f t="shared" si="18"/>
        <v>66.8</v>
      </c>
      <c r="AK162" s="12">
        <f t="shared" si="21"/>
        <v>39.700000000000003</v>
      </c>
      <c r="AL162" s="12">
        <f t="shared" si="20"/>
        <v>76.2</v>
      </c>
    </row>
    <row r="163" spans="1:38" ht="15.75" customHeight="1">
      <c r="A163" s="1" t="s">
        <v>281</v>
      </c>
      <c r="B163" s="7" t="s">
        <v>107</v>
      </c>
      <c r="C163" s="4" t="s">
        <v>8</v>
      </c>
      <c r="D163" s="4">
        <v>16</v>
      </c>
      <c r="E163" s="4">
        <v>202</v>
      </c>
      <c r="F163" s="4">
        <v>16</v>
      </c>
      <c r="G163" s="4">
        <v>0</v>
      </c>
      <c r="H163" s="4">
        <v>12.6</v>
      </c>
      <c r="I163" s="4">
        <v>1</v>
      </c>
      <c r="J163" s="4">
        <v>3.2</v>
      </c>
      <c r="K163" s="4">
        <v>0.314</v>
      </c>
      <c r="L163" s="4">
        <v>0.5</v>
      </c>
      <c r="M163" s="4">
        <v>2.2999999999999998</v>
      </c>
      <c r="N163" s="4">
        <v>0.216</v>
      </c>
      <c r="O163" s="4">
        <v>0.5</v>
      </c>
      <c r="P163" s="4">
        <v>0.9</v>
      </c>
      <c r="Q163" s="4">
        <v>0.57099999999999995</v>
      </c>
      <c r="R163" s="4">
        <v>0</v>
      </c>
      <c r="S163" s="4">
        <v>0.1</v>
      </c>
      <c r="T163" s="4">
        <v>0</v>
      </c>
      <c r="U163" s="4">
        <v>0.1</v>
      </c>
      <c r="V163" s="4">
        <v>1.2</v>
      </c>
      <c r="W163" s="4">
        <v>0.7</v>
      </c>
      <c r="X163" s="4">
        <v>0.5</v>
      </c>
      <c r="Y163" s="4">
        <v>0.1</v>
      </c>
      <c r="Z163" s="4">
        <v>0.4</v>
      </c>
      <c r="AA163" s="4">
        <v>0.8</v>
      </c>
      <c r="AB163" s="4">
        <v>2.5</v>
      </c>
      <c r="AC163" s="10">
        <f t="shared" si="14"/>
        <v>0.686059275521405</v>
      </c>
      <c r="AD163" s="10">
        <f t="shared" si="15"/>
        <v>0.125</v>
      </c>
      <c r="AE163" s="12">
        <f>100*(AC163/TOTAL_BASIC!$D$302)</f>
        <v>71.365233775196558</v>
      </c>
      <c r="AF163" s="9"/>
      <c r="AG163" s="9"/>
      <c r="AH163" s="12">
        <f t="shared" si="16"/>
        <v>43.6</v>
      </c>
      <c r="AI163" s="12">
        <f t="shared" si="17"/>
        <v>2.7</v>
      </c>
      <c r="AJ163" s="12">
        <f t="shared" si="18"/>
        <v>5.5</v>
      </c>
      <c r="AK163" s="12">
        <f t="shared" si="21"/>
        <v>19.8</v>
      </c>
      <c r="AL163" s="12">
        <f t="shared" si="20"/>
        <v>0</v>
      </c>
    </row>
    <row r="164" spans="1:38" ht="15.75" customHeight="1">
      <c r="A164" s="1" t="s">
        <v>207</v>
      </c>
      <c r="B164" s="7" t="s">
        <v>93</v>
      </c>
      <c r="C164" s="4" t="s">
        <v>88</v>
      </c>
      <c r="D164" s="4">
        <v>19</v>
      </c>
      <c r="E164" s="4">
        <v>202</v>
      </c>
      <c r="F164" s="4">
        <v>19</v>
      </c>
      <c r="G164" s="4">
        <v>1</v>
      </c>
      <c r="H164" s="4">
        <v>10.6</v>
      </c>
      <c r="I164" s="4">
        <v>1</v>
      </c>
      <c r="J164" s="4">
        <v>3.1</v>
      </c>
      <c r="K164" s="4">
        <v>0.32800000000000001</v>
      </c>
      <c r="L164" s="4">
        <v>0.4</v>
      </c>
      <c r="M164" s="4">
        <v>1.4</v>
      </c>
      <c r="N164" s="4">
        <v>0.26900000000000002</v>
      </c>
      <c r="O164" s="4">
        <v>0.6</v>
      </c>
      <c r="P164" s="4">
        <v>1.7</v>
      </c>
      <c r="Q164" s="4">
        <v>0.375</v>
      </c>
      <c r="R164" s="4">
        <v>0.6</v>
      </c>
      <c r="S164" s="4">
        <v>0.9</v>
      </c>
      <c r="T164" s="4">
        <v>0.70599999999999996</v>
      </c>
      <c r="U164" s="4">
        <v>0.7</v>
      </c>
      <c r="V164" s="4">
        <v>2.4</v>
      </c>
      <c r="W164" s="4">
        <v>0.6</v>
      </c>
      <c r="X164" s="4">
        <v>0.5</v>
      </c>
      <c r="Y164" s="4">
        <v>0.7</v>
      </c>
      <c r="Z164" s="4">
        <v>0.6</v>
      </c>
      <c r="AA164" s="4">
        <v>1.6</v>
      </c>
      <c r="AB164" s="4">
        <v>3</v>
      </c>
      <c r="AC164" s="10">
        <f t="shared" si="14"/>
        <v>0.732421875</v>
      </c>
      <c r="AD164" s="10">
        <f t="shared" si="15"/>
        <v>0.43749999999999994</v>
      </c>
      <c r="AE164" s="12">
        <f>100*(AC164/TOTAL_BASIC!$D$302)</f>
        <v>76.18796246391102</v>
      </c>
      <c r="AF164" s="9"/>
      <c r="AG164" s="9"/>
      <c r="AH164" s="12">
        <f t="shared" si="16"/>
        <v>88.3</v>
      </c>
      <c r="AI164" s="12">
        <f t="shared" si="17"/>
        <v>4.9000000000000004</v>
      </c>
      <c r="AJ164" s="12">
        <f t="shared" si="18"/>
        <v>11</v>
      </c>
      <c r="AK164" s="12">
        <f t="shared" si="21"/>
        <v>12.7</v>
      </c>
      <c r="AL164" s="12">
        <f t="shared" si="20"/>
        <v>21.5</v>
      </c>
    </row>
    <row r="165" spans="1:38" ht="15.75" customHeight="1">
      <c r="A165" s="1" t="s">
        <v>271</v>
      </c>
      <c r="B165" s="7" t="s">
        <v>117</v>
      </c>
      <c r="C165" s="4" t="s">
        <v>8</v>
      </c>
      <c r="D165" s="4">
        <v>12</v>
      </c>
      <c r="E165" s="4">
        <v>196</v>
      </c>
      <c r="F165" s="4">
        <v>12</v>
      </c>
      <c r="G165" s="4">
        <v>1</v>
      </c>
      <c r="H165" s="4">
        <v>16.3</v>
      </c>
      <c r="I165" s="4">
        <v>1.4</v>
      </c>
      <c r="J165" s="4">
        <v>5.0999999999999996</v>
      </c>
      <c r="K165" s="4">
        <v>0.27900000000000003</v>
      </c>
      <c r="L165" s="4">
        <v>0.9</v>
      </c>
      <c r="M165" s="4">
        <v>2.4</v>
      </c>
      <c r="N165" s="4">
        <v>0.379</v>
      </c>
      <c r="O165" s="4">
        <v>0.5</v>
      </c>
      <c r="P165" s="4">
        <v>2.7</v>
      </c>
      <c r="Q165" s="4">
        <v>0.188</v>
      </c>
      <c r="R165" s="4">
        <v>0.3</v>
      </c>
      <c r="S165" s="4">
        <v>0.5</v>
      </c>
      <c r="T165" s="4">
        <v>0.5</v>
      </c>
      <c r="U165" s="4">
        <v>0</v>
      </c>
      <c r="V165" s="4">
        <v>1.6</v>
      </c>
      <c r="W165" s="4">
        <v>2.2000000000000002</v>
      </c>
      <c r="X165" s="4">
        <v>0.3</v>
      </c>
      <c r="Y165" s="4">
        <v>0.2</v>
      </c>
      <c r="Z165" s="4">
        <v>1.1000000000000001</v>
      </c>
      <c r="AA165" s="4">
        <v>1</v>
      </c>
      <c r="AB165" s="4">
        <v>4</v>
      </c>
      <c r="AC165" s="10">
        <f t="shared" si="14"/>
        <v>0.62305295950155759</v>
      </c>
      <c r="AD165" s="10">
        <f t="shared" si="15"/>
        <v>0.2</v>
      </c>
      <c r="AE165" s="12">
        <f>100*(AC165/TOTAL_BASIC!$D$302)</f>
        <v>64.81119299110685</v>
      </c>
      <c r="AF165" s="9"/>
      <c r="AG165" s="9"/>
      <c r="AH165" s="12">
        <f t="shared" si="16"/>
        <v>67.400000000000006</v>
      </c>
      <c r="AI165" s="12">
        <f t="shared" si="17"/>
        <v>1.0999999999999999</v>
      </c>
      <c r="AJ165" s="12">
        <f t="shared" si="18"/>
        <v>22</v>
      </c>
      <c r="AK165" s="12">
        <f t="shared" si="21"/>
        <v>37</v>
      </c>
      <c r="AL165" s="12">
        <f t="shared" si="20"/>
        <v>2.1999999999999997</v>
      </c>
    </row>
    <row r="166" spans="1:38" ht="15.75" customHeight="1">
      <c r="A166" s="1" t="s">
        <v>279</v>
      </c>
      <c r="B166" s="7" t="s">
        <v>232</v>
      </c>
      <c r="C166" s="4" t="s">
        <v>8</v>
      </c>
      <c r="D166" s="4">
        <v>14</v>
      </c>
      <c r="E166" s="4">
        <v>187</v>
      </c>
      <c r="F166" s="4">
        <v>14</v>
      </c>
      <c r="G166" s="4">
        <v>2</v>
      </c>
      <c r="H166" s="4">
        <v>13.4</v>
      </c>
      <c r="I166" s="4">
        <v>1.7</v>
      </c>
      <c r="J166" s="4">
        <v>3.8</v>
      </c>
      <c r="K166" s="4">
        <v>0.45300000000000001</v>
      </c>
      <c r="L166" s="4">
        <v>0.4</v>
      </c>
      <c r="M166" s="4">
        <v>1.3</v>
      </c>
      <c r="N166" s="4">
        <v>0.33300000000000002</v>
      </c>
      <c r="O166" s="4">
        <v>1.3</v>
      </c>
      <c r="P166" s="4">
        <v>2.5</v>
      </c>
      <c r="Q166" s="4">
        <v>0.51400000000000001</v>
      </c>
      <c r="R166" s="4">
        <v>1.4</v>
      </c>
      <c r="S166" s="4">
        <v>1.9</v>
      </c>
      <c r="T166" s="4">
        <v>0.73099999999999998</v>
      </c>
      <c r="U166" s="4">
        <v>0.4</v>
      </c>
      <c r="V166" s="4">
        <v>1.6</v>
      </c>
      <c r="W166" s="4">
        <v>3.8</v>
      </c>
      <c r="X166" s="4">
        <v>0.6</v>
      </c>
      <c r="Y166" s="4">
        <v>0.1</v>
      </c>
      <c r="Z166" s="4">
        <v>2.1</v>
      </c>
      <c r="AA166" s="4">
        <v>2.1</v>
      </c>
      <c r="AB166" s="4">
        <v>5.2</v>
      </c>
      <c r="AC166" s="10">
        <f t="shared" si="14"/>
        <v>0.77197149643705454</v>
      </c>
      <c r="AD166" s="10">
        <f t="shared" si="15"/>
        <v>4.7619047619047616E-2</v>
      </c>
      <c r="AE166" s="12">
        <f>100*(AC166/TOTAL_BASIC!$D$302)</f>
        <v>80.301991790940875</v>
      </c>
      <c r="AF166" s="9"/>
      <c r="AG166" s="9"/>
      <c r="AH166" s="12">
        <f t="shared" si="16"/>
        <v>15.4</v>
      </c>
      <c r="AI166" s="12">
        <f t="shared" si="17"/>
        <v>8.7999999999999989</v>
      </c>
      <c r="AJ166" s="12">
        <f t="shared" si="18"/>
        <v>33.1</v>
      </c>
      <c r="AK166" s="12">
        <f t="shared" si="21"/>
        <v>22.6</v>
      </c>
      <c r="AL166" s="12">
        <f t="shared" si="20"/>
        <v>30.9</v>
      </c>
    </row>
    <row r="167" spans="1:38" ht="15.75" customHeight="1">
      <c r="A167" s="1" t="s">
        <v>276</v>
      </c>
      <c r="B167" s="7" t="s">
        <v>131</v>
      </c>
      <c r="C167" s="4" t="s">
        <v>94</v>
      </c>
      <c r="D167" s="4">
        <v>11</v>
      </c>
      <c r="E167" s="4">
        <v>178</v>
      </c>
      <c r="F167" s="4">
        <v>11</v>
      </c>
      <c r="G167" s="4">
        <v>0</v>
      </c>
      <c r="H167" s="4">
        <v>16.2</v>
      </c>
      <c r="I167" s="4">
        <v>2.8</v>
      </c>
      <c r="J167" s="4">
        <v>8.5</v>
      </c>
      <c r="K167" s="4">
        <v>0.33</v>
      </c>
      <c r="L167" s="4">
        <v>0.6</v>
      </c>
      <c r="M167" s="4">
        <v>2.2999999999999998</v>
      </c>
      <c r="N167" s="4">
        <v>0.28000000000000003</v>
      </c>
      <c r="O167" s="4">
        <v>2.2000000000000002</v>
      </c>
      <c r="P167" s="4">
        <v>6.3</v>
      </c>
      <c r="Q167" s="4">
        <v>0.34799999999999998</v>
      </c>
      <c r="R167" s="4">
        <v>2.5</v>
      </c>
      <c r="S167" s="4">
        <v>3.5</v>
      </c>
      <c r="T167" s="4">
        <v>0.73699999999999999</v>
      </c>
      <c r="U167" s="4">
        <v>0.5</v>
      </c>
      <c r="V167" s="4">
        <v>3.1</v>
      </c>
      <c r="W167" s="4">
        <v>0.6</v>
      </c>
      <c r="X167" s="4">
        <v>0.6</v>
      </c>
      <c r="Y167" s="4">
        <v>0.2</v>
      </c>
      <c r="Z167" s="4">
        <v>0.8</v>
      </c>
      <c r="AA167" s="4">
        <v>2</v>
      </c>
      <c r="AB167" s="4">
        <v>8.8000000000000007</v>
      </c>
      <c r="AC167" s="10">
        <f t="shared" si="14"/>
        <v>0.81180811808118092</v>
      </c>
      <c r="AD167" s="10">
        <f t="shared" si="15"/>
        <v>0.1</v>
      </c>
      <c r="AE167" s="12">
        <f>100*(AC167/TOTAL_BASIC!$D$302)</f>
        <v>84.445875443394229</v>
      </c>
      <c r="AF167" s="9"/>
      <c r="AG167" s="9"/>
      <c r="AH167" s="12">
        <f t="shared" si="16"/>
        <v>33.1</v>
      </c>
      <c r="AI167" s="12">
        <f t="shared" si="17"/>
        <v>14.899999999999999</v>
      </c>
      <c r="AJ167" s="12">
        <f t="shared" si="18"/>
        <v>56.899999999999991</v>
      </c>
      <c r="AK167" s="12">
        <f t="shared" si="21"/>
        <v>36.4</v>
      </c>
      <c r="AL167" s="12">
        <f t="shared" si="20"/>
        <v>32</v>
      </c>
    </row>
    <row r="168" spans="1:38" ht="15.75" customHeight="1">
      <c r="A168" s="1" t="s">
        <v>260</v>
      </c>
      <c r="B168" s="7" t="s">
        <v>161</v>
      </c>
      <c r="C168" s="4" t="s">
        <v>8</v>
      </c>
      <c r="D168" s="4">
        <v>19</v>
      </c>
      <c r="E168" s="4">
        <v>178</v>
      </c>
      <c r="F168" s="4">
        <v>19</v>
      </c>
      <c r="G168" s="4">
        <v>1</v>
      </c>
      <c r="H168" s="4">
        <v>9.4</v>
      </c>
      <c r="I168" s="4">
        <v>1</v>
      </c>
      <c r="J168" s="4">
        <v>2.9</v>
      </c>
      <c r="K168" s="4">
        <v>0.34499999999999997</v>
      </c>
      <c r="L168" s="4">
        <v>0.4</v>
      </c>
      <c r="M168" s="4">
        <v>1.4</v>
      </c>
      <c r="N168" s="4">
        <v>0.308</v>
      </c>
      <c r="O168" s="4">
        <v>0.6</v>
      </c>
      <c r="P168" s="4">
        <v>1.5</v>
      </c>
      <c r="Q168" s="4">
        <v>0.379</v>
      </c>
      <c r="R168" s="4">
        <v>0.7</v>
      </c>
      <c r="S168" s="4">
        <v>0.9</v>
      </c>
      <c r="T168" s="4">
        <v>0.77800000000000002</v>
      </c>
      <c r="U168" s="4">
        <v>0.3</v>
      </c>
      <c r="V168" s="4">
        <v>0.8</v>
      </c>
      <c r="W168" s="4">
        <v>1.2</v>
      </c>
      <c r="X168" s="4">
        <v>0.2</v>
      </c>
      <c r="Y168" s="4">
        <v>0</v>
      </c>
      <c r="Z168" s="4">
        <v>0.7</v>
      </c>
      <c r="AA168" s="4">
        <v>1.7</v>
      </c>
      <c r="AB168" s="4">
        <v>3.2</v>
      </c>
      <c r="AC168" s="10">
        <f t="shared" si="14"/>
        <v>0.80080080080080096</v>
      </c>
      <c r="AD168" s="10">
        <f t="shared" si="15"/>
        <v>0</v>
      </c>
      <c r="AE168" s="12">
        <f>100*(AC168/TOTAL_BASIC!$D$302)</f>
        <v>83.300872673254474</v>
      </c>
      <c r="AF168" s="9"/>
      <c r="AG168" s="9"/>
      <c r="AH168" s="12">
        <f t="shared" si="16"/>
        <v>0</v>
      </c>
      <c r="AI168" s="12">
        <f t="shared" si="17"/>
        <v>13.8</v>
      </c>
      <c r="AJ168" s="12">
        <f t="shared" si="18"/>
        <v>12.1</v>
      </c>
      <c r="AK168" s="12">
        <f t="shared" si="21"/>
        <v>7.7</v>
      </c>
      <c r="AL168" s="12">
        <f t="shared" si="20"/>
        <v>43</v>
      </c>
    </row>
    <row r="169" spans="1:38" ht="15.75" customHeight="1">
      <c r="A169" s="1" t="s">
        <v>261</v>
      </c>
      <c r="B169" s="7" t="s">
        <v>128</v>
      </c>
      <c r="C169" s="4" t="s">
        <v>85</v>
      </c>
      <c r="D169" s="4">
        <v>33</v>
      </c>
      <c r="E169" s="4">
        <v>167</v>
      </c>
      <c r="F169" s="4">
        <v>33</v>
      </c>
      <c r="G169" s="4">
        <v>1</v>
      </c>
      <c r="H169" s="4">
        <v>5.0999999999999996</v>
      </c>
      <c r="I169" s="4">
        <v>0.6</v>
      </c>
      <c r="J169" s="4">
        <v>1.7</v>
      </c>
      <c r="K169" s="4">
        <v>0.33300000000000002</v>
      </c>
      <c r="L169" s="4">
        <v>0.2</v>
      </c>
      <c r="M169" s="4">
        <v>0.9</v>
      </c>
      <c r="N169" s="4">
        <v>0.20699999999999999</v>
      </c>
      <c r="O169" s="4">
        <v>0.4</v>
      </c>
      <c r="P169" s="4">
        <v>0.8</v>
      </c>
      <c r="Q169" s="4">
        <v>0.46400000000000002</v>
      </c>
      <c r="R169" s="4">
        <v>0.5</v>
      </c>
      <c r="S169" s="4">
        <v>0.6</v>
      </c>
      <c r="T169" s="4">
        <v>0.71399999999999997</v>
      </c>
      <c r="U169" s="4">
        <v>0.4</v>
      </c>
      <c r="V169" s="4">
        <v>1</v>
      </c>
      <c r="W169" s="4">
        <v>0.2</v>
      </c>
      <c r="X169" s="4">
        <v>0.1</v>
      </c>
      <c r="Y169" s="4">
        <v>0</v>
      </c>
      <c r="Z169" s="4">
        <v>0.2</v>
      </c>
      <c r="AA169" s="4">
        <v>0.9</v>
      </c>
      <c r="AB169" s="4">
        <v>1.8</v>
      </c>
      <c r="AC169" s="10">
        <f t="shared" si="14"/>
        <v>0.83179297597042512</v>
      </c>
      <c r="AD169" s="10">
        <f t="shared" si="15"/>
        <v>0</v>
      </c>
      <c r="AE169" s="12">
        <f>100*(AC169/TOTAL_BASIC!$D$302)</f>
        <v>86.52473962629746</v>
      </c>
      <c r="AF169" s="9"/>
      <c r="AG169" s="9"/>
      <c r="AH169" s="12">
        <f t="shared" si="16"/>
        <v>0</v>
      </c>
      <c r="AI169" s="12">
        <f t="shared" si="17"/>
        <v>18.7</v>
      </c>
      <c r="AJ169" s="12">
        <f t="shared" si="18"/>
        <v>2.1999999999999997</v>
      </c>
      <c r="AK169" s="12">
        <f t="shared" si="21"/>
        <v>0</v>
      </c>
      <c r="AL169" s="12">
        <f t="shared" si="20"/>
        <v>23.7</v>
      </c>
    </row>
    <row r="170" spans="1:38" ht="15.75" customHeight="1">
      <c r="A170" s="1" t="s">
        <v>280</v>
      </c>
      <c r="B170" s="7" t="s">
        <v>117</v>
      </c>
      <c r="C170" s="4" t="s">
        <v>8</v>
      </c>
      <c r="D170" s="4">
        <v>11</v>
      </c>
      <c r="E170" s="4">
        <v>167</v>
      </c>
      <c r="F170" s="4">
        <v>11</v>
      </c>
      <c r="G170" s="4">
        <v>0</v>
      </c>
      <c r="H170" s="4">
        <v>15.2</v>
      </c>
      <c r="I170" s="4">
        <v>1.6</v>
      </c>
      <c r="J170" s="4">
        <v>4.5</v>
      </c>
      <c r="K170" s="4">
        <v>0.36699999999999999</v>
      </c>
      <c r="L170" s="4">
        <v>1.2</v>
      </c>
      <c r="M170" s="4">
        <v>3.1</v>
      </c>
      <c r="N170" s="4">
        <v>0.38200000000000001</v>
      </c>
      <c r="O170" s="4">
        <v>0.5</v>
      </c>
      <c r="P170" s="4">
        <v>1.4</v>
      </c>
      <c r="Q170" s="4">
        <v>0.33300000000000002</v>
      </c>
      <c r="R170" s="4">
        <v>0.8</v>
      </c>
      <c r="S170" s="4">
        <v>0.8</v>
      </c>
      <c r="T170" s="4">
        <v>1</v>
      </c>
      <c r="U170" s="4">
        <v>0.3</v>
      </c>
      <c r="V170" s="4">
        <v>1.2</v>
      </c>
      <c r="W170" s="4">
        <v>1.7</v>
      </c>
      <c r="X170" s="4">
        <v>0.7</v>
      </c>
      <c r="Y170" s="4">
        <v>0</v>
      </c>
      <c r="Z170" s="4">
        <v>0.4</v>
      </c>
      <c r="AA170" s="4">
        <v>1.1000000000000001</v>
      </c>
      <c r="AB170" s="4">
        <v>5.3</v>
      </c>
      <c r="AC170" s="10">
        <f t="shared" si="14"/>
        <v>1.009139375476009</v>
      </c>
      <c r="AD170" s="10">
        <f t="shared" si="15"/>
        <v>0</v>
      </c>
      <c r="AE170" s="12">
        <f>100*(AC170/TOTAL_BASIC!$D$302)</f>
        <v>104.97266054433555</v>
      </c>
      <c r="AF170" s="9"/>
      <c r="AG170" s="9"/>
      <c r="AH170" s="12">
        <f t="shared" si="16"/>
        <v>0</v>
      </c>
      <c r="AI170" s="12">
        <f t="shared" si="17"/>
        <v>72.899999999999991</v>
      </c>
      <c r="AJ170" s="12">
        <f t="shared" si="18"/>
        <v>34.200000000000003</v>
      </c>
      <c r="AK170" s="12">
        <f t="shared" si="21"/>
        <v>32.5</v>
      </c>
      <c r="AL170" s="12">
        <f t="shared" si="20"/>
        <v>97.7</v>
      </c>
    </row>
    <row r="171" spans="1:38" ht="15.75" customHeight="1">
      <c r="A171" s="1" t="s">
        <v>284</v>
      </c>
      <c r="B171" s="7" t="s">
        <v>161</v>
      </c>
      <c r="C171" s="4" t="s">
        <v>85</v>
      </c>
      <c r="D171" s="4">
        <v>11</v>
      </c>
      <c r="E171" s="4">
        <v>154</v>
      </c>
      <c r="F171" s="4">
        <v>11</v>
      </c>
      <c r="G171" s="4">
        <v>0</v>
      </c>
      <c r="H171" s="4">
        <v>14</v>
      </c>
      <c r="I171" s="4">
        <v>1.2</v>
      </c>
      <c r="J171" s="4">
        <v>2.5</v>
      </c>
      <c r="K171" s="4">
        <v>0.48099999999999998</v>
      </c>
      <c r="L171" s="4">
        <v>0.5</v>
      </c>
      <c r="M171" s="4">
        <v>1</v>
      </c>
      <c r="N171" s="4">
        <v>0.45500000000000002</v>
      </c>
      <c r="O171" s="4">
        <v>0.7</v>
      </c>
      <c r="P171" s="4">
        <v>1.5</v>
      </c>
      <c r="Q171" s="4">
        <v>0.5</v>
      </c>
      <c r="R171" s="4">
        <v>0.5</v>
      </c>
      <c r="S171" s="4">
        <v>0.6</v>
      </c>
      <c r="T171" s="4">
        <v>0.85699999999999998</v>
      </c>
      <c r="U171" s="4">
        <v>0.9</v>
      </c>
      <c r="V171" s="4">
        <v>2.1</v>
      </c>
      <c r="W171" s="4">
        <v>1.1000000000000001</v>
      </c>
      <c r="X171" s="4">
        <v>0.2</v>
      </c>
      <c r="Y171" s="4">
        <v>0</v>
      </c>
      <c r="Z171" s="4">
        <v>0.4</v>
      </c>
      <c r="AA171" s="4">
        <v>3.2</v>
      </c>
      <c r="AB171" s="4">
        <v>3.4</v>
      </c>
      <c r="AC171" s="10">
        <f t="shared" si="14"/>
        <v>1.0745891276864727</v>
      </c>
      <c r="AD171" s="10">
        <f t="shared" si="15"/>
        <v>0</v>
      </c>
      <c r="AE171" s="12">
        <f>100*(AC171/TOTAL_BASIC!$D$302)</f>
        <v>111.78087236171621</v>
      </c>
      <c r="AF171" s="9"/>
      <c r="AG171" s="9"/>
      <c r="AH171" s="12">
        <f t="shared" si="16"/>
        <v>0</v>
      </c>
      <c r="AI171" s="12">
        <f t="shared" si="17"/>
        <v>92.2</v>
      </c>
      <c r="AJ171" s="12">
        <f t="shared" si="18"/>
        <v>12.7</v>
      </c>
      <c r="AK171" s="12">
        <f t="shared" si="21"/>
        <v>27.6</v>
      </c>
      <c r="AL171" s="12">
        <f t="shared" si="20"/>
        <v>74</v>
      </c>
    </row>
    <row r="172" spans="1:38" ht="15.75" customHeight="1">
      <c r="A172" s="1" t="s">
        <v>274</v>
      </c>
      <c r="B172" s="7" t="s">
        <v>128</v>
      </c>
      <c r="C172" s="4" t="s">
        <v>85</v>
      </c>
      <c r="D172" s="4">
        <v>9</v>
      </c>
      <c r="E172" s="4">
        <v>152</v>
      </c>
      <c r="F172" s="4">
        <v>9</v>
      </c>
      <c r="G172" s="4">
        <v>0</v>
      </c>
      <c r="H172" s="4">
        <v>16.899999999999999</v>
      </c>
      <c r="I172" s="4">
        <v>3</v>
      </c>
      <c r="J172" s="4">
        <v>5.8</v>
      </c>
      <c r="K172" s="4">
        <v>0.51900000000000002</v>
      </c>
      <c r="L172" s="4">
        <v>0.1</v>
      </c>
      <c r="M172" s="4">
        <v>0.7</v>
      </c>
      <c r="N172" s="4">
        <v>0.16700000000000001</v>
      </c>
      <c r="O172" s="4">
        <v>2.9</v>
      </c>
      <c r="P172" s="4">
        <v>5.0999999999999996</v>
      </c>
      <c r="Q172" s="4">
        <v>0.56499999999999995</v>
      </c>
      <c r="R172" s="4">
        <v>2.1</v>
      </c>
      <c r="S172" s="4">
        <v>2.2999999999999998</v>
      </c>
      <c r="T172" s="4">
        <v>0.90500000000000003</v>
      </c>
      <c r="U172" s="4">
        <v>2</v>
      </c>
      <c r="V172" s="4">
        <v>5.6</v>
      </c>
      <c r="W172" s="4">
        <v>2</v>
      </c>
      <c r="X172" s="4">
        <v>0.3</v>
      </c>
      <c r="Y172" s="4">
        <v>0.7</v>
      </c>
      <c r="Z172" s="4">
        <v>1</v>
      </c>
      <c r="AA172" s="4">
        <v>2.4</v>
      </c>
      <c r="AB172" s="4">
        <v>8.1999999999999993</v>
      </c>
      <c r="AC172" s="10">
        <f t="shared" si="14"/>
        <v>1.0496671786994367</v>
      </c>
      <c r="AD172" s="10">
        <f t="shared" si="15"/>
        <v>0.29166666666666669</v>
      </c>
      <c r="AE172" s="12">
        <f>100*(AC172/TOTAL_BASIC!$D$302)</f>
        <v>109.18844226266735</v>
      </c>
      <c r="AF172" s="9"/>
      <c r="AG172" s="9"/>
      <c r="AH172" s="12">
        <f t="shared" si="16"/>
        <v>79.5</v>
      </c>
      <c r="AI172" s="12">
        <f t="shared" si="17"/>
        <v>86.7</v>
      </c>
      <c r="AJ172" s="12">
        <f t="shared" si="18"/>
        <v>54.1</v>
      </c>
      <c r="AK172" s="12">
        <f t="shared" si="21"/>
        <v>40.799999999999997</v>
      </c>
      <c r="AL172" s="12">
        <f t="shared" si="20"/>
        <v>91.7</v>
      </c>
    </row>
    <row r="173" spans="1:38" ht="15.75" customHeight="1">
      <c r="A173" s="1" t="s">
        <v>265</v>
      </c>
      <c r="B173" s="7" t="s">
        <v>93</v>
      </c>
      <c r="C173" s="4" t="s">
        <v>85</v>
      </c>
      <c r="D173" s="4">
        <v>16</v>
      </c>
      <c r="E173" s="4">
        <v>149</v>
      </c>
      <c r="F173" s="4">
        <v>16</v>
      </c>
      <c r="G173" s="4">
        <v>0</v>
      </c>
      <c r="H173" s="4">
        <v>9.3000000000000007</v>
      </c>
      <c r="I173" s="4">
        <v>1.4</v>
      </c>
      <c r="J173" s="4">
        <v>2.8</v>
      </c>
      <c r="K173" s="4">
        <v>0.48899999999999999</v>
      </c>
      <c r="L173" s="4">
        <v>0.3</v>
      </c>
      <c r="M173" s="4">
        <v>0.9</v>
      </c>
      <c r="N173" s="4">
        <v>0.33300000000000002</v>
      </c>
      <c r="O173" s="4">
        <v>1.1000000000000001</v>
      </c>
      <c r="P173" s="4">
        <v>1.9</v>
      </c>
      <c r="Q173" s="4">
        <v>0.56699999999999995</v>
      </c>
      <c r="R173" s="4">
        <v>0.6</v>
      </c>
      <c r="S173" s="4">
        <v>0.9</v>
      </c>
      <c r="T173" s="4">
        <v>0.64300000000000002</v>
      </c>
      <c r="U173" s="4">
        <v>0.5</v>
      </c>
      <c r="V173" s="4">
        <v>1.4</v>
      </c>
      <c r="W173" s="4">
        <v>0.4</v>
      </c>
      <c r="X173" s="4">
        <v>0.3</v>
      </c>
      <c r="Y173" s="4">
        <v>0.1</v>
      </c>
      <c r="Z173" s="4">
        <v>0.7</v>
      </c>
      <c r="AA173" s="4">
        <v>1.9</v>
      </c>
      <c r="AB173" s="4">
        <v>3.6</v>
      </c>
      <c r="AC173" s="10">
        <f t="shared" si="14"/>
        <v>0.92402464065708423</v>
      </c>
      <c r="AD173" s="10">
        <f t="shared" si="15"/>
        <v>5.2631578947368425E-2</v>
      </c>
      <c r="AE173" s="12">
        <f>100*(AC173/TOTAL_BASIC!$D$302)</f>
        <v>96.118858599233931</v>
      </c>
      <c r="AF173" s="9"/>
      <c r="AG173" s="9"/>
      <c r="AH173" s="12">
        <f t="shared" si="16"/>
        <v>17.100000000000001</v>
      </c>
      <c r="AI173" s="12">
        <f t="shared" si="17"/>
        <v>46.9</v>
      </c>
      <c r="AJ173" s="12">
        <f t="shared" si="18"/>
        <v>15.4</v>
      </c>
      <c r="AK173" s="12">
        <f t="shared" si="21"/>
        <v>6</v>
      </c>
      <c r="AL173" s="12">
        <f t="shared" si="20"/>
        <v>11.600000000000001</v>
      </c>
    </row>
    <row r="174" spans="1:38" ht="15.75" customHeight="1">
      <c r="A174" s="1" t="s">
        <v>164</v>
      </c>
      <c r="B174" s="7" t="s">
        <v>114</v>
      </c>
      <c r="C174" s="4" t="s">
        <v>8</v>
      </c>
      <c r="D174" s="4">
        <v>10</v>
      </c>
      <c r="E174" s="4">
        <v>148</v>
      </c>
      <c r="F174" s="4">
        <v>10</v>
      </c>
      <c r="G174" s="4">
        <v>0</v>
      </c>
      <c r="H174" s="4">
        <v>14.8</v>
      </c>
      <c r="I174" s="4">
        <v>1.2</v>
      </c>
      <c r="J174" s="4">
        <v>2.6</v>
      </c>
      <c r="K174" s="4">
        <v>0.46200000000000002</v>
      </c>
      <c r="L174" s="4">
        <v>0.9</v>
      </c>
      <c r="M174" s="4">
        <v>2</v>
      </c>
      <c r="N174" s="4">
        <v>0.45</v>
      </c>
      <c r="O174" s="4">
        <v>0.3</v>
      </c>
      <c r="P174" s="4">
        <v>0.6</v>
      </c>
      <c r="Q174" s="4">
        <v>0.5</v>
      </c>
      <c r="R174" s="4">
        <v>0.5</v>
      </c>
      <c r="S174" s="4">
        <v>0.6</v>
      </c>
      <c r="T174" s="4">
        <v>0.83299999999999996</v>
      </c>
      <c r="U174" s="4">
        <v>0.1</v>
      </c>
      <c r="V174" s="4">
        <v>1.3</v>
      </c>
      <c r="W174" s="4">
        <v>1.1000000000000001</v>
      </c>
      <c r="X174" s="4">
        <v>0.5</v>
      </c>
      <c r="Y174" s="4">
        <v>0.1</v>
      </c>
      <c r="Z174" s="4">
        <v>1</v>
      </c>
      <c r="AA174" s="4">
        <v>1.3</v>
      </c>
      <c r="AB174" s="4">
        <v>3.8</v>
      </c>
      <c r="AC174" s="10">
        <f t="shared" si="14"/>
        <v>0.9834368530020704</v>
      </c>
      <c r="AD174" s="10">
        <f t="shared" si="15"/>
        <v>7.6923076923076927E-2</v>
      </c>
      <c r="AE174" s="12">
        <f>100*(AC174/TOTAL_BASIC!$D$302)</f>
        <v>102.29903365754677</v>
      </c>
      <c r="AF174" s="9"/>
      <c r="AG174" s="9"/>
      <c r="AH174" s="12">
        <f t="shared" si="16"/>
        <v>27</v>
      </c>
      <c r="AI174" s="12">
        <f t="shared" si="17"/>
        <v>64.600000000000009</v>
      </c>
      <c r="AJ174" s="12">
        <f t="shared" si="18"/>
        <v>18.7</v>
      </c>
      <c r="AK174" s="12">
        <f t="shared" si="21"/>
        <v>29.799999999999997</v>
      </c>
      <c r="AL174" s="12">
        <f t="shared" si="20"/>
        <v>62.9</v>
      </c>
    </row>
    <row r="175" spans="1:38" ht="15.75" customHeight="1">
      <c r="A175" s="1" t="s">
        <v>259</v>
      </c>
      <c r="B175" s="7" t="s">
        <v>140</v>
      </c>
      <c r="C175" s="4" t="s">
        <v>8</v>
      </c>
      <c r="D175" s="4">
        <v>20</v>
      </c>
      <c r="E175" s="4">
        <v>143</v>
      </c>
      <c r="F175" s="4">
        <v>20</v>
      </c>
      <c r="G175" s="4">
        <v>0</v>
      </c>
      <c r="H175" s="4">
        <v>7.2</v>
      </c>
      <c r="I175" s="4">
        <v>1</v>
      </c>
      <c r="J175" s="4">
        <v>2.2000000000000002</v>
      </c>
      <c r="K175" s="4">
        <v>0.432</v>
      </c>
      <c r="L175" s="4">
        <v>0.4</v>
      </c>
      <c r="M175" s="4">
        <v>1.1000000000000001</v>
      </c>
      <c r="N175" s="4">
        <v>0.38100000000000001</v>
      </c>
      <c r="O175" s="4">
        <v>0.6</v>
      </c>
      <c r="P175" s="4">
        <v>1.2</v>
      </c>
      <c r="Q175" s="4">
        <v>0.47799999999999998</v>
      </c>
      <c r="R175" s="4">
        <v>0.5</v>
      </c>
      <c r="S175" s="4">
        <v>0.6</v>
      </c>
      <c r="T175" s="4">
        <v>0.81799999999999995</v>
      </c>
      <c r="U175" s="4">
        <v>0.1</v>
      </c>
      <c r="V175" s="4">
        <v>0.6</v>
      </c>
      <c r="W175" s="4">
        <v>0.9</v>
      </c>
      <c r="X175" s="4">
        <v>0.2</v>
      </c>
      <c r="Y175" s="4">
        <v>0.1</v>
      </c>
      <c r="Z175" s="4">
        <v>0.6</v>
      </c>
      <c r="AA175" s="4">
        <v>0.9</v>
      </c>
      <c r="AB175" s="4">
        <v>2.8</v>
      </c>
      <c r="AC175" s="10">
        <f t="shared" si="14"/>
        <v>0.91383812010443843</v>
      </c>
      <c r="AD175" s="10">
        <f t="shared" si="15"/>
        <v>0.11111111111111112</v>
      </c>
      <c r="AE175" s="12">
        <f>100*(AC175/TOTAL_BASIC!$D$302)</f>
        <v>95.059236717374077</v>
      </c>
      <c r="AF175" s="9"/>
      <c r="AG175" s="9"/>
      <c r="AH175" s="12">
        <f t="shared" si="16"/>
        <v>40.300000000000004</v>
      </c>
      <c r="AI175" s="12">
        <f t="shared" si="17"/>
        <v>44.1</v>
      </c>
      <c r="AJ175" s="12">
        <f t="shared" si="18"/>
        <v>7.7</v>
      </c>
      <c r="AK175" s="12">
        <f t="shared" si="21"/>
        <v>3.3000000000000003</v>
      </c>
      <c r="AL175" s="12">
        <f t="shared" si="20"/>
        <v>56.899999999999991</v>
      </c>
    </row>
    <row r="176" spans="1:38" ht="15.75" customHeight="1">
      <c r="A176" s="1" t="s">
        <v>285</v>
      </c>
      <c r="B176" s="7" t="s">
        <v>137</v>
      </c>
      <c r="C176" s="4" t="s">
        <v>8</v>
      </c>
      <c r="D176" s="4">
        <v>9</v>
      </c>
      <c r="E176" s="4">
        <v>138</v>
      </c>
      <c r="F176" s="4">
        <v>9</v>
      </c>
      <c r="G176" s="4">
        <v>1</v>
      </c>
      <c r="H176" s="4">
        <v>15.3</v>
      </c>
      <c r="I176" s="4">
        <v>1.8</v>
      </c>
      <c r="J176" s="4">
        <v>3.8</v>
      </c>
      <c r="K176" s="4">
        <v>0.47099999999999997</v>
      </c>
      <c r="L176" s="4">
        <v>0.1</v>
      </c>
      <c r="M176" s="4">
        <v>0.8</v>
      </c>
      <c r="N176" s="4">
        <v>0.14299999999999999</v>
      </c>
      <c r="O176" s="4">
        <v>1.7</v>
      </c>
      <c r="P176" s="4">
        <v>3</v>
      </c>
      <c r="Q176" s="4">
        <v>0.55600000000000005</v>
      </c>
      <c r="R176" s="4">
        <v>1.1000000000000001</v>
      </c>
      <c r="S176" s="4">
        <v>1.6</v>
      </c>
      <c r="T176" s="4">
        <v>0.71399999999999997</v>
      </c>
      <c r="U176" s="4">
        <v>0.1</v>
      </c>
      <c r="V176" s="4">
        <v>1</v>
      </c>
      <c r="W176" s="4">
        <v>2.4</v>
      </c>
      <c r="X176" s="4">
        <v>1</v>
      </c>
      <c r="Y176" s="4">
        <v>0</v>
      </c>
      <c r="Z176" s="4">
        <v>1.6</v>
      </c>
      <c r="AA176" s="4">
        <v>1.8</v>
      </c>
      <c r="AB176" s="4">
        <v>4.8</v>
      </c>
      <c r="AC176" s="10">
        <f t="shared" si="14"/>
        <v>0.78636959370904336</v>
      </c>
      <c r="AD176" s="10">
        <f t="shared" si="15"/>
        <v>0</v>
      </c>
      <c r="AE176" s="12">
        <f>100*(AC176/TOTAL_BASIC!$D$302)</f>
        <v>81.799710157845226</v>
      </c>
      <c r="AF176" s="9"/>
      <c r="AG176" s="9"/>
      <c r="AH176" s="12">
        <f t="shared" si="16"/>
        <v>0</v>
      </c>
      <c r="AI176" s="12">
        <f t="shared" si="17"/>
        <v>12.1</v>
      </c>
      <c r="AJ176" s="12">
        <f t="shared" si="18"/>
        <v>29.799999999999997</v>
      </c>
      <c r="AK176" s="12">
        <f t="shared" si="21"/>
        <v>33.700000000000003</v>
      </c>
      <c r="AL176" s="12">
        <f t="shared" si="20"/>
        <v>23.7</v>
      </c>
    </row>
    <row r="177" spans="1:38" ht="15.75" customHeight="1">
      <c r="A177" s="1" t="s">
        <v>277</v>
      </c>
      <c r="B177" s="7" t="s">
        <v>84</v>
      </c>
      <c r="C177" s="4" t="s">
        <v>88</v>
      </c>
      <c r="D177" s="4">
        <v>22</v>
      </c>
      <c r="E177" s="4">
        <v>120</v>
      </c>
      <c r="F177" s="4">
        <v>22</v>
      </c>
      <c r="G177" s="4">
        <v>0</v>
      </c>
      <c r="H177" s="4">
        <v>5.5</v>
      </c>
      <c r="I177" s="4">
        <v>0.5</v>
      </c>
      <c r="J177" s="4">
        <v>0.9</v>
      </c>
      <c r="K177" s="4">
        <v>0.55000000000000004</v>
      </c>
      <c r="L177" s="4">
        <v>0.1</v>
      </c>
      <c r="M177" s="4">
        <v>0.4</v>
      </c>
      <c r="N177" s="4">
        <v>0.25</v>
      </c>
      <c r="O177" s="4">
        <v>0.4</v>
      </c>
      <c r="P177" s="4">
        <v>0.5</v>
      </c>
      <c r="Q177" s="4">
        <v>0.75</v>
      </c>
      <c r="R177" s="4">
        <v>0.3</v>
      </c>
      <c r="S177" s="4">
        <v>0.5</v>
      </c>
      <c r="T177" s="4">
        <v>0.58299999999999996</v>
      </c>
      <c r="U177" s="4">
        <v>0.4</v>
      </c>
      <c r="V177" s="4">
        <v>1.1000000000000001</v>
      </c>
      <c r="W177" s="4">
        <v>0.3</v>
      </c>
      <c r="X177" s="4">
        <v>0.1</v>
      </c>
      <c r="Y177" s="4">
        <v>0.1</v>
      </c>
      <c r="Z177" s="4">
        <v>0.3</v>
      </c>
      <c r="AA177" s="4">
        <v>0.8</v>
      </c>
      <c r="AB177" s="4">
        <v>1.4</v>
      </c>
      <c r="AC177" s="10">
        <f t="shared" si="14"/>
        <v>0.98591549295774628</v>
      </c>
      <c r="AD177" s="10">
        <f t="shared" si="15"/>
        <v>0.125</v>
      </c>
      <c r="AE177" s="12">
        <f>100*(AC177/TOTAL_BASIC!$D$302)</f>
        <v>102.55686665564583</v>
      </c>
      <c r="AF177" s="9"/>
      <c r="AG177" s="9"/>
      <c r="AH177" s="12">
        <f t="shared" si="16"/>
        <v>43.6</v>
      </c>
      <c r="AI177" s="12">
        <f t="shared" si="17"/>
        <v>65.7</v>
      </c>
      <c r="AJ177" s="12">
        <f t="shared" si="18"/>
        <v>0.5</v>
      </c>
      <c r="AK177" s="12">
        <f t="shared" si="21"/>
        <v>1.0999999999999999</v>
      </c>
      <c r="AL177" s="12">
        <f t="shared" si="20"/>
        <v>7.1</v>
      </c>
    </row>
    <row r="178" spans="1:38" ht="15.75" customHeight="1">
      <c r="A178" s="1" t="s">
        <v>263</v>
      </c>
      <c r="B178" s="7" t="s">
        <v>137</v>
      </c>
      <c r="C178" s="4" t="s">
        <v>8</v>
      </c>
      <c r="D178" s="4">
        <v>17</v>
      </c>
      <c r="E178" s="4">
        <v>120</v>
      </c>
      <c r="F178" s="4">
        <v>17</v>
      </c>
      <c r="G178" s="4">
        <v>0</v>
      </c>
      <c r="H178" s="4">
        <v>7.1</v>
      </c>
      <c r="I178" s="4">
        <v>0.8</v>
      </c>
      <c r="J178" s="4">
        <v>2.1</v>
      </c>
      <c r="K178" s="4">
        <v>0.371</v>
      </c>
      <c r="L178" s="4">
        <v>0.5</v>
      </c>
      <c r="M178" s="4">
        <v>1.5</v>
      </c>
      <c r="N178" s="4">
        <v>0.308</v>
      </c>
      <c r="O178" s="4">
        <v>0.3</v>
      </c>
      <c r="P178" s="4">
        <v>0.5</v>
      </c>
      <c r="Q178" s="4">
        <v>0.55600000000000005</v>
      </c>
      <c r="R178" s="4">
        <v>0.3</v>
      </c>
      <c r="S178" s="4">
        <v>0.5</v>
      </c>
      <c r="T178" s="4">
        <v>0.625</v>
      </c>
      <c r="U178" s="4">
        <v>0.3</v>
      </c>
      <c r="V178" s="4">
        <v>1.1000000000000001</v>
      </c>
      <c r="W178" s="4">
        <v>0.4</v>
      </c>
      <c r="X178" s="4">
        <v>0.3</v>
      </c>
      <c r="Y178" s="4">
        <v>0.2</v>
      </c>
      <c r="Z178" s="4">
        <v>0.2</v>
      </c>
      <c r="AA178" s="4">
        <v>0.9</v>
      </c>
      <c r="AB178" s="4">
        <v>2.2999999999999998</v>
      </c>
      <c r="AC178" s="10">
        <f t="shared" si="14"/>
        <v>0.91269841269841245</v>
      </c>
      <c r="AD178" s="10">
        <f t="shared" si="15"/>
        <v>0.22222222222222224</v>
      </c>
      <c r="AE178" s="12">
        <f>100*(AC178/TOTAL_BASIC!$D$302)</f>
        <v>94.940682113758285</v>
      </c>
      <c r="AF178" s="9"/>
      <c r="AG178" s="9"/>
      <c r="AH178" s="12">
        <f t="shared" si="16"/>
        <v>72.3</v>
      </c>
      <c r="AI178" s="12">
        <f t="shared" si="17"/>
        <v>43.6</v>
      </c>
      <c r="AJ178" s="12">
        <f t="shared" si="18"/>
        <v>4.9000000000000004</v>
      </c>
      <c r="AK178" s="12">
        <f t="shared" si="21"/>
        <v>2.7</v>
      </c>
      <c r="AL178" s="12">
        <f t="shared" si="20"/>
        <v>9.9</v>
      </c>
    </row>
    <row r="179" spans="1:38" ht="15.75" customHeight="1">
      <c r="A179" s="1" t="s">
        <v>130</v>
      </c>
      <c r="B179" s="7" t="s">
        <v>131</v>
      </c>
      <c r="C179" s="4" t="s">
        <v>85</v>
      </c>
      <c r="D179" s="4">
        <v>4</v>
      </c>
      <c r="E179" s="4">
        <v>118</v>
      </c>
      <c r="F179" s="4">
        <v>4</v>
      </c>
      <c r="G179" s="4">
        <v>4</v>
      </c>
      <c r="H179" s="4">
        <v>29.5</v>
      </c>
      <c r="I179" s="4">
        <v>6</v>
      </c>
      <c r="J179" s="4">
        <v>15</v>
      </c>
      <c r="K179" s="4">
        <v>0.4</v>
      </c>
      <c r="L179" s="4">
        <v>1.5</v>
      </c>
      <c r="M179" s="4">
        <v>5.3</v>
      </c>
      <c r="N179" s="4">
        <v>0.28599999999999998</v>
      </c>
      <c r="O179" s="4">
        <v>4.5</v>
      </c>
      <c r="P179" s="4">
        <v>9.8000000000000007</v>
      </c>
      <c r="Q179" s="4">
        <v>0.46200000000000002</v>
      </c>
      <c r="R179" s="4">
        <v>4.5</v>
      </c>
      <c r="S179" s="4">
        <v>5.5</v>
      </c>
      <c r="T179" s="4">
        <v>0.81799999999999995</v>
      </c>
      <c r="U179" s="4">
        <v>1</v>
      </c>
      <c r="V179" s="4">
        <v>4.8</v>
      </c>
      <c r="W179" s="4">
        <v>2</v>
      </c>
      <c r="X179" s="4">
        <v>0.3</v>
      </c>
      <c r="Y179" s="4">
        <v>1.8</v>
      </c>
      <c r="Z179" s="4">
        <v>2</v>
      </c>
      <c r="AA179" s="4">
        <v>1.8</v>
      </c>
      <c r="AB179" s="4">
        <v>18</v>
      </c>
      <c r="AC179" s="10">
        <f t="shared" si="14"/>
        <v>0.92687950566426358</v>
      </c>
      <c r="AD179" s="10">
        <f t="shared" si="15"/>
        <v>1</v>
      </c>
      <c r="AE179" s="12">
        <f>100*(AC179/TOTAL_BASIC!$D$302)</f>
        <v>96.415827266378827</v>
      </c>
      <c r="AF179" s="9"/>
      <c r="AG179" s="9"/>
      <c r="AH179" s="12">
        <f t="shared" si="16"/>
        <v>98.8</v>
      </c>
      <c r="AI179" s="12">
        <f t="shared" si="17"/>
        <v>48</v>
      </c>
      <c r="AJ179" s="12">
        <f t="shared" si="18"/>
        <v>92.2</v>
      </c>
      <c r="AK179" s="12">
        <f t="shared" si="21"/>
        <v>83.899999999999991</v>
      </c>
      <c r="AL179" s="12">
        <f t="shared" si="20"/>
        <v>56.899999999999991</v>
      </c>
    </row>
    <row r="180" spans="1:38" ht="15.75" customHeight="1">
      <c r="A180" s="1" t="s">
        <v>286</v>
      </c>
      <c r="B180" s="7" t="s">
        <v>91</v>
      </c>
      <c r="C180" s="4" t="s">
        <v>94</v>
      </c>
      <c r="D180" s="4">
        <v>15</v>
      </c>
      <c r="E180" s="4">
        <v>116</v>
      </c>
      <c r="F180" s="4">
        <v>15</v>
      </c>
      <c r="G180" s="4">
        <v>0</v>
      </c>
      <c r="H180" s="4">
        <v>7.7</v>
      </c>
      <c r="I180" s="4">
        <v>0.9</v>
      </c>
      <c r="J180" s="4">
        <v>2.6</v>
      </c>
      <c r="K180" s="4">
        <v>0.33300000000000002</v>
      </c>
      <c r="L180" s="4">
        <v>0.5</v>
      </c>
      <c r="M180" s="4">
        <v>1.5</v>
      </c>
      <c r="N180" s="4">
        <v>0.34799999999999998</v>
      </c>
      <c r="O180" s="4">
        <v>0.3</v>
      </c>
      <c r="P180" s="4">
        <v>1.1000000000000001</v>
      </c>
      <c r="Q180" s="4">
        <v>0.313</v>
      </c>
      <c r="R180" s="4">
        <v>0.3</v>
      </c>
      <c r="S180" s="4">
        <v>0.4</v>
      </c>
      <c r="T180" s="4">
        <v>0.83299999999999996</v>
      </c>
      <c r="U180" s="4">
        <v>0.1</v>
      </c>
      <c r="V180" s="4">
        <v>0.6</v>
      </c>
      <c r="W180" s="4">
        <v>0.9</v>
      </c>
      <c r="X180" s="4">
        <v>0.1</v>
      </c>
      <c r="Y180" s="4">
        <v>0.1</v>
      </c>
      <c r="Z180" s="4">
        <v>0.7</v>
      </c>
      <c r="AA180" s="4">
        <v>0.8</v>
      </c>
      <c r="AB180" s="4">
        <v>2.6</v>
      </c>
      <c r="AC180" s="10">
        <f t="shared" si="14"/>
        <v>0.74798619102416575</v>
      </c>
      <c r="AD180" s="10">
        <f t="shared" si="15"/>
        <v>0.125</v>
      </c>
      <c r="AE180" s="12">
        <f>100*(AC180/TOTAL_BASIC!$D$302)</f>
        <v>77.80699319674595</v>
      </c>
      <c r="AF180" s="9"/>
      <c r="AG180" s="9"/>
      <c r="AH180" s="12">
        <f t="shared" si="16"/>
        <v>43.6</v>
      </c>
      <c r="AI180" s="12">
        <f t="shared" si="17"/>
        <v>6.6000000000000005</v>
      </c>
      <c r="AJ180" s="12">
        <f t="shared" si="18"/>
        <v>6</v>
      </c>
      <c r="AK180" s="12">
        <f t="shared" si="21"/>
        <v>4.3999999999999995</v>
      </c>
      <c r="AL180" s="12">
        <f t="shared" si="20"/>
        <v>62.9</v>
      </c>
    </row>
    <row r="181" spans="1:38" ht="15.75" customHeight="1">
      <c r="A181" s="1" t="s">
        <v>287</v>
      </c>
      <c r="B181" s="7" t="s">
        <v>96</v>
      </c>
      <c r="C181" s="4" t="s">
        <v>8</v>
      </c>
      <c r="D181" s="4">
        <v>21</v>
      </c>
      <c r="E181" s="4">
        <v>112</v>
      </c>
      <c r="F181" s="4">
        <v>21</v>
      </c>
      <c r="G181" s="4">
        <v>0</v>
      </c>
      <c r="H181" s="4">
        <v>5.3</v>
      </c>
      <c r="I181" s="4">
        <v>0.5</v>
      </c>
      <c r="J181" s="4">
        <v>1.1000000000000001</v>
      </c>
      <c r="K181" s="4">
        <v>0.435</v>
      </c>
      <c r="L181" s="4">
        <v>0</v>
      </c>
      <c r="M181" s="4">
        <v>0.3</v>
      </c>
      <c r="N181" s="4">
        <v>0</v>
      </c>
      <c r="O181" s="4">
        <v>0.5</v>
      </c>
      <c r="P181" s="4">
        <v>0.8</v>
      </c>
      <c r="Q181" s="4">
        <v>0.58799999999999997</v>
      </c>
      <c r="R181" s="4">
        <v>0.8</v>
      </c>
      <c r="S181" s="4">
        <v>1</v>
      </c>
      <c r="T181" s="4">
        <v>0.76200000000000001</v>
      </c>
      <c r="U181" s="4">
        <v>0.3</v>
      </c>
      <c r="V181" s="4">
        <v>1</v>
      </c>
      <c r="W181" s="4">
        <v>1.1000000000000001</v>
      </c>
      <c r="X181" s="4">
        <v>0.1</v>
      </c>
      <c r="Y181" s="4">
        <v>0.1</v>
      </c>
      <c r="Z181" s="4">
        <v>0.5</v>
      </c>
      <c r="AA181" s="4">
        <v>0.8</v>
      </c>
      <c r="AB181" s="4">
        <v>1.7</v>
      </c>
      <c r="AC181" s="10">
        <f t="shared" ref="AC181:AC182" si="22">(AB181)/(J181+(0.44*S181)+Z181)</f>
        <v>0.83333333333333326</v>
      </c>
      <c r="AD181" s="10">
        <f t="shared" ref="AD181:AD182" si="23">Y181/AA181</f>
        <v>0.125</v>
      </c>
      <c r="AE181" s="12">
        <f>100*(AC181/TOTAL_BASIC!$D$302)</f>
        <v>86.684970625605416</v>
      </c>
      <c r="AF181" s="9"/>
      <c r="AG181" s="9"/>
      <c r="AH181" s="12">
        <f t="shared" ref="AH181:AH182" si="24">(PERCENTRANK(AD$3:AD$298,AD181))*100</f>
        <v>43.6</v>
      </c>
      <c r="AI181" s="12">
        <f t="shared" ref="AI181:AI182" si="25">(PERCENTRANK(AE$3:AE$298,AE181))*100</f>
        <v>19.3</v>
      </c>
      <c r="AJ181" s="12">
        <f t="shared" ref="AJ181:AJ182" si="26">(PERCENTRANK(AB$3:AB$298,AB181))*100</f>
        <v>1.6</v>
      </c>
      <c r="AK181" s="12">
        <f t="shared" ref="AK181:AK182" si="27">(PERCENTRANK(H$3:H$298,H181))*100</f>
        <v>0.5</v>
      </c>
      <c r="AL181" s="12">
        <f t="shared" ref="AL181:AL182" si="28">(PERCENTRANK(T$3:T$298,T181))*100</f>
        <v>38.1</v>
      </c>
    </row>
    <row r="182" spans="1:38" ht="15.75" customHeight="1">
      <c r="A182" s="1" t="s">
        <v>282</v>
      </c>
      <c r="B182" s="7" t="s">
        <v>137</v>
      </c>
      <c r="C182" s="4" t="s">
        <v>85</v>
      </c>
      <c r="D182" s="4">
        <v>16</v>
      </c>
      <c r="E182" s="4">
        <v>110</v>
      </c>
      <c r="F182" s="4">
        <v>16</v>
      </c>
      <c r="G182" s="4">
        <v>0</v>
      </c>
      <c r="H182" s="4">
        <v>6.9</v>
      </c>
      <c r="I182" s="4">
        <v>1.1000000000000001</v>
      </c>
      <c r="J182" s="4">
        <v>2.2999999999999998</v>
      </c>
      <c r="K182" s="4">
        <v>0.5</v>
      </c>
      <c r="L182" s="4">
        <v>0.6</v>
      </c>
      <c r="M182" s="4">
        <v>1.3</v>
      </c>
      <c r="N182" s="4">
        <v>0.5</v>
      </c>
      <c r="O182" s="4">
        <v>0.5</v>
      </c>
      <c r="P182" s="4">
        <v>1</v>
      </c>
      <c r="Q182" s="4">
        <v>0.5</v>
      </c>
      <c r="R182" s="4">
        <v>0.9</v>
      </c>
      <c r="S182" s="4">
        <v>1.2</v>
      </c>
      <c r="T182" s="4">
        <v>0.78900000000000003</v>
      </c>
      <c r="U182" s="4">
        <v>0.6</v>
      </c>
      <c r="V182" s="4">
        <v>1.4</v>
      </c>
      <c r="W182" s="4">
        <v>0.3</v>
      </c>
      <c r="X182" s="4">
        <v>0.1</v>
      </c>
      <c r="Y182" s="4">
        <v>0.1</v>
      </c>
      <c r="Z182" s="4">
        <v>0.9</v>
      </c>
      <c r="AA182" s="4">
        <v>1.5</v>
      </c>
      <c r="AB182" s="4">
        <v>3.8</v>
      </c>
      <c r="AC182" s="10">
        <f t="shared" si="22"/>
        <v>1.0193133047210301</v>
      </c>
      <c r="AD182" s="10">
        <f t="shared" si="23"/>
        <v>6.6666666666666666E-2</v>
      </c>
      <c r="AE182" s="12">
        <f>100*(AC182/TOTAL_BASIC!$D$302)</f>
        <v>106.03097265363755</v>
      </c>
      <c r="AF182" s="9"/>
      <c r="AG182" s="9"/>
      <c r="AH182" s="12">
        <f t="shared" si="24"/>
        <v>22.6</v>
      </c>
      <c r="AI182" s="12">
        <f t="shared" si="25"/>
        <v>76.2</v>
      </c>
      <c r="AJ182" s="12">
        <f t="shared" si="26"/>
        <v>18.7</v>
      </c>
      <c r="AK182" s="12">
        <f t="shared" si="27"/>
        <v>2.1999999999999997</v>
      </c>
      <c r="AL182" s="12">
        <f t="shared" si="28"/>
        <v>46.9</v>
      </c>
    </row>
    <row r="183" spans="1:38" ht="15.75" customHeight="1">
      <c r="A183" s="1" t="s">
        <v>288</v>
      </c>
      <c r="B183" s="7" t="s">
        <v>114</v>
      </c>
      <c r="C183" s="4" t="s">
        <v>94</v>
      </c>
      <c r="D183" s="4">
        <v>14</v>
      </c>
      <c r="E183" s="4">
        <v>104</v>
      </c>
      <c r="F183" s="4">
        <v>14</v>
      </c>
      <c r="G183" s="4">
        <v>0</v>
      </c>
      <c r="H183" s="4">
        <v>7.4</v>
      </c>
      <c r="I183" s="4">
        <v>0.4</v>
      </c>
      <c r="J183" s="4">
        <v>1.3</v>
      </c>
      <c r="K183" s="4">
        <v>0.27800000000000002</v>
      </c>
      <c r="L183" s="4">
        <v>0.2</v>
      </c>
      <c r="M183" s="4">
        <v>0.7</v>
      </c>
      <c r="N183" s="4">
        <v>0.3</v>
      </c>
      <c r="O183" s="4">
        <v>0.1</v>
      </c>
      <c r="P183" s="4">
        <v>0.6</v>
      </c>
      <c r="Q183" s="4">
        <v>0.25</v>
      </c>
      <c r="R183" s="4">
        <v>0.3</v>
      </c>
      <c r="S183" s="4">
        <v>0.3</v>
      </c>
      <c r="T183" s="4">
        <v>1</v>
      </c>
      <c r="U183" s="4">
        <v>0.9</v>
      </c>
      <c r="V183" s="4">
        <v>1.6</v>
      </c>
      <c r="W183" s="4">
        <v>0.3</v>
      </c>
      <c r="X183" s="4">
        <v>0.1</v>
      </c>
      <c r="Y183" s="4">
        <v>0</v>
      </c>
      <c r="Z183" s="4">
        <v>0.1</v>
      </c>
      <c r="AA183" s="4">
        <v>0.6</v>
      </c>
      <c r="AB183" s="4">
        <v>1.2</v>
      </c>
      <c r="AC183" s="10">
        <f t="shared" ref="AC183:AC184" si="29">(AB183)/(J183+(0.44*S183)+Z183)</f>
        <v>0.7832898172323759</v>
      </c>
      <c r="AD183" s="10">
        <f t="shared" ref="AD183:AD184" si="30">Y183/AA183</f>
        <v>0</v>
      </c>
      <c r="AE183" s="12">
        <f>100*(AC183/TOTAL_BASIC!$D$302)</f>
        <v>81.479345757749215</v>
      </c>
      <c r="AF183" s="9"/>
      <c r="AG183" s="9"/>
      <c r="AH183" s="12">
        <f t="shared" ref="AH183:AH184" si="31">(PERCENTRANK(AD$3:AD$298,AD183))*100</f>
        <v>0</v>
      </c>
      <c r="AI183" s="12">
        <f t="shared" ref="AI183:AI184" si="32">(PERCENTRANK(AE$3:AE$298,AE183))*100</f>
        <v>10.4</v>
      </c>
      <c r="AJ183" s="12">
        <f t="shared" ref="AJ183:AJ184" si="33">(PERCENTRANK(AB$3:AB$298,AB183))*100</f>
        <v>0</v>
      </c>
      <c r="AK183" s="12">
        <f t="shared" ref="AK183:AK184" si="34">(PERCENTRANK(H$3:H$298,H183))*100</f>
        <v>3.8</v>
      </c>
      <c r="AL183" s="12">
        <f t="shared" ref="AL183:AL184" si="35">(PERCENTRANK(T$3:T$298,T183))*100</f>
        <v>97.7</v>
      </c>
    </row>
    <row r="184" spans="1:38" ht="15.75" customHeight="1">
      <c r="A184" s="1" t="s">
        <v>283</v>
      </c>
      <c r="B184" s="7" t="s">
        <v>240</v>
      </c>
      <c r="C184" s="4" t="s">
        <v>8</v>
      </c>
      <c r="D184" s="4">
        <v>17</v>
      </c>
      <c r="E184" s="4">
        <v>100</v>
      </c>
      <c r="F184" s="4">
        <v>17</v>
      </c>
      <c r="G184" s="4">
        <v>0</v>
      </c>
      <c r="H184" s="4">
        <v>5.9</v>
      </c>
      <c r="I184" s="4">
        <v>0.7</v>
      </c>
      <c r="J184" s="4">
        <v>1.8</v>
      </c>
      <c r="K184" s="4">
        <v>0.38700000000000001</v>
      </c>
      <c r="L184" s="4">
        <v>0.2</v>
      </c>
      <c r="M184" s="4">
        <v>0.5</v>
      </c>
      <c r="N184" s="4">
        <v>0.33300000000000002</v>
      </c>
      <c r="O184" s="4">
        <v>0.5</v>
      </c>
      <c r="P184" s="4">
        <v>1.3</v>
      </c>
      <c r="Q184" s="4">
        <v>0.40899999999999997</v>
      </c>
      <c r="R184" s="4">
        <v>1.2</v>
      </c>
      <c r="S184" s="4">
        <v>1.6</v>
      </c>
      <c r="T184" s="4">
        <v>0.77800000000000002</v>
      </c>
      <c r="U184" s="4">
        <v>0.2</v>
      </c>
      <c r="V184" s="4">
        <v>0.9</v>
      </c>
      <c r="W184" s="4">
        <v>0.4</v>
      </c>
      <c r="X184" s="4">
        <v>0.1</v>
      </c>
      <c r="Y184" s="4">
        <v>0.1</v>
      </c>
      <c r="Z184" s="4">
        <v>0.6</v>
      </c>
      <c r="AA184" s="4">
        <v>0.5</v>
      </c>
      <c r="AB184" s="4">
        <v>2.8</v>
      </c>
      <c r="AC184" s="10">
        <f t="shared" si="29"/>
        <v>0.902061855670103</v>
      </c>
      <c r="AD184" s="10">
        <f t="shared" si="30"/>
        <v>0.2</v>
      </c>
      <c r="AE184" s="12">
        <f>100*(AC184/TOTAL_BASIC!$D$302)</f>
        <v>93.834246553490402</v>
      </c>
      <c r="AF184" s="9"/>
      <c r="AG184" s="9"/>
      <c r="AH184" s="12">
        <f t="shared" si="31"/>
        <v>67.400000000000006</v>
      </c>
      <c r="AI184" s="12">
        <f t="shared" si="32"/>
        <v>41.4</v>
      </c>
      <c r="AJ184" s="12">
        <f t="shared" si="33"/>
        <v>7.7</v>
      </c>
      <c r="AK184" s="12">
        <f t="shared" si="34"/>
        <v>1.6</v>
      </c>
      <c r="AL184" s="12">
        <f t="shared" si="35"/>
        <v>43</v>
      </c>
    </row>
    <row r="185" spans="1:38" ht="15.75" customHeight="1">
      <c r="A185" s="1"/>
      <c r="B185" s="7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  <c r="AA185" s="4"/>
      <c r="AB185" s="4"/>
      <c r="AC185" s="10"/>
      <c r="AD185" s="10"/>
      <c r="AE185" s="12"/>
      <c r="AF185" s="9"/>
      <c r="AG185" s="9"/>
      <c r="AH185" s="12"/>
      <c r="AI185" s="12"/>
      <c r="AJ185" s="12"/>
      <c r="AK185" s="12"/>
      <c r="AL185" s="12"/>
    </row>
    <row r="186" spans="1:38" ht="15.75" customHeight="1">
      <c r="A186" s="1"/>
      <c r="B186" s="7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10"/>
      <c r="AD186" s="10"/>
      <c r="AE186" s="12"/>
      <c r="AF186" s="9"/>
      <c r="AG186" s="9"/>
      <c r="AH186" s="12"/>
      <c r="AI186" s="12"/>
      <c r="AJ186" s="12"/>
      <c r="AK186" s="12"/>
      <c r="AL186" s="12"/>
    </row>
    <row r="187" spans="1:38" ht="15.75" customHeight="1">
      <c r="A187" s="1"/>
      <c r="B187" s="7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10"/>
      <c r="AD187" s="10"/>
      <c r="AE187" s="12"/>
      <c r="AF187" s="9"/>
      <c r="AG187" s="9"/>
      <c r="AH187" s="12"/>
      <c r="AI187" s="12"/>
      <c r="AJ187" s="12"/>
      <c r="AK187" s="12"/>
      <c r="AL187" s="12"/>
    </row>
    <row r="188" spans="1:38" ht="15.75" customHeight="1">
      <c r="A188" s="1"/>
      <c r="B188" s="7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10"/>
      <c r="AD188" s="10"/>
      <c r="AE188" s="12"/>
      <c r="AF188" s="9"/>
      <c r="AG188" s="9"/>
      <c r="AH188" s="12"/>
      <c r="AI188" s="12"/>
      <c r="AJ188" s="12"/>
      <c r="AK188" s="12"/>
      <c r="AL188" s="12"/>
    </row>
    <row r="189" spans="1:38" ht="15.75" customHeight="1">
      <c r="A189" s="1"/>
      <c r="B189" s="7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10"/>
      <c r="AD189" s="10"/>
      <c r="AE189" s="12"/>
      <c r="AF189" s="9"/>
      <c r="AG189" s="9"/>
      <c r="AH189" s="12"/>
      <c r="AI189" s="12"/>
      <c r="AJ189" s="12"/>
      <c r="AK189" s="12"/>
      <c r="AL189" s="12"/>
    </row>
    <row r="190" spans="1:38" ht="15.75" customHeight="1">
      <c r="A190" s="1"/>
      <c r="B190" s="7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10"/>
      <c r="AD190" s="10"/>
      <c r="AE190" s="12"/>
      <c r="AF190" s="9"/>
      <c r="AG190" s="9"/>
      <c r="AH190" s="12"/>
      <c r="AI190" s="12"/>
      <c r="AJ190" s="12"/>
      <c r="AK190" s="12"/>
      <c r="AL190" s="12"/>
    </row>
    <row r="191" spans="1:38" ht="15.75" customHeight="1">
      <c r="A191" s="1"/>
      <c r="B191" s="7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10"/>
      <c r="AD191" s="10"/>
      <c r="AE191" s="12"/>
      <c r="AF191" s="9"/>
      <c r="AG191" s="9"/>
      <c r="AH191" s="12"/>
      <c r="AI191" s="12"/>
      <c r="AJ191" s="12"/>
      <c r="AK191" s="12"/>
      <c r="AL191" s="12"/>
    </row>
    <row r="192" spans="1:38" ht="15.75" customHeight="1">
      <c r="A192" s="1"/>
      <c r="B192" s="7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10"/>
      <c r="AD192" s="10"/>
      <c r="AE192" s="12"/>
      <c r="AF192" s="9"/>
      <c r="AG192" s="9"/>
      <c r="AH192" s="12"/>
      <c r="AI192" s="12"/>
      <c r="AJ192" s="12"/>
      <c r="AK192" s="12"/>
      <c r="AL192" s="12"/>
    </row>
    <row r="193" spans="1:38" ht="15.75" customHeight="1">
      <c r="A193" s="1"/>
      <c r="B193" s="7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10"/>
      <c r="AD193" s="10"/>
      <c r="AE193" s="12"/>
      <c r="AF193" s="9"/>
      <c r="AG193" s="9"/>
      <c r="AH193" s="12"/>
      <c r="AI193" s="12"/>
      <c r="AJ193" s="12"/>
      <c r="AK193" s="12"/>
      <c r="AL193" s="12"/>
    </row>
    <row r="194" spans="1:38" ht="15.75" customHeight="1">
      <c r="A194" s="1"/>
      <c r="B194" s="7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10"/>
      <c r="AD194" s="10"/>
      <c r="AE194" s="12"/>
      <c r="AF194" s="9"/>
      <c r="AG194" s="9"/>
      <c r="AH194" s="12"/>
      <c r="AI194" s="12"/>
      <c r="AJ194" s="12"/>
      <c r="AK194" s="12"/>
      <c r="AL194" s="12"/>
    </row>
    <row r="195" spans="1:38" ht="15.75" customHeight="1">
      <c r="A195" s="1"/>
      <c r="B195" s="7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10"/>
      <c r="AD195" s="10"/>
      <c r="AE195" s="12"/>
      <c r="AF195" s="9"/>
      <c r="AG195" s="9"/>
      <c r="AH195" s="12"/>
      <c r="AI195" s="12"/>
      <c r="AJ195" s="12"/>
      <c r="AK195" s="12"/>
      <c r="AL195" s="12"/>
    </row>
    <row r="196" spans="1:38" ht="15.75" customHeight="1">
      <c r="A196" s="1"/>
      <c r="B196" s="7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10"/>
      <c r="AD196" s="10"/>
      <c r="AE196" s="12"/>
      <c r="AF196" s="9"/>
      <c r="AG196" s="9"/>
      <c r="AH196" s="12"/>
      <c r="AI196" s="12"/>
      <c r="AJ196" s="12"/>
      <c r="AK196" s="12"/>
      <c r="AL196" s="12"/>
    </row>
    <row r="197" spans="1:38" ht="15.75" customHeight="1">
      <c r="A197" s="1"/>
      <c r="B197" s="7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10"/>
      <c r="AD197" s="10"/>
      <c r="AE197" s="12"/>
      <c r="AF197" s="9"/>
      <c r="AG197" s="9"/>
      <c r="AH197" s="12"/>
      <c r="AI197" s="12"/>
      <c r="AJ197" s="12"/>
      <c r="AK197" s="12"/>
      <c r="AL197" s="12"/>
    </row>
    <row r="198" spans="1:38" ht="15.75" customHeight="1">
      <c r="A198" s="1"/>
      <c r="B198" s="7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10"/>
      <c r="AD198" s="10"/>
      <c r="AE198" s="12"/>
      <c r="AF198" s="9"/>
      <c r="AG198" s="9"/>
      <c r="AH198" s="12"/>
      <c r="AI198" s="12"/>
      <c r="AJ198" s="12"/>
      <c r="AK198" s="12"/>
      <c r="AL198" s="12"/>
    </row>
    <row r="199" spans="1:38" ht="15.75" customHeight="1"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10"/>
      <c r="AD199" s="10"/>
      <c r="AE199" s="12"/>
      <c r="AF199" s="9"/>
      <c r="AG199" s="9"/>
      <c r="AH199" s="12"/>
      <c r="AI199" s="12"/>
      <c r="AJ199" s="12"/>
      <c r="AK199" s="12"/>
      <c r="AL199" s="12"/>
    </row>
    <row r="200" spans="1:38" ht="15.75" customHeight="1"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10"/>
      <c r="AD200" s="10"/>
      <c r="AE200" s="12"/>
      <c r="AF200" s="9"/>
      <c r="AG200" s="9"/>
      <c r="AH200" s="12"/>
      <c r="AI200" s="12"/>
      <c r="AJ200" s="12"/>
      <c r="AK200" s="12"/>
      <c r="AL200" s="12"/>
    </row>
    <row r="201" spans="1:38" ht="15.75" customHeight="1"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10"/>
      <c r="AD201" s="10"/>
      <c r="AE201" s="12"/>
      <c r="AF201" s="9"/>
      <c r="AG201" s="9"/>
      <c r="AH201" s="12"/>
      <c r="AI201" s="12"/>
      <c r="AJ201" s="12"/>
      <c r="AK201" s="12"/>
      <c r="AL201" s="12"/>
    </row>
    <row r="202" spans="1:38" ht="15.75" customHeight="1"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10"/>
      <c r="AD202" s="10"/>
      <c r="AE202" s="12"/>
      <c r="AF202" s="9"/>
      <c r="AG202" s="9"/>
      <c r="AH202" s="12"/>
      <c r="AI202" s="12"/>
      <c r="AJ202" s="12"/>
      <c r="AK202" s="12"/>
      <c r="AL202" s="12"/>
    </row>
    <row r="203" spans="1:38" ht="15.75" customHeight="1"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10"/>
      <c r="AD203" s="10"/>
      <c r="AE203" s="12"/>
      <c r="AF203" s="9"/>
      <c r="AG203" s="9"/>
      <c r="AH203" s="12"/>
      <c r="AI203" s="12"/>
      <c r="AJ203" s="12"/>
      <c r="AK203" s="12"/>
      <c r="AL203" s="12"/>
    </row>
    <row r="204" spans="1:38" ht="15.75" customHeight="1"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10"/>
      <c r="AD204" s="10"/>
      <c r="AE204" s="12"/>
      <c r="AF204" s="9"/>
      <c r="AG204" s="9"/>
      <c r="AH204" s="12"/>
      <c r="AI204" s="12"/>
      <c r="AJ204" s="12"/>
      <c r="AK204" s="12"/>
      <c r="AL204" s="12"/>
    </row>
    <row r="205" spans="1:38" ht="15.75" customHeight="1"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10"/>
      <c r="AD205" s="10"/>
      <c r="AE205" s="12"/>
      <c r="AF205" s="9"/>
      <c r="AG205" s="9"/>
      <c r="AH205" s="12"/>
      <c r="AI205" s="12"/>
      <c r="AJ205" s="12"/>
      <c r="AK205" s="12"/>
      <c r="AL205" s="12"/>
    </row>
    <row r="206" spans="1:38" ht="15.75" customHeight="1"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10"/>
      <c r="AD206" s="10"/>
      <c r="AE206" s="12"/>
      <c r="AF206" s="9"/>
      <c r="AG206" s="9"/>
      <c r="AH206" s="12"/>
      <c r="AI206" s="12"/>
      <c r="AJ206" s="12"/>
      <c r="AK206" s="12"/>
      <c r="AL206" s="12"/>
    </row>
    <row r="207" spans="1:38" ht="15.75" customHeight="1"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10"/>
      <c r="AD207" s="10"/>
      <c r="AE207" s="12"/>
      <c r="AF207" s="9"/>
      <c r="AG207" s="9"/>
      <c r="AH207" s="12"/>
      <c r="AI207" s="12"/>
      <c r="AJ207" s="12"/>
      <c r="AK207" s="12"/>
      <c r="AL207" s="12"/>
    </row>
    <row r="208" spans="1:38" ht="15.75" customHeight="1"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10"/>
      <c r="AD208" s="10"/>
      <c r="AE208" s="12"/>
      <c r="AF208" s="9"/>
      <c r="AG208" s="9"/>
      <c r="AH208" s="12"/>
      <c r="AI208" s="12"/>
      <c r="AJ208" s="12"/>
      <c r="AK208" s="12"/>
      <c r="AL208" s="12"/>
    </row>
    <row r="209" spans="2:38" ht="15.75" customHeight="1"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10"/>
      <c r="AD209" s="10"/>
      <c r="AE209" s="12"/>
      <c r="AF209" s="9"/>
      <c r="AG209" s="9"/>
      <c r="AH209" s="12"/>
      <c r="AI209" s="12"/>
      <c r="AJ209" s="12"/>
      <c r="AK209" s="12"/>
      <c r="AL209" s="12"/>
    </row>
    <row r="210" spans="2:38" ht="15.75" customHeight="1"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10"/>
      <c r="AD210" s="10"/>
      <c r="AE210" s="12"/>
      <c r="AF210" s="9"/>
      <c r="AG210" s="9"/>
      <c r="AH210" s="12"/>
      <c r="AI210" s="12"/>
      <c r="AJ210" s="12"/>
      <c r="AK210" s="12"/>
      <c r="AL210" s="12"/>
    </row>
    <row r="211" spans="2:38" ht="15.75" customHeight="1"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10"/>
      <c r="AD211" s="10"/>
      <c r="AE211" s="12"/>
      <c r="AF211" s="9"/>
      <c r="AG211" s="9"/>
      <c r="AH211" s="12"/>
      <c r="AI211" s="12"/>
      <c r="AJ211" s="12"/>
      <c r="AK211" s="12"/>
      <c r="AL211" s="12"/>
    </row>
    <row r="212" spans="2:38" ht="15.75" customHeight="1"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10"/>
      <c r="AD212" s="10"/>
      <c r="AE212" s="12"/>
      <c r="AF212" s="9"/>
      <c r="AG212" s="9"/>
      <c r="AH212" s="12"/>
      <c r="AI212" s="12"/>
      <c r="AJ212" s="12"/>
      <c r="AK212" s="12"/>
      <c r="AL212" s="12"/>
    </row>
    <row r="213" spans="2:38" ht="15.75" customHeight="1"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10"/>
      <c r="AD213" s="10"/>
      <c r="AE213" s="12"/>
      <c r="AF213" s="9"/>
      <c r="AG213" s="9"/>
      <c r="AH213" s="12"/>
      <c r="AI213" s="12"/>
      <c r="AJ213" s="12"/>
      <c r="AK213" s="12"/>
      <c r="AL213" s="12"/>
    </row>
    <row r="214" spans="2:38" ht="15.75" customHeight="1"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10"/>
      <c r="AD214" s="10"/>
      <c r="AE214" s="12"/>
      <c r="AF214" s="9"/>
      <c r="AG214" s="9"/>
      <c r="AH214" s="12"/>
      <c r="AI214" s="12"/>
      <c r="AJ214" s="12"/>
      <c r="AK214" s="12"/>
      <c r="AL214" s="12"/>
    </row>
    <row r="215" spans="2:38" ht="15.75" customHeight="1"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10"/>
      <c r="AD215" s="10"/>
      <c r="AE215" s="12"/>
      <c r="AF215" s="9"/>
      <c r="AG215" s="9"/>
      <c r="AH215" s="12"/>
      <c r="AI215" s="12"/>
      <c r="AJ215" s="12"/>
      <c r="AK215" s="12"/>
      <c r="AL215" s="12"/>
    </row>
    <row r="216" spans="2:38" ht="15.75" customHeight="1"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10"/>
      <c r="AD216" s="10"/>
      <c r="AE216" s="12"/>
      <c r="AF216" s="9"/>
      <c r="AG216" s="9"/>
      <c r="AH216" s="12"/>
      <c r="AI216" s="12"/>
      <c r="AJ216" s="12"/>
      <c r="AK216" s="12"/>
      <c r="AL216" s="12"/>
    </row>
    <row r="217" spans="2:38" ht="15.75" customHeight="1"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10"/>
      <c r="AD217" s="10"/>
      <c r="AE217" s="12"/>
      <c r="AF217" s="9"/>
      <c r="AG217" s="9"/>
      <c r="AH217" s="12"/>
      <c r="AI217" s="12"/>
      <c r="AJ217" s="12"/>
      <c r="AK217" s="12"/>
      <c r="AL217" s="12"/>
    </row>
    <row r="218" spans="2:38" ht="15.75" customHeight="1"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10"/>
      <c r="AD218" s="10"/>
      <c r="AE218" s="12"/>
      <c r="AF218" s="9"/>
      <c r="AG218" s="9"/>
      <c r="AH218" s="12"/>
      <c r="AI218" s="12"/>
      <c r="AJ218" s="12"/>
      <c r="AK218" s="12"/>
      <c r="AL218" s="12"/>
    </row>
    <row r="219" spans="2:38" ht="15.75" customHeight="1"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10"/>
      <c r="AD219" s="10"/>
      <c r="AE219" s="12"/>
      <c r="AF219" s="9"/>
      <c r="AG219" s="9"/>
      <c r="AH219" s="12"/>
      <c r="AI219" s="12"/>
      <c r="AJ219" s="12"/>
      <c r="AK219" s="12"/>
      <c r="AL219" s="12"/>
    </row>
    <row r="220" spans="2:38" ht="15.75" customHeight="1"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10"/>
      <c r="AD220" s="10"/>
      <c r="AE220" s="12"/>
      <c r="AF220" s="9"/>
      <c r="AG220" s="9"/>
      <c r="AH220" s="12"/>
      <c r="AI220" s="12"/>
      <c r="AJ220" s="12"/>
      <c r="AK220" s="12"/>
      <c r="AL220" s="12"/>
    </row>
    <row r="221" spans="2:38" ht="15.75" customHeight="1"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10"/>
      <c r="AD221" s="10"/>
      <c r="AE221" s="12"/>
      <c r="AF221" s="9"/>
      <c r="AG221" s="9"/>
      <c r="AH221" s="12"/>
      <c r="AI221" s="12"/>
      <c r="AJ221" s="12"/>
      <c r="AK221" s="12"/>
      <c r="AL221" s="12"/>
    </row>
    <row r="222" spans="2:38" ht="15.75" customHeight="1"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10"/>
      <c r="AD222" s="10"/>
      <c r="AE222" s="12"/>
      <c r="AF222" s="9"/>
      <c r="AG222" s="9"/>
      <c r="AH222" s="12"/>
      <c r="AI222" s="12"/>
      <c r="AJ222" s="12"/>
      <c r="AK222" s="12"/>
      <c r="AL222" s="12"/>
    </row>
    <row r="223" spans="2:38" ht="15.75" customHeight="1"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10"/>
      <c r="AD223" s="10"/>
      <c r="AE223" s="12"/>
      <c r="AF223" s="9"/>
      <c r="AG223" s="9"/>
      <c r="AH223" s="12"/>
      <c r="AI223" s="12"/>
      <c r="AJ223" s="12"/>
      <c r="AK223" s="12"/>
      <c r="AL223" s="12"/>
    </row>
    <row r="224" spans="2:38" ht="15.75" customHeight="1"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10"/>
      <c r="AD224" s="10"/>
      <c r="AE224" s="12"/>
      <c r="AF224" s="9"/>
      <c r="AG224" s="9"/>
      <c r="AH224" s="12"/>
      <c r="AI224" s="12"/>
      <c r="AJ224" s="12"/>
      <c r="AK224" s="12"/>
      <c r="AL224" s="12"/>
    </row>
    <row r="225" spans="2:38" ht="15.75" customHeight="1"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10"/>
      <c r="AD225" s="10"/>
      <c r="AE225" s="12"/>
      <c r="AF225" s="9"/>
      <c r="AG225" s="9"/>
      <c r="AH225" s="12"/>
      <c r="AI225" s="12"/>
      <c r="AJ225" s="12"/>
      <c r="AK225" s="12"/>
      <c r="AL225" s="12"/>
    </row>
    <row r="226" spans="2:38" ht="15.75" customHeight="1"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10"/>
      <c r="AD226" s="10"/>
      <c r="AE226" s="12"/>
      <c r="AF226" s="9"/>
      <c r="AG226" s="9"/>
      <c r="AH226" s="12"/>
      <c r="AI226" s="12"/>
      <c r="AJ226" s="12"/>
      <c r="AK226" s="12"/>
      <c r="AL226" s="12"/>
    </row>
    <row r="227" spans="2:38" ht="15.75" customHeight="1"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10"/>
      <c r="AD227" s="10"/>
      <c r="AE227" s="12"/>
      <c r="AF227" s="9"/>
      <c r="AG227" s="9"/>
      <c r="AH227" s="12"/>
      <c r="AI227" s="12"/>
      <c r="AJ227" s="12"/>
      <c r="AK227" s="12"/>
      <c r="AL227" s="12"/>
    </row>
    <row r="228" spans="2:38" ht="15.75" customHeight="1"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10"/>
      <c r="AD228" s="10"/>
      <c r="AE228" s="12"/>
      <c r="AF228" s="9"/>
      <c r="AG228" s="9"/>
      <c r="AH228" s="12"/>
      <c r="AI228" s="12"/>
      <c r="AJ228" s="12"/>
      <c r="AK228" s="12"/>
      <c r="AL228" s="12"/>
    </row>
    <row r="229" spans="2:38" ht="15.75" customHeight="1"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10"/>
      <c r="AD229" s="10"/>
      <c r="AE229" s="12"/>
      <c r="AF229" s="9"/>
      <c r="AG229" s="9"/>
      <c r="AH229" s="12"/>
      <c r="AI229" s="12"/>
      <c r="AJ229" s="12"/>
      <c r="AK229" s="12"/>
      <c r="AL229" s="12"/>
    </row>
    <row r="230" spans="2:38" ht="15.75" customHeight="1"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10"/>
      <c r="AD230" s="10"/>
      <c r="AE230" s="12"/>
      <c r="AF230" s="9"/>
      <c r="AG230" s="9"/>
      <c r="AH230" s="12"/>
      <c r="AI230" s="12"/>
      <c r="AJ230" s="12"/>
      <c r="AK230" s="12"/>
      <c r="AL230" s="12"/>
    </row>
    <row r="231" spans="2:38" ht="15.75" customHeight="1"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10"/>
      <c r="AD231" s="10"/>
      <c r="AE231" s="12"/>
      <c r="AF231" s="9"/>
      <c r="AG231" s="9"/>
      <c r="AH231" s="12"/>
      <c r="AI231" s="12"/>
      <c r="AJ231" s="12"/>
      <c r="AK231" s="12"/>
      <c r="AL231" s="12"/>
    </row>
    <row r="232" spans="2:38" ht="15.75" customHeight="1"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10"/>
      <c r="AD232" s="10"/>
      <c r="AE232" s="12"/>
      <c r="AF232" s="9"/>
      <c r="AG232" s="9"/>
      <c r="AH232" s="12"/>
      <c r="AI232" s="12"/>
      <c r="AJ232" s="12"/>
      <c r="AK232" s="12"/>
      <c r="AL232" s="12"/>
    </row>
    <row r="233" spans="2:38" ht="15.75" customHeight="1"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10"/>
      <c r="AD233" s="10"/>
      <c r="AE233" s="12"/>
      <c r="AF233" s="9"/>
      <c r="AG233" s="9"/>
      <c r="AH233" s="12"/>
      <c r="AI233" s="12"/>
      <c r="AJ233" s="12"/>
      <c r="AK233" s="12"/>
      <c r="AL233" s="12"/>
    </row>
    <row r="234" spans="2:38" ht="15.75" customHeight="1"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10"/>
      <c r="AD234" s="10"/>
      <c r="AE234" s="12"/>
      <c r="AF234" s="9"/>
      <c r="AG234" s="9"/>
      <c r="AH234" s="12"/>
      <c r="AI234" s="12"/>
      <c r="AJ234" s="12"/>
      <c r="AK234" s="12"/>
      <c r="AL234" s="12"/>
    </row>
    <row r="235" spans="2:38" ht="15.75" customHeight="1"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10"/>
      <c r="AD235" s="10"/>
      <c r="AE235" s="12"/>
      <c r="AF235" s="9"/>
      <c r="AG235" s="9"/>
      <c r="AH235" s="12"/>
      <c r="AI235" s="12"/>
      <c r="AJ235" s="12"/>
      <c r="AK235" s="12"/>
      <c r="AL235" s="12"/>
    </row>
    <row r="236" spans="2:38" ht="15.75" customHeight="1"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10"/>
      <c r="AD236" s="10"/>
      <c r="AE236" s="12"/>
      <c r="AF236" s="9"/>
      <c r="AG236" s="9"/>
      <c r="AH236" s="12"/>
      <c r="AI236" s="12"/>
      <c r="AJ236" s="12"/>
      <c r="AK236" s="12"/>
      <c r="AL236" s="12"/>
    </row>
    <row r="237" spans="2:38" ht="15.75" customHeight="1"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10"/>
      <c r="AD237" s="10"/>
      <c r="AE237" s="12"/>
      <c r="AF237" s="9"/>
      <c r="AG237" s="9"/>
      <c r="AH237" s="12"/>
      <c r="AI237" s="12"/>
      <c r="AJ237" s="12"/>
      <c r="AK237" s="12"/>
      <c r="AL237" s="12"/>
    </row>
    <row r="238" spans="2:38" ht="15.75" customHeight="1"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10"/>
      <c r="AD238" s="10"/>
      <c r="AE238" s="12"/>
      <c r="AF238" s="9"/>
      <c r="AG238" s="9"/>
      <c r="AH238" s="12"/>
      <c r="AI238" s="12"/>
      <c r="AJ238" s="12"/>
      <c r="AK238" s="12"/>
      <c r="AL238" s="12"/>
    </row>
    <row r="239" spans="2:38" ht="15.75" customHeight="1"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10"/>
      <c r="AD239" s="10"/>
      <c r="AE239" s="12"/>
      <c r="AF239" s="9"/>
      <c r="AG239" s="9"/>
      <c r="AH239" s="12"/>
      <c r="AI239" s="12"/>
      <c r="AJ239" s="12"/>
      <c r="AK239" s="12"/>
      <c r="AL239" s="12"/>
    </row>
    <row r="240" spans="2:38" ht="15.75" customHeight="1"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10"/>
      <c r="AD240" s="10"/>
      <c r="AE240" s="12"/>
      <c r="AF240" s="9"/>
      <c r="AG240" s="9"/>
      <c r="AH240" s="12"/>
      <c r="AI240" s="12"/>
      <c r="AJ240" s="12"/>
      <c r="AK240" s="12"/>
      <c r="AL240" s="12"/>
    </row>
    <row r="241" spans="2:38" ht="15.75" customHeight="1"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10"/>
      <c r="AD241" s="10"/>
      <c r="AE241" s="12"/>
      <c r="AF241" s="9"/>
      <c r="AG241" s="9"/>
      <c r="AH241" s="12"/>
      <c r="AI241" s="12"/>
      <c r="AJ241" s="12"/>
      <c r="AK241" s="12"/>
      <c r="AL241" s="12"/>
    </row>
    <row r="242" spans="2:38" ht="15.75" customHeight="1"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10"/>
      <c r="AD242" s="10"/>
      <c r="AE242" s="12"/>
      <c r="AF242" s="9"/>
      <c r="AG242" s="9"/>
      <c r="AH242" s="12"/>
      <c r="AI242" s="12"/>
      <c r="AJ242" s="12"/>
      <c r="AK242" s="12"/>
      <c r="AL242" s="12"/>
    </row>
    <row r="243" spans="2:38" ht="15.75" customHeight="1"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10"/>
      <c r="AD243" s="10"/>
      <c r="AE243" s="12"/>
      <c r="AF243" s="9"/>
      <c r="AG243" s="9"/>
      <c r="AH243" s="12"/>
      <c r="AI243" s="12"/>
      <c r="AJ243" s="12"/>
      <c r="AK243" s="12"/>
      <c r="AL243" s="12"/>
    </row>
    <row r="244" spans="2:38" ht="15.75" customHeight="1"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10"/>
      <c r="AD244" s="10"/>
      <c r="AE244" s="12"/>
      <c r="AF244" s="9"/>
      <c r="AG244" s="9"/>
      <c r="AH244" s="12"/>
      <c r="AI244" s="12"/>
      <c r="AJ244" s="12"/>
      <c r="AK244" s="12"/>
      <c r="AL244" s="12"/>
    </row>
    <row r="245" spans="2:38" ht="15.75" customHeight="1"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10"/>
      <c r="AD245" s="10"/>
      <c r="AE245" s="12"/>
      <c r="AF245" s="9"/>
      <c r="AG245" s="9"/>
      <c r="AH245" s="12"/>
      <c r="AI245" s="12"/>
      <c r="AJ245" s="12"/>
      <c r="AK245" s="12"/>
      <c r="AL245" s="12"/>
    </row>
    <row r="246" spans="2:38" ht="15.75" customHeight="1"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10"/>
      <c r="AD246" s="10"/>
      <c r="AE246" s="12"/>
      <c r="AF246" s="9"/>
      <c r="AG246" s="9"/>
      <c r="AH246" s="12"/>
      <c r="AI246" s="12"/>
      <c r="AJ246" s="12"/>
      <c r="AK246" s="12"/>
      <c r="AL246" s="12"/>
    </row>
    <row r="247" spans="2:38" ht="15.75" customHeight="1"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10"/>
      <c r="AD247" s="10"/>
      <c r="AE247" s="12"/>
      <c r="AF247" s="9"/>
      <c r="AG247" s="9"/>
      <c r="AH247" s="12"/>
      <c r="AI247" s="12"/>
      <c r="AJ247" s="12"/>
      <c r="AK247" s="12"/>
      <c r="AL247" s="12"/>
    </row>
    <row r="248" spans="2:38" ht="15.75" customHeight="1"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10"/>
      <c r="AD248" s="10"/>
      <c r="AE248" s="12"/>
      <c r="AF248" s="9"/>
      <c r="AG248" s="9"/>
      <c r="AH248" s="12"/>
      <c r="AI248" s="12"/>
      <c r="AJ248" s="12"/>
      <c r="AK248" s="12"/>
      <c r="AL248" s="12"/>
    </row>
    <row r="249" spans="2:38" ht="15.75" customHeight="1"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10"/>
      <c r="AD249" s="10"/>
      <c r="AE249" s="12"/>
      <c r="AF249" s="9"/>
      <c r="AG249" s="9"/>
      <c r="AH249" s="12"/>
      <c r="AI249" s="12"/>
      <c r="AJ249" s="12"/>
      <c r="AK249" s="12"/>
      <c r="AL249" s="12"/>
    </row>
    <row r="250" spans="2:38" ht="15.75" customHeight="1"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10"/>
      <c r="AD250" s="10"/>
      <c r="AE250" s="12"/>
      <c r="AF250" s="9"/>
      <c r="AG250" s="9"/>
      <c r="AH250" s="12"/>
      <c r="AI250" s="12"/>
      <c r="AJ250" s="12"/>
      <c r="AK250" s="12"/>
      <c r="AL250" s="12"/>
    </row>
    <row r="251" spans="2:38" ht="15.75" customHeight="1"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10"/>
      <c r="AD251" s="10"/>
      <c r="AE251" s="12"/>
      <c r="AF251" s="9"/>
      <c r="AG251" s="9"/>
      <c r="AH251" s="12"/>
      <c r="AI251" s="12"/>
      <c r="AJ251" s="12"/>
      <c r="AK251" s="12"/>
      <c r="AL251" s="12"/>
    </row>
    <row r="252" spans="2:38" ht="15.75" customHeight="1"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10"/>
      <c r="AD252" s="10"/>
      <c r="AE252" s="12"/>
      <c r="AF252" s="9"/>
      <c r="AG252" s="9"/>
      <c r="AH252" s="12"/>
      <c r="AI252" s="12"/>
      <c r="AJ252" s="12"/>
      <c r="AK252" s="12"/>
      <c r="AL252" s="12"/>
    </row>
    <row r="253" spans="2:38" ht="15.75" customHeight="1"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10"/>
      <c r="AD253" s="10"/>
      <c r="AE253" s="12"/>
      <c r="AF253" s="9"/>
      <c r="AG253" s="9"/>
      <c r="AH253" s="12"/>
      <c r="AI253" s="12"/>
      <c r="AJ253" s="12"/>
      <c r="AK253" s="12"/>
      <c r="AL253" s="12"/>
    </row>
    <row r="254" spans="2:38" ht="15.75" customHeight="1"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10"/>
      <c r="AD254" s="10"/>
      <c r="AE254" s="12"/>
      <c r="AF254" s="9"/>
      <c r="AG254" s="9"/>
      <c r="AH254" s="12"/>
      <c r="AI254" s="12"/>
      <c r="AJ254" s="12"/>
      <c r="AK254" s="12"/>
      <c r="AL254" s="12"/>
    </row>
    <row r="255" spans="2:38" ht="15.75" customHeight="1"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10"/>
      <c r="AD255" s="10"/>
      <c r="AE255" s="12"/>
      <c r="AF255" s="9"/>
      <c r="AG255" s="9"/>
      <c r="AH255" s="12"/>
      <c r="AI255" s="12"/>
      <c r="AJ255" s="12"/>
      <c r="AK255" s="12"/>
      <c r="AL255" s="12"/>
    </row>
    <row r="256" spans="2:38" ht="15.75" customHeight="1"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10"/>
      <c r="AD256" s="10"/>
      <c r="AE256" s="12"/>
      <c r="AF256" s="9"/>
      <c r="AG256" s="9"/>
      <c r="AH256" s="12"/>
      <c r="AI256" s="12"/>
      <c r="AJ256" s="12"/>
      <c r="AK256" s="12"/>
      <c r="AL256" s="12"/>
    </row>
    <row r="257" spans="2:38" ht="15.75" customHeight="1"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10"/>
      <c r="AD257" s="10"/>
      <c r="AE257" s="12"/>
      <c r="AF257" s="9"/>
      <c r="AG257" s="9"/>
      <c r="AH257" s="12"/>
      <c r="AI257" s="12"/>
      <c r="AJ257" s="12"/>
      <c r="AK257" s="12"/>
      <c r="AL257" s="12"/>
    </row>
    <row r="258" spans="2:38" ht="15.75" customHeight="1"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10"/>
      <c r="AD258" s="10"/>
      <c r="AE258" s="12"/>
      <c r="AF258" s="9"/>
      <c r="AG258" s="9"/>
      <c r="AH258" s="12"/>
      <c r="AI258" s="12"/>
      <c r="AJ258" s="12"/>
      <c r="AK258" s="12"/>
      <c r="AL258" s="12"/>
    </row>
    <row r="259" spans="2:38" ht="15.75" customHeight="1"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10"/>
      <c r="AD259" s="10"/>
      <c r="AE259" s="12"/>
      <c r="AF259" s="9"/>
      <c r="AG259" s="9"/>
      <c r="AH259" s="12"/>
      <c r="AI259" s="12"/>
      <c r="AJ259" s="12"/>
      <c r="AK259" s="12"/>
      <c r="AL259" s="12"/>
    </row>
    <row r="260" spans="2:38" ht="15.75" customHeight="1"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10"/>
      <c r="AD260" s="10"/>
      <c r="AE260" s="12"/>
      <c r="AF260" s="9"/>
      <c r="AG260" s="9"/>
      <c r="AH260" s="12"/>
      <c r="AI260" s="12"/>
      <c r="AJ260" s="12"/>
      <c r="AK260" s="12"/>
      <c r="AL260" s="12"/>
    </row>
    <row r="261" spans="2:38" ht="15.75" customHeight="1"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10"/>
      <c r="AD261" s="10"/>
      <c r="AE261" s="12"/>
      <c r="AF261" s="9"/>
      <c r="AG261" s="9"/>
      <c r="AH261" s="12"/>
      <c r="AI261" s="12"/>
      <c r="AJ261" s="12"/>
      <c r="AK261" s="12"/>
      <c r="AL261" s="12"/>
    </row>
    <row r="262" spans="2:38" ht="15.75" customHeight="1"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10"/>
      <c r="AD262" s="10"/>
      <c r="AE262" s="12"/>
      <c r="AF262" s="9"/>
      <c r="AG262" s="9"/>
      <c r="AH262" s="12"/>
      <c r="AI262" s="12"/>
      <c r="AJ262" s="12"/>
      <c r="AK262" s="12"/>
      <c r="AL262" s="12"/>
    </row>
    <row r="263" spans="2:38" ht="15.75" customHeight="1"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10"/>
      <c r="AD263" s="10"/>
      <c r="AE263" s="12"/>
      <c r="AF263" s="9"/>
      <c r="AG263" s="9"/>
      <c r="AH263" s="12"/>
      <c r="AI263" s="12"/>
      <c r="AJ263" s="12"/>
      <c r="AK263" s="12"/>
      <c r="AL263" s="12"/>
    </row>
    <row r="264" spans="2:38" ht="15.75" customHeight="1"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10"/>
      <c r="AD264" s="10"/>
      <c r="AE264" s="12"/>
      <c r="AF264" s="9"/>
      <c r="AG264" s="9"/>
      <c r="AH264" s="12"/>
      <c r="AI264" s="12"/>
      <c r="AJ264" s="12"/>
      <c r="AK264" s="12"/>
      <c r="AL264" s="12"/>
    </row>
    <row r="265" spans="2:38" ht="15.75" customHeight="1"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10"/>
      <c r="AD265" s="10"/>
      <c r="AE265" s="12"/>
      <c r="AF265" s="9"/>
      <c r="AG265" s="9"/>
      <c r="AH265" s="12"/>
      <c r="AI265" s="12"/>
      <c r="AJ265" s="12"/>
      <c r="AK265" s="12"/>
      <c r="AL265" s="12"/>
    </row>
    <row r="266" spans="2:38" ht="15.75" customHeight="1"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10"/>
      <c r="AD266" s="10"/>
      <c r="AE266" s="12"/>
      <c r="AF266" s="9"/>
      <c r="AG266" s="9"/>
      <c r="AH266" s="12"/>
      <c r="AI266" s="12"/>
      <c r="AJ266" s="12"/>
      <c r="AK266" s="12"/>
      <c r="AL266" s="12"/>
    </row>
    <row r="267" spans="2:38" ht="15.75" customHeight="1"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10"/>
      <c r="AD267" s="10"/>
      <c r="AE267" s="12"/>
      <c r="AF267" s="9"/>
      <c r="AG267" s="9"/>
      <c r="AH267" s="12"/>
      <c r="AI267" s="12"/>
      <c r="AJ267" s="12"/>
      <c r="AK267" s="12"/>
      <c r="AL267" s="12"/>
    </row>
    <row r="268" spans="2:38" ht="15.75" customHeight="1"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10"/>
      <c r="AD268" s="10"/>
      <c r="AE268" s="12"/>
      <c r="AF268" s="9"/>
      <c r="AG268" s="9"/>
      <c r="AH268" s="12"/>
      <c r="AI268" s="12"/>
      <c r="AJ268" s="12"/>
      <c r="AK268" s="12"/>
      <c r="AL268" s="12"/>
    </row>
    <row r="269" spans="2:38" ht="15.75" customHeight="1"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10"/>
      <c r="AD269" s="10"/>
      <c r="AE269" s="12"/>
      <c r="AF269" s="9"/>
      <c r="AG269" s="9"/>
      <c r="AH269" s="12"/>
      <c r="AI269" s="12"/>
      <c r="AJ269" s="12"/>
      <c r="AK269" s="12"/>
      <c r="AL269" s="12"/>
    </row>
    <row r="270" spans="2:38" ht="15.75" customHeight="1"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10"/>
      <c r="AD270" s="10"/>
      <c r="AE270" s="12"/>
      <c r="AF270" s="9"/>
      <c r="AG270" s="9"/>
      <c r="AH270" s="12"/>
      <c r="AI270" s="12"/>
      <c r="AJ270" s="12"/>
      <c r="AK270" s="12"/>
      <c r="AL270" s="12"/>
    </row>
    <row r="271" spans="2:38" ht="15.75" customHeight="1"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10"/>
      <c r="AD271" s="10"/>
      <c r="AE271" s="12"/>
      <c r="AF271" s="9"/>
      <c r="AG271" s="9"/>
      <c r="AH271" s="12"/>
      <c r="AI271" s="12"/>
      <c r="AJ271" s="12"/>
      <c r="AK271" s="12"/>
      <c r="AL271" s="12"/>
    </row>
    <row r="272" spans="2:38" ht="15.75" customHeight="1"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10"/>
      <c r="AD272" s="10"/>
      <c r="AE272" s="12"/>
      <c r="AF272" s="9"/>
      <c r="AG272" s="9"/>
      <c r="AH272" s="12"/>
      <c r="AI272" s="12"/>
      <c r="AJ272" s="12"/>
      <c r="AK272" s="12"/>
      <c r="AL272" s="12"/>
    </row>
    <row r="273" spans="2:38" ht="15.75" customHeight="1"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10"/>
      <c r="AD273" s="10"/>
      <c r="AE273" s="12"/>
      <c r="AF273" s="9"/>
      <c r="AG273" s="9"/>
      <c r="AH273" s="12"/>
      <c r="AI273" s="12"/>
      <c r="AJ273" s="12"/>
      <c r="AK273" s="12"/>
      <c r="AL273" s="12"/>
    </row>
    <row r="274" spans="2:38" ht="15.75" customHeight="1"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10"/>
      <c r="AD274" s="10"/>
      <c r="AE274" s="12"/>
      <c r="AF274" s="9"/>
      <c r="AG274" s="9"/>
      <c r="AH274" s="12"/>
      <c r="AI274" s="12"/>
      <c r="AJ274" s="12"/>
      <c r="AK274" s="12"/>
      <c r="AL274" s="12"/>
    </row>
    <row r="275" spans="2:38" ht="15.75" customHeight="1"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10"/>
      <c r="AD275" s="10"/>
      <c r="AE275" s="12"/>
      <c r="AF275" s="9"/>
      <c r="AG275" s="9"/>
      <c r="AH275" s="12"/>
      <c r="AI275" s="12"/>
      <c r="AJ275" s="12"/>
      <c r="AK275" s="12"/>
      <c r="AL275" s="12"/>
    </row>
    <row r="276" spans="2:38" ht="15.75" customHeight="1"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10"/>
      <c r="AD276" s="10"/>
      <c r="AE276" s="12"/>
      <c r="AF276" s="9"/>
      <c r="AG276" s="9"/>
      <c r="AH276" s="12"/>
      <c r="AI276" s="12"/>
      <c r="AJ276" s="12"/>
      <c r="AK276" s="12"/>
      <c r="AL276" s="12"/>
    </row>
    <row r="277" spans="2:38" ht="15.75" customHeight="1"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10"/>
      <c r="AD277" s="10"/>
      <c r="AE277" s="12"/>
      <c r="AF277" s="9"/>
      <c r="AG277" s="9"/>
      <c r="AH277" s="12"/>
      <c r="AI277" s="12"/>
      <c r="AJ277" s="12"/>
      <c r="AK277" s="12"/>
      <c r="AL277" s="12"/>
    </row>
    <row r="278" spans="2:38" ht="15.75" customHeight="1"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10"/>
      <c r="AD278" s="10"/>
      <c r="AE278" s="12"/>
      <c r="AF278" s="9"/>
      <c r="AG278" s="9"/>
      <c r="AH278" s="12"/>
      <c r="AI278" s="12"/>
      <c r="AJ278" s="12"/>
      <c r="AK278" s="12"/>
      <c r="AL278" s="12"/>
    </row>
    <row r="279" spans="2:38" ht="15.75" customHeight="1"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10"/>
      <c r="AD279" s="10"/>
      <c r="AE279" s="12"/>
      <c r="AF279" s="9"/>
      <c r="AG279" s="9"/>
      <c r="AH279" s="12"/>
      <c r="AI279" s="12"/>
      <c r="AJ279" s="12"/>
      <c r="AK279" s="12"/>
      <c r="AL279" s="12"/>
    </row>
    <row r="280" spans="2:38" ht="15.75" customHeight="1"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10"/>
      <c r="AD280" s="10"/>
      <c r="AE280" s="12"/>
      <c r="AF280" s="9"/>
      <c r="AG280" s="9"/>
      <c r="AH280" s="12"/>
      <c r="AI280" s="12"/>
      <c r="AJ280" s="12"/>
      <c r="AK280" s="12"/>
      <c r="AL280" s="12"/>
    </row>
    <row r="281" spans="2:38" ht="15.75" customHeight="1"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10"/>
      <c r="AD281" s="10"/>
      <c r="AE281" s="12"/>
      <c r="AF281" s="9"/>
      <c r="AG281" s="9"/>
      <c r="AH281" s="12"/>
      <c r="AI281" s="12"/>
      <c r="AJ281" s="12"/>
      <c r="AK281" s="12"/>
      <c r="AL281" s="12"/>
    </row>
    <row r="282" spans="2:38" ht="15.75" customHeight="1"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10"/>
      <c r="AD282" s="10"/>
      <c r="AE282" s="12"/>
      <c r="AF282" s="9"/>
      <c r="AG282" s="9"/>
      <c r="AH282" s="12"/>
      <c r="AI282" s="12"/>
      <c r="AJ282" s="12"/>
      <c r="AK282" s="12"/>
      <c r="AL282" s="12"/>
    </row>
    <row r="283" spans="2:38" ht="15.75" customHeight="1"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10"/>
      <c r="AD283" s="10"/>
      <c r="AE283" s="12"/>
      <c r="AF283" s="9"/>
      <c r="AG283" s="9"/>
      <c r="AH283" s="12"/>
      <c r="AI283" s="12"/>
      <c r="AJ283" s="12"/>
      <c r="AK283" s="12"/>
      <c r="AL283" s="12"/>
    </row>
    <row r="284" spans="2:38" ht="15.75" customHeight="1"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10"/>
      <c r="AD284" s="10"/>
      <c r="AE284" s="12"/>
      <c r="AF284" s="9"/>
      <c r="AG284" s="9"/>
      <c r="AH284" s="12"/>
      <c r="AI284" s="12"/>
      <c r="AJ284" s="12"/>
      <c r="AK284" s="12"/>
      <c r="AL284" s="12"/>
    </row>
    <row r="285" spans="2:38" ht="15.75" customHeight="1"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10"/>
      <c r="AD285" s="10"/>
      <c r="AE285" s="12"/>
      <c r="AF285" s="9"/>
      <c r="AG285" s="9"/>
      <c r="AH285" s="12"/>
      <c r="AI285" s="12"/>
      <c r="AJ285" s="12"/>
      <c r="AK285" s="12"/>
      <c r="AL285" s="12"/>
    </row>
    <row r="286" spans="2:38" ht="15.75" customHeight="1"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10"/>
      <c r="AD286" s="10"/>
      <c r="AE286" s="12"/>
      <c r="AF286" s="9"/>
      <c r="AG286" s="9"/>
      <c r="AH286" s="12"/>
      <c r="AI286" s="12"/>
      <c r="AJ286" s="12"/>
      <c r="AK286" s="12"/>
      <c r="AL286" s="12"/>
    </row>
    <row r="287" spans="2:38" ht="15.75" customHeight="1"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10"/>
      <c r="AD287" s="10"/>
      <c r="AE287" s="12"/>
      <c r="AF287" s="9"/>
      <c r="AG287" s="9"/>
      <c r="AH287" s="12"/>
      <c r="AI287" s="12"/>
      <c r="AJ287" s="12"/>
      <c r="AK287" s="12"/>
      <c r="AL287" s="12"/>
    </row>
    <row r="288" spans="2:38" ht="15.75" customHeight="1"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10"/>
      <c r="AD288" s="10"/>
      <c r="AE288" s="12"/>
      <c r="AF288" s="9"/>
      <c r="AG288" s="9"/>
      <c r="AH288" s="12"/>
      <c r="AI288" s="12"/>
      <c r="AJ288" s="12"/>
      <c r="AK288" s="12"/>
      <c r="AL288" s="12"/>
    </row>
    <row r="289" spans="1:38" ht="15.75" customHeight="1"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10"/>
      <c r="AD289" s="10"/>
      <c r="AE289" s="12"/>
      <c r="AF289" s="9"/>
      <c r="AG289" s="9"/>
      <c r="AH289" s="12"/>
      <c r="AI289" s="12"/>
      <c r="AJ289" s="12"/>
      <c r="AK289" s="12"/>
      <c r="AL289" s="12"/>
    </row>
    <row r="290" spans="1:38" ht="15.75" customHeight="1"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10"/>
      <c r="AD290" s="10"/>
      <c r="AE290" s="12"/>
      <c r="AF290" s="9"/>
      <c r="AG290" s="9"/>
      <c r="AH290" s="12"/>
      <c r="AI290" s="12"/>
      <c r="AJ290" s="12"/>
      <c r="AK290" s="12"/>
      <c r="AL290" s="12"/>
    </row>
    <row r="291" spans="1:38" ht="15.75" customHeight="1"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10"/>
      <c r="AD291" s="10"/>
      <c r="AE291" s="12"/>
      <c r="AF291" s="9"/>
      <c r="AG291" s="9"/>
      <c r="AH291" s="12"/>
      <c r="AI291" s="12"/>
      <c r="AJ291" s="12"/>
      <c r="AK291" s="12"/>
      <c r="AL291" s="12"/>
    </row>
    <row r="292" spans="1:38" ht="15.75" customHeight="1"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10"/>
      <c r="AD292" s="10"/>
      <c r="AE292" s="12"/>
      <c r="AF292" s="9"/>
      <c r="AG292" s="9"/>
      <c r="AH292" s="12"/>
      <c r="AI292" s="12"/>
      <c r="AJ292" s="12"/>
      <c r="AK292" s="12"/>
      <c r="AL292" s="12"/>
    </row>
    <row r="293" spans="1:38" ht="15.75" customHeight="1"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10"/>
      <c r="AD293" s="10"/>
      <c r="AE293" s="12"/>
      <c r="AF293" s="9"/>
      <c r="AG293" s="9"/>
      <c r="AH293" s="12"/>
      <c r="AI293" s="12"/>
      <c r="AJ293" s="12"/>
      <c r="AK293" s="12"/>
      <c r="AL293" s="12"/>
    </row>
    <row r="294" spans="1:38" ht="15.75" customHeight="1"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10"/>
      <c r="AD294" s="10"/>
      <c r="AE294" s="12"/>
      <c r="AF294" s="9"/>
      <c r="AG294" s="9"/>
      <c r="AH294" s="12"/>
      <c r="AI294" s="12"/>
      <c r="AJ294" s="12"/>
      <c r="AK294" s="12"/>
      <c r="AL294" s="12"/>
    </row>
    <row r="295" spans="1:38" ht="15.75" customHeight="1"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10"/>
      <c r="AD295" s="10"/>
      <c r="AE295" s="12"/>
      <c r="AF295" s="9"/>
      <c r="AG295" s="9"/>
      <c r="AH295" s="12"/>
      <c r="AI295" s="12"/>
      <c r="AJ295" s="12"/>
      <c r="AK295" s="12"/>
      <c r="AL295" s="12"/>
    </row>
    <row r="296" spans="1:38" ht="15.75" customHeight="1"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10"/>
      <c r="AD296" s="10"/>
      <c r="AE296" s="12"/>
      <c r="AF296" s="9"/>
      <c r="AG296" s="9"/>
      <c r="AH296" s="12"/>
      <c r="AI296" s="12"/>
      <c r="AJ296" s="12"/>
      <c r="AK296" s="12"/>
      <c r="AL296" s="12"/>
    </row>
    <row r="297" spans="1:38" ht="15.75" customHeight="1"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10"/>
      <c r="AD297" s="10"/>
      <c r="AE297" s="12"/>
      <c r="AF297" s="9"/>
      <c r="AG297" s="9"/>
      <c r="AH297" s="12"/>
      <c r="AI297" s="12"/>
      <c r="AJ297" s="12"/>
      <c r="AK297" s="12"/>
      <c r="AL297" s="12"/>
    </row>
    <row r="298" spans="1:38" ht="15.75" customHeight="1"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10"/>
      <c r="AD298" s="10"/>
      <c r="AE298" s="12"/>
      <c r="AF298" s="9"/>
      <c r="AG298" s="9"/>
      <c r="AH298" s="12"/>
      <c r="AI298" s="12"/>
      <c r="AJ298" s="12"/>
      <c r="AK298" s="12"/>
      <c r="AL298" s="12"/>
    </row>
    <row r="299" spans="1:38" ht="15.75" customHeight="1"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</row>
    <row r="300" spans="1:38" ht="15.75" customHeight="1">
      <c r="A300" s="1"/>
      <c r="B300" s="7"/>
      <c r="C300" s="7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</row>
    <row r="301" spans="1:38" ht="15.75" customHeight="1">
      <c r="A301" s="1"/>
      <c r="B301" s="7"/>
      <c r="C301" s="7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</row>
    <row r="302" spans="1:38" ht="15.75" customHeight="1">
      <c r="A302" s="1"/>
      <c r="B302" s="7"/>
      <c r="C302" s="7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</row>
    <row r="303" spans="1:38" ht="15.75" customHeight="1"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</row>
    <row r="304" spans="1:38" ht="15.75" customHeight="1"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</row>
    <row r="305" spans="2:28" ht="15.75" customHeight="1"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</row>
    <row r="306" spans="2:28" ht="15.75" customHeight="1"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</row>
    <row r="307" spans="2:28" ht="15.75" customHeight="1"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</row>
    <row r="308" spans="2:28" ht="15.75" customHeight="1"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</row>
    <row r="309" spans="2:28" ht="15.75" customHeight="1"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</row>
    <row r="310" spans="2:28" ht="15.75" customHeight="1"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</row>
    <row r="311" spans="2:28" ht="15.75" customHeight="1"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</row>
    <row r="312" spans="2:28" ht="15.75" customHeight="1"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</row>
    <row r="313" spans="2:28" ht="15.75" customHeight="1"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</row>
    <row r="314" spans="2:28" ht="15.75" customHeight="1"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</row>
    <row r="315" spans="2:28" ht="15.75" customHeight="1"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</row>
    <row r="316" spans="2:28" ht="15.75" customHeight="1"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</row>
    <row r="317" spans="2:28" ht="15.75" customHeight="1"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</row>
    <row r="318" spans="2:28" ht="15.75" customHeight="1"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</row>
    <row r="319" spans="2:28" ht="15.75" customHeight="1"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</row>
    <row r="320" spans="2:28" ht="15.75" customHeight="1"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</row>
    <row r="321" spans="2:28" ht="15.75" customHeight="1"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</row>
    <row r="322" spans="2:28" ht="15.75" customHeight="1"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</row>
    <row r="323" spans="2:28" ht="15.75" customHeight="1"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</row>
    <row r="324" spans="2:28" ht="15.75" customHeight="1"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</row>
    <row r="325" spans="2:28" ht="15.75" customHeight="1"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</row>
    <row r="326" spans="2:28" ht="15.75" customHeight="1"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</row>
    <row r="327" spans="2:28" ht="15.75" customHeight="1"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</row>
    <row r="328" spans="2:28" ht="15.75" customHeight="1"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</row>
    <row r="329" spans="2:28" ht="15.75" customHeight="1"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</row>
    <row r="330" spans="2:28" ht="15.75" customHeight="1"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</row>
    <row r="331" spans="2:28" ht="15.75" customHeight="1"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</row>
    <row r="332" spans="2:28" ht="15.75" customHeight="1"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</row>
    <row r="333" spans="2:28" ht="15.75" customHeight="1"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</row>
    <row r="334" spans="2:28" ht="15.75" customHeight="1"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</row>
    <row r="335" spans="2:28" ht="15.75" customHeight="1"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</row>
    <row r="336" spans="2:28" ht="15.75" customHeight="1"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</row>
    <row r="337" spans="2:28" ht="15.75" customHeight="1"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</row>
    <row r="338" spans="2:28" ht="15.75" customHeight="1"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</row>
    <row r="339" spans="2:28" ht="15.75" customHeight="1"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</row>
    <row r="340" spans="2:28" ht="15.75" customHeight="1"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</row>
    <row r="341" spans="2:28" ht="15.75" customHeight="1"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</row>
    <row r="342" spans="2:28" ht="15.75" customHeight="1"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</row>
    <row r="343" spans="2:28" ht="15.75" customHeight="1"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</row>
    <row r="344" spans="2:28" ht="15.75" customHeight="1"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</row>
    <row r="345" spans="2:28" ht="15.75" customHeight="1"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</row>
    <row r="346" spans="2:28" ht="15.75" customHeight="1"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</row>
    <row r="347" spans="2:28" ht="15.75" customHeight="1"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</row>
    <row r="348" spans="2:28" ht="15.75" customHeight="1"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</row>
    <row r="349" spans="2:28" ht="15.75" customHeight="1"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</row>
    <row r="350" spans="2:28" ht="15.75" customHeight="1"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</row>
    <row r="351" spans="2:28" ht="15.75" customHeight="1"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</row>
    <row r="352" spans="2:28" ht="15.75" customHeight="1"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</row>
    <row r="353" spans="2:28" ht="15.75" customHeight="1"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</row>
    <row r="354" spans="2:28" ht="15.75" customHeight="1"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</row>
    <row r="355" spans="2:28" ht="15.75" customHeight="1"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</row>
    <row r="356" spans="2:28" ht="15.75" customHeight="1"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</row>
    <row r="357" spans="2:28" ht="15.75" customHeight="1"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</row>
    <row r="358" spans="2:28" ht="15.75" customHeight="1"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</row>
    <row r="359" spans="2:28" ht="15.75" customHeight="1"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</row>
    <row r="360" spans="2:28" ht="15.75" customHeight="1"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</row>
    <row r="361" spans="2:28" ht="15.75" customHeight="1"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</row>
    <row r="362" spans="2:28" ht="15.75" customHeight="1"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</row>
    <row r="363" spans="2:28" ht="15.75" customHeight="1"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</row>
    <row r="364" spans="2:28" ht="15.75" customHeight="1"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</row>
    <row r="365" spans="2:28" ht="15.75" customHeight="1"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</row>
    <row r="366" spans="2:28" ht="15.75" customHeight="1"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</row>
    <row r="367" spans="2:28" ht="15.75" customHeight="1"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</row>
    <row r="368" spans="2:28" ht="15.75" customHeight="1"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</row>
    <row r="369" spans="2:28" ht="15.75" customHeight="1"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</row>
    <row r="370" spans="2:28" ht="15.75" customHeight="1"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</row>
    <row r="371" spans="2:28" ht="15.75" customHeight="1"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</row>
    <row r="372" spans="2:28" ht="15.75" customHeight="1"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</row>
    <row r="373" spans="2:28" ht="15.75" customHeight="1"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</row>
    <row r="374" spans="2:28" ht="15.75" customHeight="1"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</row>
    <row r="375" spans="2:28" ht="15.75" customHeight="1"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</row>
    <row r="376" spans="2:28" ht="15.75" customHeight="1"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</row>
    <row r="377" spans="2:28" ht="15.75" customHeight="1"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</row>
    <row r="378" spans="2:28" ht="15.75" customHeight="1"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</row>
    <row r="379" spans="2:28" ht="15.75" customHeight="1"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</row>
    <row r="380" spans="2:28" ht="15.75" customHeight="1"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</row>
    <row r="381" spans="2:28" ht="15.75" customHeight="1"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</row>
    <row r="382" spans="2:28" ht="15.75" customHeight="1"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</row>
    <row r="383" spans="2:28" ht="15.75" customHeight="1"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</row>
    <row r="384" spans="2:28" ht="15.75" customHeight="1"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</row>
    <row r="385" spans="2:28" ht="15.75" customHeight="1"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</row>
    <row r="386" spans="2:28" ht="15.75" customHeight="1"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</row>
    <row r="387" spans="2:28" ht="15.75" customHeight="1"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</row>
    <row r="388" spans="2:28" ht="15.75" customHeight="1"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</row>
    <row r="389" spans="2:28" ht="15.75" customHeight="1"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</row>
    <row r="390" spans="2:28" ht="15.75" customHeight="1"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</row>
    <row r="391" spans="2:28" ht="15.75" customHeight="1"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</row>
    <row r="392" spans="2:28" ht="15.75" customHeight="1"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</row>
    <row r="393" spans="2:28" ht="15.75" customHeight="1"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</row>
    <row r="394" spans="2:28" ht="15.75" customHeight="1"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</row>
    <row r="395" spans="2:28" ht="15.75" customHeight="1"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</row>
    <row r="396" spans="2:28" ht="15.75" customHeight="1"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</row>
    <row r="397" spans="2:28" ht="15.75" customHeight="1"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</row>
    <row r="398" spans="2:28" ht="15.75" customHeight="1"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</row>
    <row r="399" spans="2:28" ht="15.75" customHeight="1"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</row>
    <row r="400" spans="2:28" ht="15.75" customHeight="1"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</row>
    <row r="401" spans="2:28" ht="15.75" customHeight="1"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</row>
    <row r="402" spans="2:28" ht="15.75" customHeight="1"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</row>
    <row r="403" spans="2:28" ht="15.75" customHeight="1"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</row>
    <row r="404" spans="2:28" ht="15.75" customHeight="1"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</row>
    <row r="405" spans="2:28" ht="15.75" customHeight="1"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</row>
    <row r="406" spans="2:28" ht="15.75" customHeight="1"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</row>
    <row r="407" spans="2:28" ht="15.75" customHeight="1"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</row>
    <row r="408" spans="2:28" ht="15.75" customHeight="1"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</row>
    <row r="409" spans="2:28" ht="15.75" customHeight="1"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</row>
    <row r="410" spans="2:28" ht="15.75" customHeight="1"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</row>
    <row r="411" spans="2:28" ht="15.75" customHeight="1"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</row>
    <row r="412" spans="2:28" ht="15.75" customHeight="1"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</row>
    <row r="413" spans="2:28" ht="15.75" customHeight="1"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</row>
    <row r="414" spans="2:28" ht="15.75" customHeight="1"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</row>
    <row r="415" spans="2:28" ht="15.75" customHeight="1"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</row>
    <row r="416" spans="2:28" ht="15.75" customHeight="1"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</row>
    <row r="417" spans="2:28" ht="15.75" customHeight="1"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</row>
    <row r="418" spans="2:28" ht="15.75" customHeight="1"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</row>
    <row r="419" spans="2:28" ht="15.75" customHeight="1"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</row>
    <row r="420" spans="2:28" ht="15.75" customHeight="1"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</row>
    <row r="421" spans="2:28" ht="15.75" customHeight="1"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</row>
    <row r="422" spans="2:28" ht="15.75" customHeight="1"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</row>
    <row r="423" spans="2:28" ht="15.75" customHeight="1"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</row>
    <row r="424" spans="2:28" ht="15.75" customHeight="1"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</row>
    <row r="425" spans="2:28" ht="15.75" customHeight="1"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</row>
    <row r="426" spans="2:28" ht="15.75" customHeight="1"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</row>
    <row r="427" spans="2:28" ht="15.75" customHeight="1"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</row>
    <row r="428" spans="2:28" ht="15.75" customHeight="1"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</row>
    <row r="429" spans="2:28" ht="15.75" customHeight="1"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</row>
    <row r="430" spans="2:28" ht="15.75" customHeight="1"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</row>
    <row r="431" spans="2:28" ht="15.75" customHeight="1"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</row>
    <row r="432" spans="2:28" ht="15.75" customHeight="1"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</row>
    <row r="433" spans="2:28" ht="15.75" customHeight="1"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</row>
    <row r="434" spans="2:28" ht="15.75" customHeight="1"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</row>
    <row r="435" spans="2:28" ht="15.75" customHeight="1"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</row>
    <row r="436" spans="2:28" ht="15.75" customHeight="1"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</row>
    <row r="437" spans="2:28" ht="15.75" customHeight="1"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</row>
    <row r="438" spans="2:28" ht="15.75" customHeight="1"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</row>
    <row r="439" spans="2:28" ht="15.75" customHeight="1"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</row>
    <row r="440" spans="2:28" ht="15.75" customHeight="1"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</row>
    <row r="441" spans="2:28" ht="15.75" customHeight="1"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</row>
    <row r="442" spans="2:28" ht="15.75" customHeight="1"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</row>
    <row r="443" spans="2:28" ht="15.75" customHeight="1"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</row>
    <row r="444" spans="2:28" ht="15.75" customHeight="1"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</row>
    <row r="445" spans="2:28" ht="15.75" customHeight="1"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</row>
    <row r="446" spans="2:28" ht="15.75" customHeight="1"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</row>
    <row r="447" spans="2:28" ht="15.75" customHeight="1"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</row>
    <row r="448" spans="2:28" ht="15.75" customHeight="1"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</row>
    <row r="449" spans="2:28" ht="15.75" customHeight="1"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</row>
    <row r="450" spans="2:28" ht="15.75" customHeight="1"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</row>
    <row r="451" spans="2:28" ht="15.75" customHeight="1"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</row>
    <row r="452" spans="2:28" ht="15.75" customHeight="1"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</row>
    <row r="453" spans="2:28" ht="15.75" customHeight="1"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</row>
    <row r="454" spans="2:28" ht="15.75" customHeight="1"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</row>
    <row r="455" spans="2:28" ht="15.75" customHeight="1"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</row>
    <row r="456" spans="2:28" ht="15.75" customHeight="1"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</row>
    <row r="457" spans="2:28" ht="15.75" customHeight="1"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</row>
    <row r="458" spans="2:28" ht="15.75" customHeight="1"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</row>
    <row r="459" spans="2:28" ht="15.75" customHeight="1"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</row>
    <row r="460" spans="2:28" ht="15.75" customHeight="1"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</row>
    <row r="461" spans="2:28" ht="15.75" customHeight="1"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</row>
    <row r="462" spans="2:28" ht="15.75" customHeight="1"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</row>
    <row r="463" spans="2:28" ht="15.75" customHeight="1"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</row>
    <row r="464" spans="2:28" ht="15.75" customHeight="1"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</row>
    <row r="465" spans="2:28" ht="15.75" customHeight="1"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</row>
    <row r="466" spans="2:28" ht="15.75" customHeight="1"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</row>
    <row r="467" spans="2:28" ht="15.75" customHeight="1"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</row>
    <row r="468" spans="2:28" ht="15.75" customHeight="1"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</row>
    <row r="469" spans="2:28" ht="15.75" customHeight="1"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</row>
    <row r="470" spans="2:28" ht="15.75" customHeight="1"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</row>
    <row r="471" spans="2:28" ht="15.75" customHeight="1"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</row>
    <row r="472" spans="2:28" ht="15.75" customHeight="1"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</row>
    <row r="473" spans="2:28" ht="15.75" customHeight="1"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</row>
    <row r="474" spans="2:28" ht="15.75" customHeight="1"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</row>
    <row r="475" spans="2:28" ht="15.75" customHeight="1"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</row>
    <row r="476" spans="2:28" ht="15.75" customHeight="1"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</row>
    <row r="477" spans="2:28" ht="15.75" customHeight="1"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</row>
    <row r="478" spans="2:28" ht="15.75" customHeight="1"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</row>
    <row r="479" spans="2:28" ht="15.75" customHeight="1"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</row>
    <row r="480" spans="2:28" ht="15.75" customHeight="1"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</row>
    <row r="481" spans="2:28" ht="15.75" customHeight="1"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</row>
    <row r="482" spans="2:28" ht="15.75" customHeight="1"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</row>
    <row r="483" spans="2:28" ht="15.75" customHeight="1"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</row>
    <row r="484" spans="2:28" ht="15.75" customHeight="1"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</row>
    <row r="485" spans="2:28" ht="15.75" customHeight="1"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</row>
    <row r="486" spans="2:28" ht="15.75" customHeight="1"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</row>
    <row r="487" spans="2:28" ht="15.75" customHeight="1"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</row>
    <row r="488" spans="2:28" ht="15.75" customHeight="1"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</row>
    <row r="489" spans="2:28" ht="15.75" customHeight="1"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</row>
    <row r="490" spans="2:28" ht="15.75" customHeight="1"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</row>
    <row r="491" spans="2:28" ht="15.75" customHeight="1"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</row>
    <row r="492" spans="2:28" ht="15.75" customHeight="1"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</row>
    <row r="493" spans="2:28" ht="15.75" customHeight="1"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</row>
    <row r="494" spans="2:28" ht="15.75" customHeight="1"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</row>
    <row r="495" spans="2:28" ht="15.75" customHeight="1"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</row>
    <row r="496" spans="2:28" ht="15.75" customHeight="1"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</row>
    <row r="497" spans="2:28" ht="15.75" customHeight="1"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</row>
    <row r="498" spans="2:28" ht="15.75" customHeight="1"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</row>
    <row r="499" spans="2:28" ht="15.75" customHeight="1"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</row>
    <row r="500" spans="2:28" ht="15.75" customHeight="1"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</row>
    <row r="501" spans="2:28" ht="15.75" customHeight="1"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</row>
    <row r="502" spans="2:28" ht="15.75" customHeight="1"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</row>
    <row r="503" spans="2:28" ht="15.75" customHeight="1"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</row>
    <row r="504" spans="2:28" ht="15.75" customHeight="1"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</row>
    <row r="505" spans="2:28" ht="15.75" customHeight="1"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</row>
    <row r="506" spans="2:28" ht="15.75" customHeight="1"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</row>
    <row r="507" spans="2:28" ht="15.75" customHeight="1"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</row>
    <row r="508" spans="2:28" ht="15.75" customHeight="1"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</row>
    <row r="509" spans="2:28" ht="15.75" customHeight="1"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</row>
    <row r="510" spans="2:28" ht="15.75" customHeight="1"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</row>
    <row r="511" spans="2:28" ht="15.75" customHeight="1"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</row>
    <row r="512" spans="2:28" ht="15.75" customHeight="1"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</row>
    <row r="513" spans="2:28" ht="15.75" customHeight="1"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</row>
    <row r="514" spans="2:28" ht="15.75" customHeight="1"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</row>
    <row r="515" spans="2:28" ht="15.75" customHeight="1"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</row>
    <row r="516" spans="2:28" ht="15.75" customHeight="1"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</row>
    <row r="517" spans="2:28" ht="15.75" customHeight="1"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</row>
    <row r="518" spans="2:28" ht="15.75" customHeight="1"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</row>
    <row r="519" spans="2:28" ht="15.75" customHeight="1"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</row>
    <row r="520" spans="2:28" ht="15.75" customHeight="1"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</row>
    <row r="521" spans="2:28" ht="15.75" customHeight="1"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</row>
    <row r="522" spans="2:28" ht="15.75" customHeight="1"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</row>
    <row r="523" spans="2:28" ht="15.75" customHeight="1"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</row>
    <row r="524" spans="2:28" ht="15.75" customHeight="1"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</row>
    <row r="525" spans="2:28" ht="15.75" customHeight="1"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</row>
    <row r="526" spans="2:28" ht="15.75" customHeight="1"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</row>
    <row r="527" spans="2:28" ht="15.75" customHeight="1"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</row>
    <row r="528" spans="2:28" ht="15.75" customHeight="1"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</row>
    <row r="529" spans="2:28" ht="15.75" customHeight="1"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</row>
    <row r="530" spans="2:28" ht="15.75" customHeight="1"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</row>
    <row r="531" spans="2:28" ht="15.75" customHeight="1"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</row>
    <row r="532" spans="2:28" ht="15.75" customHeight="1"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</row>
    <row r="533" spans="2:28" ht="15.75" customHeight="1"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</row>
    <row r="534" spans="2:28" ht="15.75" customHeight="1"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</row>
    <row r="535" spans="2:28" ht="15.75" customHeight="1"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</row>
    <row r="536" spans="2:28" ht="15.75" customHeight="1"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</row>
    <row r="537" spans="2:28" ht="15.75" customHeight="1"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</row>
    <row r="538" spans="2:28" ht="15.75" customHeight="1"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</row>
    <row r="539" spans="2:28" ht="15.75" customHeight="1"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</row>
    <row r="540" spans="2:28" ht="15.75" customHeight="1"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</row>
    <row r="541" spans="2:28" ht="15.75" customHeight="1"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</row>
    <row r="542" spans="2:28" ht="15.75" customHeight="1"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</row>
    <row r="543" spans="2:28" ht="15.75" customHeight="1"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</row>
    <row r="544" spans="2:28" ht="15.75" customHeight="1"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</row>
    <row r="545" spans="2:28" ht="15.75" customHeight="1"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</row>
    <row r="546" spans="2:28" ht="15.75" customHeight="1"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</row>
    <row r="547" spans="2:28" ht="15.75" customHeight="1"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</row>
    <row r="548" spans="2:28" ht="15.75" customHeight="1"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</row>
    <row r="549" spans="2:28" ht="15.75" customHeight="1"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</row>
    <row r="550" spans="2:28" ht="15.75" customHeight="1"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</row>
    <row r="551" spans="2:28" ht="15.75" customHeight="1"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</row>
    <row r="552" spans="2:28" ht="15.75" customHeight="1"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</row>
    <row r="553" spans="2:28" ht="15.75" customHeight="1"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</row>
    <row r="554" spans="2:28" ht="15.75" customHeight="1"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</row>
    <row r="555" spans="2:28" ht="15.75" customHeight="1"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</row>
    <row r="556" spans="2:28" ht="15.75" customHeight="1"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</row>
    <row r="557" spans="2:28" ht="15.75" customHeight="1"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</row>
    <row r="558" spans="2:28" ht="15.75" customHeight="1"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</row>
    <row r="559" spans="2:28" ht="15.75" customHeight="1"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</row>
    <row r="560" spans="2:28" ht="15.75" customHeight="1"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</row>
    <row r="561" spans="2:28" ht="15.75" customHeight="1"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</row>
    <row r="562" spans="2:28" ht="15.75" customHeight="1"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</row>
    <row r="563" spans="2:28" ht="15.75" customHeight="1"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</row>
    <row r="564" spans="2:28" ht="15.75" customHeight="1"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</row>
    <row r="565" spans="2:28" ht="15.75" customHeight="1"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</row>
    <row r="566" spans="2:28" ht="15.75" customHeight="1"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</row>
    <row r="567" spans="2:28" ht="15.75" customHeight="1"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</row>
    <row r="568" spans="2:28" ht="15.75" customHeight="1"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</row>
    <row r="569" spans="2:28" ht="15.75" customHeight="1"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</row>
    <row r="570" spans="2:28" ht="15.75" customHeight="1"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</row>
    <row r="571" spans="2:28" ht="15.75" customHeight="1"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</row>
    <row r="572" spans="2:28" ht="15.75" customHeight="1"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</row>
    <row r="573" spans="2:28" ht="15.75" customHeight="1"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</row>
    <row r="574" spans="2:28" ht="15.75" customHeight="1"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</row>
    <row r="575" spans="2:28" ht="15.75" customHeight="1"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</row>
    <row r="576" spans="2:28" ht="15.75" customHeight="1"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</row>
    <row r="577" spans="2:28" ht="15.75" customHeight="1"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</row>
    <row r="578" spans="2:28" ht="15.75" customHeight="1"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</row>
    <row r="579" spans="2:28" ht="15.75" customHeight="1"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</row>
    <row r="580" spans="2:28" ht="15.75" customHeight="1"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</row>
    <row r="581" spans="2:28" ht="15.75" customHeight="1"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</row>
    <row r="582" spans="2:28" ht="15.75" customHeight="1"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</row>
    <row r="583" spans="2:28" ht="15.75" customHeight="1"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</row>
    <row r="584" spans="2:28" ht="15.75" customHeight="1"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</row>
    <row r="585" spans="2:28" ht="15.75" customHeight="1"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</row>
    <row r="586" spans="2:28" ht="15.75" customHeight="1"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</row>
    <row r="587" spans="2:28" ht="15.75" customHeight="1"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</row>
    <row r="588" spans="2:28" ht="15.75" customHeight="1"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</row>
    <row r="589" spans="2:28" ht="15.75" customHeight="1"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</row>
    <row r="590" spans="2:28" ht="15.75" customHeight="1"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</row>
    <row r="591" spans="2:28" ht="15.75" customHeight="1"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</row>
    <row r="592" spans="2:28" ht="15.75" customHeight="1"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</row>
    <row r="593" spans="2:28" ht="15.75" customHeight="1"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</row>
    <row r="594" spans="2:28" ht="15.75" customHeight="1"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</row>
    <row r="595" spans="2:28" ht="15.75" customHeight="1"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</row>
    <row r="596" spans="2:28" ht="15.75" customHeight="1"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</row>
    <row r="597" spans="2:28" ht="15.75" customHeight="1"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</row>
    <row r="598" spans="2:28" ht="15.75" customHeight="1"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</row>
    <row r="599" spans="2:28" ht="15.75" customHeight="1"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</row>
    <row r="600" spans="2:28" ht="15.75" customHeight="1"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</row>
    <row r="601" spans="2:28" ht="15.75" customHeight="1"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</row>
    <row r="602" spans="2:28" ht="15.75" customHeight="1"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</row>
    <row r="603" spans="2:28" ht="15.75" customHeight="1"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</row>
    <row r="604" spans="2:28" ht="15.75" customHeight="1"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</row>
    <row r="605" spans="2:28" ht="15.75" customHeight="1"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</row>
    <row r="606" spans="2:28" ht="15.75" customHeight="1"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</row>
    <row r="607" spans="2:28" ht="15.75" customHeight="1"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</row>
    <row r="608" spans="2:28" ht="15.75" customHeight="1"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</row>
    <row r="609" spans="2:28" ht="15.75" customHeight="1"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</row>
    <row r="610" spans="2:28" ht="15.75" customHeight="1"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</row>
    <row r="611" spans="2:28" ht="15.75" customHeight="1"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</row>
    <row r="612" spans="2:28" ht="15.75" customHeight="1"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</row>
    <row r="613" spans="2:28" ht="15.75" customHeight="1"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</row>
    <row r="614" spans="2:28" ht="15.75" customHeight="1"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</row>
    <row r="615" spans="2:28" ht="15.75" customHeight="1"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</row>
    <row r="616" spans="2:28" ht="15.75" customHeight="1"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</row>
    <row r="617" spans="2:28" ht="15.75" customHeight="1"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</row>
    <row r="618" spans="2:28" ht="15.75" customHeight="1"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</row>
    <row r="619" spans="2:28" ht="15.75" customHeight="1"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</row>
    <row r="620" spans="2:28" ht="15.75" customHeight="1"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</row>
    <row r="621" spans="2:28" ht="15.75" customHeight="1"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</row>
    <row r="622" spans="2:28" ht="15.75" customHeight="1"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</row>
    <row r="623" spans="2:28" ht="15.75" customHeight="1"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</row>
    <row r="624" spans="2:28" ht="15.75" customHeight="1"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</row>
    <row r="625" spans="2:28" ht="15.75" customHeight="1"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</row>
    <row r="626" spans="2:28" ht="15.75" customHeight="1"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</row>
    <row r="627" spans="2:28" ht="15.75" customHeight="1"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</row>
    <row r="628" spans="2:28" ht="15.75" customHeight="1"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</row>
    <row r="629" spans="2:28" ht="15.75" customHeight="1"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</row>
    <row r="630" spans="2:28" ht="15.75" customHeight="1"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</row>
    <row r="631" spans="2:28" ht="15.75" customHeight="1"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</row>
    <row r="632" spans="2:28" ht="15.75" customHeight="1"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</row>
    <row r="633" spans="2:28" ht="15.75" customHeight="1"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</row>
    <row r="634" spans="2:28" ht="15.75" customHeight="1"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</row>
    <row r="635" spans="2:28" ht="15.75" customHeight="1"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</row>
    <row r="636" spans="2:28" ht="15.75" customHeight="1"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</row>
    <row r="637" spans="2:28" ht="15.75" customHeight="1"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</row>
    <row r="638" spans="2:28" ht="15.75" customHeight="1"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</row>
    <row r="639" spans="2:28" ht="15.75" customHeight="1"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</row>
    <row r="640" spans="2:28" ht="15.75" customHeight="1"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</row>
    <row r="641" spans="2:28" ht="15.75" customHeight="1"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</row>
    <row r="642" spans="2:28" ht="15.75" customHeight="1"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</row>
    <row r="643" spans="2:28" ht="15.75" customHeight="1"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</row>
    <row r="644" spans="2:28" ht="15.75" customHeight="1"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</row>
    <row r="645" spans="2:28" ht="15.75" customHeight="1"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</row>
    <row r="646" spans="2:28" ht="15.75" customHeight="1"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</row>
    <row r="647" spans="2:28" ht="15.75" customHeight="1"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</row>
    <row r="648" spans="2:28" ht="15.75" customHeight="1"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</row>
    <row r="649" spans="2:28" ht="15.75" customHeight="1"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</row>
    <row r="650" spans="2:28" ht="15.75" customHeight="1"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</row>
    <row r="651" spans="2:28" ht="15.75" customHeight="1"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</row>
    <row r="652" spans="2:28" ht="15.75" customHeight="1"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</row>
    <row r="653" spans="2:28" ht="15.75" customHeight="1"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</row>
    <row r="654" spans="2:28" ht="15.75" customHeight="1"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</row>
    <row r="655" spans="2:28" ht="15.75" customHeight="1"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</row>
    <row r="656" spans="2:28" ht="15.75" customHeight="1"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</row>
    <row r="657" spans="2:28" ht="15.75" customHeight="1"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</row>
    <row r="658" spans="2:28" ht="15.75" customHeight="1"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</row>
    <row r="659" spans="2:28" ht="15.75" customHeight="1"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</row>
    <row r="660" spans="2:28" ht="15.75" customHeight="1"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</row>
    <row r="661" spans="2:28" ht="15.75" customHeight="1"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</row>
    <row r="662" spans="2:28" ht="15.75" customHeight="1"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</row>
    <row r="663" spans="2:28" ht="15.75" customHeight="1"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</row>
    <row r="664" spans="2:28" ht="15.75" customHeight="1"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</row>
    <row r="665" spans="2:28" ht="15.75" customHeight="1"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</row>
    <row r="666" spans="2:28" ht="15.75" customHeight="1"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</row>
    <row r="667" spans="2:28" ht="15.75" customHeight="1"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</row>
    <row r="668" spans="2:28" ht="15.75" customHeight="1"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</row>
    <row r="669" spans="2:28" ht="15.75" customHeight="1"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</row>
    <row r="670" spans="2:28" ht="15.75" customHeight="1"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</row>
    <row r="671" spans="2:28" ht="15.75" customHeight="1"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</row>
    <row r="672" spans="2:28" ht="15.75" customHeight="1"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</row>
    <row r="673" spans="2:28" ht="15.75" customHeight="1"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</row>
    <row r="674" spans="2:28" ht="15.75" customHeight="1"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</row>
    <row r="675" spans="2:28" ht="15.75" customHeight="1"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</row>
    <row r="676" spans="2:28" ht="15.75" customHeight="1"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</row>
    <row r="677" spans="2:28" ht="15.75" customHeight="1"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</row>
    <row r="678" spans="2:28" ht="15.75" customHeight="1"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</row>
    <row r="679" spans="2:28" ht="15.75" customHeight="1"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</row>
    <row r="680" spans="2:28" ht="15.75" customHeight="1"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</row>
    <row r="681" spans="2:28" ht="15.75" customHeight="1"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</row>
    <row r="682" spans="2:28" ht="15.75" customHeight="1"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</row>
    <row r="683" spans="2:28" ht="15.75" customHeight="1"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</row>
    <row r="684" spans="2:28" ht="15.75" customHeight="1"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</row>
    <row r="685" spans="2:28" ht="15.75" customHeight="1"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</row>
    <row r="686" spans="2:28" ht="15.75" customHeight="1"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</row>
    <row r="687" spans="2:28" ht="15.75" customHeight="1"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</row>
    <row r="688" spans="2:28" ht="15.75" customHeight="1"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</row>
    <row r="689" spans="2:28" ht="15.75" customHeight="1"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</row>
    <row r="690" spans="2:28" ht="15.75" customHeight="1"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</row>
    <row r="691" spans="2:28" ht="15.75" customHeight="1"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</row>
    <row r="692" spans="2:28" ht="15.75" customHeight="1"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</row>
    <row r="693" spans="2:28" ht="15.75" customHeight="1"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</row>
    <row r="694" spans="2:28" ht="15.75" customHeight="1"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</row>
    <row r="695" spans="2:28" ht="15.75" customHeight="1"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</row>
    <row r="696" spans="2:28" ht="15.75" customHeight="1"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</row>
    <row r="697" spans="2:28" ht="15.75" customHeight="1"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</row>
    <row r="698" spans="2:28" ht="15.75" customHeight="1"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</row>
    <row r="699" spans="2:28" ht="15.75" customHeight="1"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</row>
    <row r="700" spans="2:28" ht="15.75" customHeight="1"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</row>
    <row r="701" spans="2:28" ht="15.75" customHeight="1"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</row>
    <row r="702" spans="2:28" ht="15.75" customHeight="1"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</row>
    <row r="703" spans="2:28" ht="15.75" customHeight="1"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</row>
    <row r="704" spans="2:28" ht="15.75" customHeight="1"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</row>
    <row r="705" spans="2:28" ht="15.75" customHeight="1"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</row>
    <row r="706" spans="2:28" ht="15.75" customHeight="1"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</row>
    <row r="707" spans="2:28" ht="15.75" customHeight="1"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</row>
    <row r="708" spans="2:28" ht="15.75" customHeight="1"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</row>
    <row r="709" spans="2:28" ht="15.75" customHeight="1"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</row>
    <row r="710" spans="2:28" ht="15.75" customHeight="1"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</row>
    <row r="711" spans="2:28" ht="15.75" customHeight="1"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</row>
    <row r="712" spans="2:28" ht="15.75" customHeight="1"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</row>
    <row r="713" spans="2:28" ht="15.75" customHeight="1"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</row>
    <row r="714" spans="2:28" ht="15.75" customHeight="1"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</row>
    <row r="715" spans="2:28" ht="15.75" customHeight="1"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</row>
    <row r="716" spans="2:28" ht="15.75" customHeight="1"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</row>
    <row r="717" spans="2:28" ht="15.75" customHeight="1"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</row>
    <row r="718" spans="2:28" ht="15.75" customHeight="1"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</row>
    <row r="719" spans="2:28" ht="15.75" customHeight="1"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</row>
    <row r="720" spans="2:28" ht="15.75" customHeight="1"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</row>
    <row r="721" spans="2:28" ht="15.75" customHeight="1"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</row>
    <row r="722" spans="2:28" ht="15.75" customHeight="1"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</row>
    <row r="723" spans="2:28" ht="15.75" customHeight="1"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</row>
    <row r="724" spans="2:28" ht="15.75" customHeight="1"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</row>
    <row r="725" spans="2:28" ht="15.75" customHeight="1"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</row>
    <row r="726" spans="2:28" ht="15.75" customHeight="1"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</row>
    <row r="727" spans="2:28" ht="15.75" customHeight="1"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</row>
    <row r="728" spans="2:28" ht="15.75" customHeight="1"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</row>
    <row r="729" spans="2:28" ht="15.75" customHeight="1"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</row>
    <row r="730" spans="2:28" ht="15.75" customHeight="1"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</row>
    <row r="731" spans="2:28" ht="15.75" customHeight="1"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</row>
    <row r="732" spans="2:28" ht="15.75" customHeight="1"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</row>
    <row r="733" spans="2:28" ht="15.75" customHeight="1"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</row>
    <row r="734" spans="2:28" ht="15.75" customHeight="1"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</row>
    <row r="735" spans="2:28" ht="15.75" customHeight="1"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</row>
    <row r="736" spans="2:28" ht="15.75" customHeight="1"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</row>
    <row r="737" spans="2:28" ht="15.75" customHeight="1"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</row>
    <row r="738" spans="2:28" ht="15.75" customHeight="1"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</row>
    <row r="739" spans="2:28" ht="15.75" customHeight="1"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</row>
    <row r="740" spans="2:28" ht="15.75" customHeight="1"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</row>
    <row r="741" spans="2:28" ht="15.75" customHeight="1"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</row>
    <row r="742" spans="2:28" ht="15.75" customHeight="1"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</row>
    <row r="743" spans="2:28" ht="15.75" customHeight="1"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</row>
    <row r="744" spans="2:28" ht="15.75" customHeight="1"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</row>
    <row r="745" spans="2:28" ht="15.75" customHeight="1"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</row>
    <row r="746" spans="2:28" ht="15.75" customHeight="1"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</row>
    <row r="747" spans="2:28" ht="15.75" customHeight="1"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</row>
    <row r="748" spans="2:28" ht="15.75" customHeight="1"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</row>
    <row r="749" spans="2:28" ht="15.75" customHeight="1"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</row>
    <row r="750" spans="2:28" ht="15.75" customHeight="1"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</row>
    <row r="751" spans="2:28" ht="15.75" customHeight="1"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</row>
    <row r="752" spans="2:28" ht="15.75" customHeight="1"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</row>
    <row r="753" spans="2:28" ht="15.75" customHeight="1"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</row>
    <row r="754" spans="2:28" ht="15.75" customHeight="1"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</row>
    <row r="755" spans="2:28" ht="15.75" customHeight="1"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</row>
    <row r="756" spans="2:28" ht="15.75" customHeight="1"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</row>
    <row r="757" spans="2:28" ht="15.75" customHeight="1"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</row>
    <row r="758" spans="2:28" ht="15.75" customHeight="1"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</row>
    <row r="759" spans="2:28" ht="15.75" customHeight="1"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</row>
    <row r="760" spans="2:28" ht="15.75" customHeight="1"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</row>
    <row r="761" spans="2:28" ht="15.75" customHeight="1"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</row>
    <row r="762" spans="2:28" ht="15.75" customHeight="1"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</row>
    <row r="763" spans="2:28" ht="15.75" customHeight="1"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</row>
    <row r="764" spans="2:28" ht="15.75" customHeight="1"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</row>
    <row r="765" spans="2:28" ht="15.75" customHeight="1"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</row>
    <row r="766" spans="2:28" ht="15.75" customHeight="1"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</row>
    <row r="767" spans="2:28" ht="15.75" customHeight="1"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</row>
    <row r="768" spans="2:28" ht="15.75" customHeight="1"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</row>
    <row r="769" spans="2:28" ht="15.75" customHeight="1"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</row>
    <row r="770" spans="2:28" ht="15.75" customHeight="1"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</row>
    <row r="771" spans="2:28" ht="15.75" customHeight="1"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</row>
    <row r="772" spans="2:28" ht="15.75" customHeight="1"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</row>
    <row r="773" spans="2:28" ht="15.75" customHeight="1"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</row>
    <row r="774" spans="2:28" ht="15.75" customHeight="1"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</row>
    <row r="775" spans="2:28" ht="15.75" customHeight="1"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</row>
    <row r="776" spans="2:28" ht="15.75" customHeight="1"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</row>
    <row r="777" spans="2:28" ht="15.75" customHeight="1"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</row>
    <row r="778" spans="2:28" ht="15.75" customHeight="1"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</row>
    <row r="779" spans="2:28" ht="15.75" customHeight="1"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</row>
    <row r="780" spans="2:28" ht="15.75" customHeight="1"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</row>
    <row r="781" spans="2:28" ht="15.75" customHeight="1"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</row>
    <row r="782" spans="2:28" ht="15.75" customHeight="1"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</row>
    <row r="783" spans="2:28" ht="15.75" customHeight="1"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</row>
    <row r="784" spans="2:28" ht="15.75" customHeight="1"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</row>
    <row r="785" spans="2:28" ht="15.75" customHeight="1"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</row>
    <row r="786" spans="2:28" ht="15.75" customHeight="1"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</row>
    <row r="787" spans="2:28" ht="15.75" customHeight="1"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</row>
    <row r="788" spans="2:28" ht="15.75" customHeight="1"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</row>
    <row r="789" spans="2:28" ht="15.75" customHeight="1"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</row>
    <row r="790" spans="2:28" ht="15.75" customHeight="1"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</row>
    <row r="791" spans="2:28" ht="15.75" customHeight="1"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</row>
    <row r="792" spans="2:28" ht="15.75" customHeight="1"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</row>
    <row r="793" spans="2:28" ht="15.75" customHeight="1"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</row>
    <row r="794" spans="2:28" ht="15.75" customHeight="1"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</row>
    <row r="795" spans="2:28" ht="15.75" customHeight="1"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</row>
    <row r="796" spans="2:28" ht="15.75" customHeight="1"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</row>
    <row r="797" spans="2:28" ht="15.75" customHeight="1"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</row>
    <row r="798" spans="2:28" ht="15.75" customHeight="1"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</row>
    <row r="799" spans="2:28" ht="15.75" customHeight="1"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</row>
    <row r="800" spans="2:28" ht="15.75" customHeight="1"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</row>
    <row r="801" spans="2:28" ht="15.75" customHeight="1"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</row>
    <row r="802" spans="2:28" ht="15.75" customHeight="1"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</row>
    <row r="803" spans="2:28" ht="15.75" customHeight="1"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</row>
    <row r="804" spans="2:28" ht="15.75" customHeight="1"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</row>
    <row r="805" spans="2:28" ht="15.75" customHeight="1"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</row>
    <row r="806" spans="2:28" ht="15.75" customHeight="1"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</row>
    <row r="807" spans="2:28" ht="15.75" customHeight="1"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</row>
    <row r="808" spans="2:28" ht="15.75" customHeight="1"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</row>
    <row r="809" spans="2:28" ht="15.75" customHeight="1"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</row>
    <row r="810" spans="2:28" ht="15.75" customHeight="1"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</row>
    <row r="811" spans="2:28" ht="15.75" customHeight="1"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</row>
    <row r="812" spans="2:28" ht="15.75" customHeight="1"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</row>
    <row r="813" spans="2:28" ht="15.75" customHeight="1"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</row>
    <row r="814" spans="2:28" ht="15.75" customHeight="1"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</row>
    <row r="815" spans="2:28" ht="15.75" customHeight="1"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</row>
    <row r="816" spans="2:28" ht="15.75" customHeight="1"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</row>
    <row r="817" spans="2:28" ht="15.75" customHeight="1"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</row>
    <row r="818" spans="2:28" ht="15.75" customHeight="1"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</row>
    <row r="819" spans="2:28" ht="15.75" customHeight="1"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</row>
    <row r="820" spans="2:28" ht="15.75" customHeight="1"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</row>
    <row r="821" spans="2:28" ht="15.75" customHeight="1"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</row>
    <row r="822" spans="2:28" ht="15.75" customHeight="1"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</row>
    <row r="823" spans="2:28" ht="15.75" customHeight="1"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</row>
    <row r="824" spans="2:28" ht="15.75" customHeight="1"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</row>
    <row r="825" spans="2:28" ht="15.75" customHeight="1"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</row>
    <row r="826" spans="2:28" ht="15.75" customHeight="1"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</row>
    <row r="827" spans="2:28" ht="15.75" customHeight="1"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</row>
    <row r="828" spans="2:28" ht="15.75" customHeight="1"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</row>
    <row r="829" spans="2:28" ht="15.75" customHeight="1"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</row>
    <row r="830" spans="2:28" ht="15.75" customHeight="1"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</row>
    <row r="831" spans="2:28" ht="15.75" customHeight="1"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</row>
    <row r="832" spans="2:28" ht="15.75" customHeight="1"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</row>
    <row r="833" spans="2:28" ht="15.75" customHeight="1"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</row>
    <row r="834" spans="2:28" ht="15.75" customHeight="1"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</row>
    <row r="835" spans="2:28" ht="15.75" customHeight="1"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</row>
    <row r="836" spans="2:28" ht="15.75" customHeight="1"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</row>
    <row r="837" spans="2:28" ht="15.75" customHeight="1"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</row>
    <row r="838" spans="2:28" ht="15.75" customHeight="1"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</row>
    <row r="839" spans="2:28" ht="15.75" customHeight="1"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</row>
    <row r="840" spans="2:28" ht="15.75" customHeight="1"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</row>
    <row r="841" spans="2:28" ht="15.75" customHeight="1"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</row>
    <row r="842" spans="2:28" ht="15.75" customHeight="1"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</row>
    <row r="843" spans="2:28" ht="15.75" customHeight="1"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</row>
    <row r="844" spans="2:28" ht="15.75" customHeight="1"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</row>
    <row r="845" spans="2:28" ht="15.75" customHeight="1"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</row>
    <row r="846" spans="2:28" ht="15.75" customHeight="1"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</row>
    <row r="847" spans="2:28" ht="15.75" customHeight="1"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</row>
    <row r="848" spans="2:28" ht="15.75" customHeight="1"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</row>
    <row r="849" spans="2:28" ht="15.75" customHeight="1"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</row>
    <row r="850" spans="2:28" ht="15.75" customHeight="1"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</row>
    <row r="851" spans="2:28" ht="15.75" customHeight="1"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</row>
    <row r="852" spans="2:28" ht="15.75" customHeight="1"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</row>
    <row r="853" spans="2:28" ht="15.75" customHeight="1"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</row>
    <row r="854" spans="2:28" ht="15.75" customHeight="1"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</row>
    <row r="855" spans="2:28" ht="15.75" customHeight="1"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</row>
    <row r="856" spans="2:28" ht="15.75" customHeight="1"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</row>
    <row r="857" spans="2:28" ht="15.75" customHeight="1"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</row>
    <row r="858" spans="2:28" ht="15.75" customHeight="1"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</row>
    <row r="859" spans="2:28" ht="15.75" customHeight="1"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</row>
    <row r="860" spans="2:28" ht="15.75" customHeight="1"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</row>
    <row r="861" spans="2:28" ht="15.75" customHeight="1"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</row>
    <row r="862" spans="2:28" ht="15.75" customHeight="1"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</row>
    <row r="863" spans="2:28" ht="15.75" customHeight="1"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</row>
    <row r="864" spans="2:28" ht="15.75" customHeight="1"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</row>
    <row r="865" spans="2:28" ht="15.75" customHeight="1"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</row>
    <row r="866" spans="2:28" ht="15.75" customHeight="1"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</row>
    <row r="867" spans="2:28" ht="15.75" customHeight="1"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</row>
    <row r="868" spans="2:28" ht="15.75" customHeight="1"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</row>
    <row r="869" spans="2:28" ht="15.75" customHeight="1"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</row>
    <row r="870" spans="2:28" ht="15.75" customHeight="1"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</row>
    <row r="871" spans="2:28" ht="15.75" customHeight="1"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</row>
    <row r="872" spans="2:28" ht="15.75" customHeight="1"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</row>
    <row r="873" spans="2:28" ht="15.75" customHeight="1"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</row>
    <row r="874" spans="2:28" ht="15.75" customHeight="1"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</row>
    <row r="875" spans="2:28" ht="15.75" customHeight="1"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</row>
    <row r="876" spans="2:28" ht="15.75" customHeight="1"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</row>
    <row r="877" spans="2:28" ht="15.75" customHeight="1"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</row>
    <row r="878" spans="2:28" ht="15.75" customHeight="1"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</row>
    <row r="879" spans="2:28" ht="15.75" customHeight="1"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</row>
    <row r="880" spans="2:28" ht="15.75" customHeight="1"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</row>
    <row r="881" spans="2:28" ht="15.75" customHeight="1"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</row>
    <row r="882" spans="2:28" ht="15.75" customHeight="1"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</row>
    <row r="883" spans="2:28" ht="15.75" customHeight="1"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</row>
    <row r="884" spans="2:28" ht="15.75" customHeight="1"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</row>
    <row r="885" spans="2:28" ht="15.75" customHeight="1"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</row>
    <row r="886" spans="2:28" ht="15.75" customHeight="1"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</row>
    <row r="887" spans="2:28" ht="15.75" customHeight="1"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</row>
    <row r="888" spans="2:28" ht="15.75" customHeight="1"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</row>
    <row r="889" spans="2:28" ht="15.75" customHeight="1"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</row>
    <row r="890" spans="2:28" ht="15.75" customHeight="1"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</row>
    <row r="891" spans="2:28" ht="15.75" customHeight="1"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</row>
    <row r="892" spans="2:28" ht="15.75" customHeight="1"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</row>
    <row r="893" spans="2:28" ht="15.75" customHeight="1"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</row>
    <row r="894" spans="2:28" ht="15.75" customHeight="1"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</row>
    <row r="895" spans="2:28" ht="15.75" customHeight="1"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</row>
    <row r="896" spans="2:28" ht="15.75" customHeight="1"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</row>
    <row r="897" spans="2:28" ht="15.75" customHeight="1"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</row>
    <row r="898" spans="2:28" ht="15.75" customHeight="1"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</row>
    <row r="899" spans="2:28" ht="15.75" customHeight="1"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</row>
    <row r="900" spans="2:28" ht="15.75" customHeight="1"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</row>
    <row r="901" spans="2:28" ht="15.75" customHeight="1"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</row>
    <row r="902" spans="2:28" ht="15.75" customHeight="1"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</row>
    <row r="903" spans="2:28" ht="15.75" customHeight="1"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</row>
    <row r="904" spans="2:28" ht="15.75" customHeight="1"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</row>
    <row r="905" spans="2:28" ht="15.75" customHeight="1"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</row>
    <row r="906" spans="2:28" ht="15.75" customHeight="1"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</row>
    <row r="907" spans="2:28" ht="15.75" customHeight="1"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</row>
    <row r="908" spans="2:28" ht="15.75" customHeight="1"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</row>
    <row r="909" spans="2:28" ht="15.75" customHeight="1"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</row>
    <row r="910" spans="2:28" ht="15.75" customHeight="1"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</row>
    <row r="911" spans="2:28" ht="15.75" customHeight="1"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</row>
    <row r="912" spans="2:28" ht="15.75" customHeight="1"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</row>
    <row r="913" spans="2:28" ht="15.75" customHeight="1"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</row>
    <row r="914" spans="2:28" ht="15.75" customHeight="1"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</row>
    <row r="915" spans="2:28" ht="15.75" customHeight="1"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</row>
    <row r="916" spans="2:28" ht="15.75" customHeight="1"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</row>
    <row r="917" spans="2:28" ht="15.75" customHeight="1"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</row>
    <row r="918" spans="2:28" ht="15.75" customHeight="1"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</row>
    <row r="919" spans="2:28" ht="15.75" customHeight="1"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</row>
    <row r="920" spans="2:28" ht="15.75" customHeight="1"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</row>
    <row r="921" spans="2:28" ht="15.75" customHeight="1"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</row>
    <row r="922" spans="2:28" ht="15.75" customHeight="1"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</row>
    <row r="923" spans="2:28" ht="15.75" customHeight="1"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</row>
    <row r="924" spans="2:28" ht="15.75" customHeight="1"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</row>
    <row r="925" spans="2:28" ht="15.75" customHeight="1"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</row>
    <row r="926" spans="2:28" ht="15.75" customHeight="1"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</row>
    <row r="927" spans="2:28" ht="15.75" customHeight="1"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</row>
    <row r="928" spans="2:28" ht="15.75" customHeight="1"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</row>
    <row r="929" spans="2:28" ht="15.75" customHeight="1"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</row>
    <row r="930" spans="2:28" ht="15.75" customHeight="1"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</row>
    <row r="931" spans="2:28" ht="15.75" customHeight="1"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</row>
    <row r="932" spans="2:28" ht="15.75" customHeight="1"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</row>
    <row r="933" spans="2:28" ht="15.75" customHeight="1"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</row>
    <row r="934" spans="2:28" ht="15.75" customHeight="1"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</row>
    <row r="935" spans="2:28" ht="15.75" customHeight="1"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</row>
    <row r="936" spans="2:28" ht="15.75" customHeight="1"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</row>
    <row r="937" spans="2:28" ht="15.75" customHeight="1"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</row>
    <row r="938" spans="2:28" ht="15.75" customHeight="1"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</row>
    <row r="939" spans="2:28" ht="15.75" customHeight="1"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</row>
    <row r="940" spans="2:28" ht="15.75" customHeight="1"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</row>
    <row r="941" spans="2:28" ht="15.75" customHeight="1"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</row>
    <row r="942" spans="2:28" ht="15.75" customHeight="1"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</row>
    <row r="943" spans="2:28" ht="15.75" customHeight="1"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</row>
    <row r="944" spans="2:28" ht="15.75" customHeight="1"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</row>
    <row r="945" spans="2:28" ht="15.75" customHeight="1"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</row>
    <row r="946" spans="2:28" ht="15.75" customHeight="1"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</row>
    <row r="947" spans="2:28" ht="15.75" customHeight="1"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</row>
    <row r="948" spans="2:28" ht="15.75" customHeight="1"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</row>
    <row r="949" spans="2:28" ht="15.75" customHeight="1"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</row>
    <row r="950" spans="2:28" ht="15.75" customHeight="1"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</row>
    <row r="951" spans="2:28" ht="15.75" customHeight="1"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</row>
    <row r="952" spans="2:28" ht="15.75" customHeight="1"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</row>
    <row r="953" spans="2:28" ht="15.75" customHeight="1"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</row>
    <row r="954" spans="2:28" ht="15.75" customHeight="1"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</row>
    <row r="955" spans="2:28" ht="15.75" customHeight="1"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</row>
    <row r="956" spans="2:28" ht="15.75" customHeight="1"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</row>
    <row r="957" spans="2:28" ht="15.75" customHeight="1"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</row>
    <row r="958" spans="2:28" ht="15.75" customHeight="1"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</row>
    <row r="959" spans="2:28" ht="15.75" customHeight="1"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</row>
    <row r="960" spans="2:28" ht="15.75" customHeight="1"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</row>
    <row r="961" spans="2:28" ht="15.75" customHeight="1"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</row>
    <row r="962" spans="2:28" ht="15.75" customHeight="1"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</row>
    <row r="963" spans="2:28" ht="15.75" customHeight="1"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</row>
    <row r="964" spans="2:28" ht="15.75" customHeight="1"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</row>
    <row r="965" spans="2:28" ht="15.75" customHeight="1"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</row>
    <row r="966" spans="2:28" ht="15.75" customHeight="1"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</row>
    <row r="967" spans="2:28" ht="15.75" customHeight="1"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</row>
    <row r="968" spans="2:28" ht="15.75" customHeight="1"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</row>
    <row r="969" spans="2:28" ht="15.75" customHeight="1"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</row>
    <row r="970" spans="2:28" ht="15.75" customHeight="1"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</row>
    <row r="971" spans="2:28" ht="15.75" customHeight="1"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</row>
    <row r="972" spans="2:28" ht="15.75" customHeight="1"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</row>
    <row r="973" spans="2:28" ht="15.75" customHeight="1"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</row>
    <row r="974" spans="2:28" ht="15.75" customHeight="1"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</row>
    <row r="975" spans="2:28" ht="15.75" customHeight="1"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</row>
    <row r="976" spans="2:28" ht="15.75" customHeight="1"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</row>
    <row r="977" spans="2:28" ht="15.75" customHeight="1"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</row>
    <row r="978" spans="2:28" ht="15.75" customHeight="1"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</row>
    <row r="979" spans="2:28" ht="15.75" customHeight="1"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</row>
    <row r="980" spans="2:28" ht="15.75" customHeight="1"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</row>
    <row r="981" spans="2:28" ht="15.75" customHeight="1"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</row>
    <row r="982" spans="2:28" ht="15.75" customHeight="1"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</row>
    <row r="983" spans="2:28" ht="15.75" customHeight="1"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</row>
    <row r="984" spans="2:28" ht="15.75" customHeight="1"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</row>
    <row r="985" spans="2:28" ht="15.75" customHeight="1"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</row>
    <row r="986" spans="2:28" ht="15.75" customHeight="1"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</row>
    <row r="987" spans="2:28" ht="15.75" customHeight="1"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</row>
    <row r="988" spans="2:28" ht="15.75" customHeight="1"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</row>
    <row r="989" spans="2:28" ht="15.75" customHeight="1"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</row>
    <row r="990" spans="2:28" ht="15.75" customHeight="1"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</row>
    <row r="991" spans="2:28" ht="15.75" customHeight="1"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</row>
    <row r="992" spans="2:28" ht="15.75" customHeight="1"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</row>
    <row r="993" spans="2:28" ht="15.75" customHeight="1"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</row>
    <row r="994" spans="2:28" ht="15.75" customHeight="1"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</row>
    <row r="995" spans="2:28" ht="15.75" customHeight="1"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</row>
    <row r="996" spans="2:28" ht="15.75" customHeight="1"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</row>
    <row r="997" spans="2:28" ht="15.75" customHeight="1"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</row>
    <row r="998" spans="2:28" ht="15.75" customHeight="1"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</row>
    <row r="999" spans="2:28" ht="15.75" customHeight="1"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</row>
    <row r="1000" spans="2:28" ht="15.75" customHeight="1"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</row>
    <row r="1001" spans="2:28" ht="15.75" customHeight="1">
      <c r="B1001" s="7"/>
      <c r="C1001" s="7"/>
      <c r="D1001" s="7"/>
      <c r="E1001" s="7"/>
      <c r="F1001" s="7"/>
      <c r="G1001" s="7"/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  <c r="AA1001" s="7"/>
      <c r="AB1001" s="7"/>
    </row>
    <row r="1002" spans="2:28" ht="15.75" customHeight="1">
      <c r="B1002" s="7"/>
      <c r="C1002" s="7"/>
      <c r="D1002" s="7"/>
      <c r="E1002" s="7"/>
      <c r="F1002" s="7"/>
      <c r="G1002" s="7"/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  <c r="AA1002" s="7"/>
      <c r="AB1002" s="7"/>
    </row>
    <row r="1003" spans="2:28" ht="15.75" customHeight="1">
      <c r="B1003" s="7"/>
      <c r="C1003" s="7"/>
      <c r="D1003" s="7"/>
      <c r="E1003" s="7"/>
      <c r="F1003" s="7"/>
      <c r="G1003" s="7"/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  <c r="AA1003" s="7"/>
      <c r="AB1003" s="7"/>
    </row>
    <row r="1004" spans="2:28" ht="15.75" customHeight="1">
      <c r="B1004" s="7"/>
      <c r="C1004" s="7"/>
      <c r="D1004" s="7"/>
      <c r="E1004" s="7"/>
      <c r="F1004" s="7"/>
      <c r="G1004" s="7"/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  <c r="AA1004" s="7"/>
      <c r="AB1004" s="7"/>
    </row>
    <row r="1005" spans="2:28" ht="15.75" customHeight="1">
      <c r="B1005" s="7"/>
      <c r="C1005" s="7"/>
      <c r="D1005" s="7"/>
      <c r="E1005" s="7"/>
      <c r="F1005" s="7"/>
      <c r="G1005" s="7"/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  <c r="AA1005" s="7"/>
      <c r="AB1005" s="7"/>
    </row>
    <row r="1006" spans="2:28" ht="15.75" customHeight="1">
      <c r="B1006" s="7"/>
      <c r="C1006" s="7"/>
      <c r="D1006" s="7"/>
      <c r="E1006" s="7"/>
      <c r="F1006" s="7"/>
      <c r="G1006" s="7"/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  <c r="AA1006" s="7"/>
      <c r="AB1006" s="7"/>
    </row>
    <row r="1007" spans="2:28" ht="15.75" customHeight="1">
      <c r="B1007" s="7"/>
      <c r="C1007" s="7"/>
      <c r="D1007" s="7"/>
      <c r="E1007" s="7"/>
      <c r="F1007" s="7"/>
      <c r="G1007" s="7"/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  <c r="AA1007" s="7"/>
      <c r="AB1007" s="7"/>
    </row>
    <row r="1008" spans="2:28" ht="15.75" customHeight="1">
      <c r="B1008" s="7"/>
      <c r="C1008" s="7"/>
      <c r="D1008" s="7"/>
      <c r="E1008" s="7"/>
      <c r="F1008" s="7"/>
      <c r="G1008" s="7"/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  <c r="AA1008" s="7"/>
      <c r="AB1008" s="7"/>
    </row>
    <row r="1009" spans="2:28" ht="15.75" customHeight="1">
      <c r="B1009" s="7"/>
      <c r="C1009" s="7"/>
      <c r="D1009" s="7"/>
      <c r="E1009" s="7"/>
      <c r="F1009" s="7"/>
      <c r="G1009" s="7"/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  <c r="AA1009" s="7"/>
      <c r="AB1009" s="7"/>
    </row>
    <row r="1010" spans="2:28" ht="15.75" customHeight="1">
      <c r="B1010" s="7"/>
      <c r="C1010" s="7"/>
      <c r="D1010" s="7"/>
      <c r="E1010" s="7"/>
      <c r="F1010" s="7"/>
      <c r="G1010" s="7"/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  <c r="AA1010" s="7"/>
      <c r="AB1010" s="7"/>
    </row>
    <row r="1011" spans="2:28" ht="15.75" customHeight="1">
      <c r="B1011" s="7"/>
      <c r="C1011" s="7"/>
      <c r="D1011" s="7"/>
      <c r="E1011" s="7"/>
      <c r="F1011" s="7"/>
      <c r="G1011" s="7"/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  <c r="AA1011" s="7"/>
      <c r="AB1011" s="7"/>
    </row>
    <row r="1012" spans="2:28" ht="15.75" customHeight="1">
      <c r="B1012" s="7"/>
      <c r="C1012" s="7"/>
      <c r="D1012" s="7"/>
      <c r="E1012" s="7"/>
      <c r="F1012" s="7"/>
      <c r="G1012" s="7"/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  <c r="AA1012" s="7"/>
      <c r="AB1012" s="7"/>
    </row>
    <row r="1013" spans="2:28" ht="15.75" customHeight="1">
      <c r="B1013" s="7"/>
      <c r="C1013" s="7"/>
      <c r="D1013" s="7"/>
      <c r="E1013" s="7"/>
      <c r="F1013" s="7"/>
      <c r="G1013" s="7"/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  <c r="AA1013" s="7"/>
      <c r="AB1013" s="7"/>
    </row>
    <row r="1014" spans="2:28" ht="15.75" customHeight="1">
      <c r="B1014" s="7"/>
      <c r="C1014" s="7"/>
      <c r="D1014" s="7"/>
      <c r="E1014" s="7"/>
      <c r="F1014" s="7"/>
      <c r="G1014" s="7"/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  <c r="AA1014" s="7"/>
      <c r="AB1014" s="7"/>
    </row>
    <row r="1015" spans="2:28" ht="15.75" customHeight="1">
      <c r="B1015" s="7"/>
      <c r="C1015" s="7"/>
      <c r="D1015" s="7"/>
      <c r="E1015" s="7"/>
      <c r="F1015" s="7"/>
      <c r="G1015" s="7"/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  <c r="AA1015" s="7"/>
      <c r="AB1015" s="7"/>
    </row>
    <row r="1016" spans="2:28" ht="15.75" customHeight="1">
      <c r="B1016" s="7"/>
      <c r="C1016" s="7"/>
      <c r="D1016" s="7"/>
      <c r="E1016" s="7"/>
      <c r="F1016" s="7"/>
      <c r="G1016" s="7"/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  <c r="AA1016" s="7"/>
      <c r="AB1016" s="7"/>
    </row>
    <row r="1017" spans="2:28" ht="15.75" customHeight="1">
      <c r="B1017" s="7"/>
      <c r="C1017" s="7"/>
      <c r="D1017" s="7"/>
      <c r="E1017" s="7"/>
      <c r="F1017" s="7"/>
      <c r="G1017" s="7"/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  <c r="AA1017" s="7"/>
      <c r="AB1017" s="7"/>
    </row>
    <row r="1018" spans="2:28" ht="15.75" customHeight="1">
      <c r="B1018" s="7"/>
      <c r="C1018" s="7"/>
      <c r="D1018" s="7"/>
      <c r="E1018" s="7"/>
      <c r="F1018" s="7"/>
      <c r="G1018" s="7"/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  <c r="AA1018" s="7"/>
      <c r="AB1018" s="7"/>
    </row>
    <row r="1019" spans="2:28" ht="15.75" customHeight="1">
      <c r="B1019" s="7"/>
      <c r="C1019" s="7"/>
      <c r="D1019" s="7"/>
      <c r="E1019" s="7"/>
      <c r="F1019" s="7"/>
      <c r="G1019" s="7"/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  <c r="AA1019" s="7"/>
      <c r="AB1019" s="7"/>
    </row>
    <row r="1020" spans="2:28" ht="15.75" customHeight="1">
      <c r="B1020" s="7"/>
      <c r="C1020" s="7"/>
      <c r="D1020" s="7"/>
      <c r="E1020" s="7"/>
      <c r="F1020" s="7"/>
      <c r="G1020" s="7"/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  <c r="AA1020" s="7"/>
      <c r="AB1020" s="7"/>
    </row>
    <row r="1021" spans="2:28" ht="15.75" customHeight="1">
      <c r="B1021" s="7"/>
      <c r="C1021" s="7"/>
      <c r="D1021" s="7"/>
      <c r="E1021" s="7"/>
      <c r="F1021" s="7"/>
      <c r="G1021" s="7"/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  <c r="AA1021" s="7"/>
      <c r="AB1021" s="7"/>
    </row>
    <row r="1022" spans="2:28" ht="15.75" customHeight="1">
      <c r="B1022" s="7"/>
      <c r="C1022" s="7"/>
      <c r="D1022" s="7"/>
      <c r="E1022" s="7"/>
      <c r="F1022" s="7"/>
      <c r="G1022" s="7"/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  <c r="AA1022" s="7"/>
      <c r="AB1022" s="7"/>
    </row>
    <row r="1023" spans="2:28" ht="15.75" customHeight="1">
      <c r="B1023" s="7"/>
      <c r="C1023" s="7"/>
      <c r="D1023" s="7"/>
      <c r="E1023" s="7"/>
      <c r="F1023" s="7"/>
      <c r="G1023" s="7"/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  <c r="AA1023" s="7"/>
      <c r="AB1023" s="7"/>
    </row>
    <row r="1024" spans="2:28" ht="15.75" customHeight="1">
      <c r="B1024" s="7"/>
      <c r="C1024" s="7"/>
      <c r="D1024" s="7"/>
      <c r="E1024" s="7"/>
      <c r="F1024" s="7"/>
      <c r="G1024" s="7"/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  <c r="AA1024" s="7"/>
      <c r="AB1024" s="7"/>
    </row>
    <row r="1025" spans="2:28" ht="15.75" customHeight="1">
      <c r="B1025" s="7"/>
      <c r="C1025" s="7"/>
      <c r="D1025" s="7"/>
      <c r="E1025" s="7"/>
      <c r="F1025" s="7"/>
      <c r="G1025" s="7"/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  <c r="AA1025" s="7"/>
      <c r="AB1025" s="7"/>
    </row>
    <row r="1026" spans="2:28" ht="15.75" customHeight="1">
      <c r="B1026" s="7"/>
      <c r="C1026" s="7"/>
      <c r="D1026" s="7"/>
      <c r="E1026" s="7"/>
      <c r="F1026" s="7"/>
      <c r="G1026" s="7"/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  <c r="AA1026" s="7"/>
      <c r="AB1026" s="7"/>
    </row>
    <row r="1027" spans="2:28" ht="15.75" customHeight="1">
      <c r="B1027" s="7"/>
      <c r="C1027" s="7"/>
      <c r="D1027" s="7"/>
      <c r="E1027" s="7"/>
      <c r="F1027" s="7"/>
      <c r="G1027" s="7"/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  <c r="AA1027" s="7"/>
      <c r="AB1027" s="7"/>
    </row>
    <row r="1028" spans="2:28" ht="15.75" customHeight="1">
      <c r="B1028" s="7"/>
      <c r="C1028" s="7"/>
      <c r="D1028" s="7"/>
      <c r="E1028" s="7"/>
      <c r="F1028" s="7"/>
      <c r="G1028" s="7"/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  <c r="AA1028" s="7"/>
      <c r="AB1028" s="7"/>
    </row>
    <row r="1029" spans="2:28" ht="15.75" customHeight="1">
      <c r="B1029" s="7"/>
      <c r="C1029" s="7"/>
      <c r="D1029" s="7"/>
      <c r="E1029" s="7"/>
      <c r="F1029" s="7"/>
      <c r="G1029" s="7"/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  <c r="AA1029" s="7"/>
      <c r="AB1029" s="7"/>
    </row>
    <row r="1030" spans="2:28" ht="15.75" customHeight="1">
      <c r="B1030" s="7"/>
      <c r="C1030" s="7"/>
      <c r="D1030" s="7"/>
      <c r="E1030" s="7"/>
      <c r="F1030" s="7"/>
      <c r="G1030" s="7"/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  <c r="AA1030" s="7"/>
      <c r="AB1030" s="7"/>
    </row>
    <row r="1031" spans="2:28" ht="15.75" customHeight="1">
      <c r="B1031" s="7"/>
      <c r="C1031" s="7"/>
      <c r="D1031" s="7"/>
      <c r="E1031" s="7"/>
      <c r="F1031" s="7"/>
      <c r="G1031" s="7"/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  <c r="AA1031" s="7"/>
      <c r="AB1031" s="7"/>
    </row>
    <row r="1032" spans="2:28" ht="15.75" customHeight="1">
      <c r="B1032" s="7"/>
      <c r="C1032" s="7"/>
      <c r="D1032" s="7"/>
      <c r="E1032" s="7"/>
      <c r="F1032" s="7"/>
      <c r="G1032" s="7"/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  <c r="AA1032" s="7"/>
      <c r="AB1032" s="7"/>
    </row>
    <row r="1033" spans="2:28" ht="15.75" customHeight="1">
      <c r="B1033" s="7"/>
      <c r="C1033" s="7"/>
      <c r="D1033" s="7"/>
      <c r="E1033" s="7"/>
      <c r="F1033" s="7"/>
      <c r="G1033" s="7"/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  <c r="AA1033" s="7"/>
      <c r="AB1033" s="7"/>
    </row>
    <row r="1034" spans="2:28" ht="15.75" customHeight="1">
      <c r="B1034" s="7"/>
      <c r="C1034" s="7"/>
      <c r="D1034" s="7"/>
      <c r="E1034" s="7"/>
      <c r="F1034" s="7"/>
      <c r="G1034" s="7"/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  <c r="AA1034" s="7"/>
      <c r="AB1034" s="7"/>
    </row>
    <row r="1035" spans="2:28" ht="15.75" customHeight="1">
      <c r="B1035" s="7"/>
      <c r="C1035" s="7"/>
      <c r="D1035" s="7"/>
      <c r="E1035" s="7"/>
      <c r="F1035" s="7"/>
      <c r="G1035" s="7"/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  <c r="AA1035" s="7"/>
      <c r="AB1035" s="7"/>
    </row>
    <row r="1036" spans="2:28" ht="15.75" customHeight="1">
      <c r="B1036" s="7"/>
      <c r="C1036" s="7"/>
      <c r="D1036" s="7"/>
      <c r="E1036" s="7"/>
      <c r="F1036" s="7"/>
      <c r="G1036" s="7"/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  <c r="AA1036" s="7"/>
      <c r="AB1036" s="7"/>
    </row>
    <row r="1037" spans="2:28" ht="15.75" customHeight="1">
      <c r="B1037" s="7"/>
      <c r="C1037" s="7"/>
      <c r="D1037" s="7"/>
      <c r="E1037" s="7"/>
      <c r="F1037" s="7"/>
      <c r="G1037" s="7"/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  <c r="AA1037" s="7"/>
      <c r="AB1037" s="7"/>
    </row>
    <row r="1038" spans="2:28" ht="15.75" customHeight="1">
      <c r="B1038" s="7"/>
      <c r="C1038" s="7"/>
      <c r="D1038" s="7"/>
      <c r="E1038" s="7"/>
      <c r="F1038" s="7"/>
      <c r="G1038" s="7"/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  <c r="AA1038" s="7"/>
      <c r="AB1038" s="7"/>
    </row>
    <row r="1039" spans="2:28" ht="15.75" customHeight="1">
      <c r="B1039" s="7"/>
      <c r="C1039" s="7"/>
      <c r="D1039" s="7"/>
      <c r="E1039" s="7"/>
      <c r="F1039" s="7"/>
      <c r="G1039" s="7"/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  <c r="AA1039" s="7"/>
      <c r="AB1039" s="7"/>
    </row>
    <row r="1040" spans="2:28" ht="15.75" customHeight="1">
      <c r="B1040" s="7"/>
      <c r="C1040" s="7"/>
      <c r="D1040" s="7"/>
      <c r="E1040" s="7"/>
      <c r="F1040" s="7"/>
      <c r="G1040" s="7"/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  <c r="AA1040" s="7"/>
      <c r="AB1040" s="7"/>
    </row>
    <row r="1041" spans="2:28" ht="15.75" customHeight="1">
      <c r="B1041" s="7"/>
      <c r="C1041" s="7"/>
      <c r="D1041" s="7"/>
      <c r="E1041" s="7"/>
      <c r="F1041" s="7"/>
      <c r="G1041" s="7"/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  <c r="AA1041" s="7"/>
      <c r="AB1041" s="7"/>
    </row>
    <row r="1042" spans="2:28" ht="15.75" customHeight="1">
      <c r="B1042" s="7"/>
      <c r="C1042" s="7"/>
      <c r="D1042" s="7"/>
      <c r="E1042" s="7"/>
      <c r="F1042" s="7"/>
      <c r="G1042" s="7"/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  <c r="AA1042" s="7"/>
      <c r="AB1042" s="7"/>
    </row>
    <row r="1043" spans="2:28" ht="15.75" customHeight="1">
      <c r="B1043" s="7"/>
      <c r="C1043" s="7"/>
      <c r="D1043" s="7"/>
      <c r="E1043" s="7"/>
      <c r="F1043" s="7"/>
      <c r="G1043" s="7"/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  <c r="AA1043" s="7"/>
      <c r="AB1043" s="7"/>
    </row>
    <row r="1044" spans="2:28" ht="15.75" customHeight="1">
      <c r="B1044" s="7"/>
      <c r="C1044" s="7"/>
      <c r="D1044" s="7"/>
      <c r="E1044" s="7"/>
      <c r="F1044" s="7"/>
      <c r="G1044" s="7"/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  <c r="AA1044" s="7"/>
      <c r="AB1044" s="7"/>
    </row>
    <row r="1045" spans="2:28" ht="15.75" customHeight="1">
      <c r="B1045" s="7"/>
      <c r="C1045" s="7"/>
      <c r="D1045" s="7"/>
      <c r="E1045" s="7"/>
      <c r="F1045" s="7"/>
      <c r="G1045" s="7"/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  <c r="AA1045" s="7"/>
      <c r="AB1045" s="7"/>
    </row>
    <row r="1046" spans="2:28" ht="15.75" customHeight="1">
      <c r="B1046" s="7"/>
      <c r="C1046" s="7"/>
      <c r="D1046" s="7"/>
      <c r="E1046" s="7"/>
      <c r="F1046" s="7"/>
      <c r="G1046" s="7"/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  <c r="AA1046" s="7"/>
      <c r="AB1046" s="7"/>
    </row>
    <row r="1047" spans="2:28" ht="15.75" customHeight="1">
      <c r="B1047" s="7"/>
      <c r="C1047" s="7"/>
      <c r="D1047" s="7"/>
      <c r="E1047" s="7"/>
      <c r="F1047" s="7"/>
      <c r="G1047" s="7"/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  <c r="AA1047" s="7"/>
      <c r="AB1047" s="7"/>
    </row>
    <row r="1048" spans="2:28" ht="15.75" customHeight="1">
      <c r="B1048" s="7"/>
      <c r="C1048" s="7"/>
      <c r="D1048" s="7"/>
      <c r="E1048" s="7"/>
      <c r="F1048" s="7"/>
      <c r="G1048" s="7"/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  <c r="AA1048" s="7"/>
      <c r="AB1048" s="7"/>
    </row>
    <row r="1049" spans="2:28" ht="15.75" customHeight="1">
      <c r="B1049" s="7"/>
      <c r="C1049" s="7"/>
      <c r="D1049" s="7"/>
      <c r="E1049" s="7"/>
      <c r="F1049" s="7"/>
      <c r="G1049" s="7"/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  <c r="AA1049" s="7"/>
      <c r="AB1049" s="7"/>
    </row>
    <row r="1050" spans="2:28" ht="15.75" customHeight="1">
      <c r="B1050" s="7"/>
      <c r="C1050" s="7"/>
      <c r="D1050" s="7"/>
      <c r="E1050" s="7"/>
      <c r="F1050" s="7"/>
      <c r="G1050" s="7"/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  <c r="AA1050" s="7"/>
      <c r="AB1050" s="7"/>
    </row>
    <row r="1051" spans="2:28" ht="15.75" customHeight="1">
      <c r="B1051" s="7"/>
      <c r="C1051" s="7"/>
      <c r="D1051" s="7"/>
      <c r="E1051" s="7"/>
      <c r="F1051" s="7"/>
      <c r="G1051" s="7"/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  <c r="AA1051" s="7"/>
      <c r="AB1051" s="7"/>
    </row>
    <row r="1052" spans="2:28" ht="15.75" customHeight="1">
      <c r="B1052" s="7"/>
      <c r="C1052" s="7"/>
      <c r="D1052" s="7"/>
      <c r="E1052" s="7"/>
      <c r="F1052" s="7"/>
      <c r="G1052" s="7"/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  <c r="AA1052" s="7"/>
      <c r="AB1052" s="7"/>
    </row>
    <row r="1053" spans="2:28" ht="15.75" customHeight="1">
      <c r="B1053" s="7"/>
      <c r="C1053" s="7"/>
      <c r="D1053" s="7"/>
      <c r="E1053" s="7"/>
      <c r="F1053" s="7"/>
      <c r="G1053" s="7"/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  <c r="AA1053" s="7"/>
      <c r="AB1053" s="7"/>
    </row>
    <row r="1054" spans="2:28" ht="15.75" customHeight="1">
      <c r="B1054" s="7"/>
      <c r="C1054" s="7"/>
      <c r="D1054" s="7"/>
      <c r="E1054" s="7"/>
      <c r="F1054" s="7"/>
      <c r="G1054" s="7"/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  <c r="AA1054" s="7"/>
      <c r="AB1054" s="7"/>
    </row>
    <row r="1055" spans="2:28" ht="15.75" customHeight="1">
      <c r="B1055" s="7"/>
      <c r="C1055" s="7"/>
      <c r="D1055" s="7"/>
      <c r="E1055" s="7"/>
      <c r="F1055" s="7"/>
      <c r="G1055" s="7"/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  <c r="AA1055" s="7"/>
      <c r="AB1055" s="7"/>
    </row>
    <row r="1056" spans="2:28" ht="15.75" customHeight="1">
      <c r="B1056" s="7"/>
      <c r="C1056" s="7"/>
      <c r="D1056" s="7"/>
      <c r="E1056" s="7"/>
      <c r="F1056" s="7"/>
      <c r="G1056" s="7"/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  <c r="AA1056" s="7"/>
      <c r="AB1056" s="7"/>
    </row>
    <row r="1057" spans="2:28" ht="15.75" customHeight="1">
      <c r="B1057" s="7"/>
      <c r="C1057" s="7"/>
      <c r="D1057" s="7"/>
      <c r="E1057" s="7"/>
      <c r="F1057" s="7"/>
      <c r="G1057" s="7"/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  <c r="AA1057" s="7"/>
      <c r="AB1057" s="7"/>
    </row>
    <row r="1058" spans="2:28" ht="15.75" customHeight="1">
      <c r="B1058" s="7"/>
      <c r="C1058" s="7"/>
      <c r="D1058" s="7"/>
      <c r="E1058" s="7"/>
      <c r="F1058" s="7"/>
      <c r="G1058" s="7"/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  <c r="AA1058" s="7"/>
      <c r="AB1058" s="7"/>
    </row>
    <row r="1059" spans="2:28" ht="15.75" customHeight="1">
      <c r="B1059" s="7"/>
      <c r="C1059" s="7"/>
      <c r="D1059" s="7"/>
      <c r="E1059" s="7"/>
      <c r="F1059" s="7"/>
      <c r="G1059" s="7"/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  <c r="AA1059" s="7"/>
      <c r="AB1059" s="7"/>
    </row>
    <row r="1060" spans="2:28" ht="15.75" customHeight="1">
      <c r="B1060" s="7"/>
      <c r="C1060" s="7"/>
      <c r="D1060" s="7"/>
      <c r="E1060" s="7"/>
      <c r="F1060" s="7"/>
      <c r="G1060" s="7"/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  <c r="AA1060" s="7"/>
      <c r="AB1060" s="7"/>
    </row>
    <row r="1061" spans="2:28" ht="15.75" customHeight="1">
      <c r="B1061" s="7"/>
      <c r="C1061" s="7"/>
      <c r="D1061" s="7"/>
      <c r="E1061" s="7"/>
      <c r="F1061" s="7"/>
      <c r="G1061" s="7"/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  <c r="AA1061" s="7"/>
      <c r="AB1061" s="7"/>
    </row>
    <row r="1062" spans="2:28" ht="15.75" customHeight="1">
      <c r="B1062" s="7"/>
      <c r="C1062" s="7"/>
      <c r="D1062" s="7"/>
      <c r="E1062" s="7"/>
      <c r="F1062" s="7"/>
      <c r="G1062" s="7"/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  <c r="AA1062" s="7"/>
      <c r="AB1062" s="7"/>
    </row>
    <row r="1063" spans="2:28" ht="15.75" customHeight="1">
      <c r="B1063" s="7"/>
      <c r="C1063" s="7"/>
      <c r="D1063" s="7"/>
      <c r="E1063" s="7"/>
      <c r="F1063" s="7"/>
      <c r="G1063" s="7"/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  <c r="AA1063" s="7"/>
      <c r="AB1063" s="7"/>
    </row>
    <row r="1064" spans="2:28" ht="15.75" customHeight="1">
      <c r="B1064" s="7"/>
      <c r="C1064" s="7"/>
      <c r="D1064" s="7"/>
      <c r="E1064" s="7"/>
      <c r="F1064" s="7"/>
      <c r="G1064" s="7"/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  <c r="AA1064" s="7"/>
      <c r="AB1064" s="7"/>
    </row>
    <row r="1065" spans="2:28" ht="15.75" customHeight="1">
      <c r="B1065" s="7"/>
      <c r="C1065" s="7"/>
      <c r="D1065" s="7"/>
      <c r="E1065" s="7"/>
      <c r="F1065" s="7"/>
      <c r="G1065" s="7"/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  <c r="AA1065" s="7"/>
      <c r="AB1065" s="7"/>
    </row>
    <row r="1066" spans="2:28" ht="15.75" customHeight="1">
      <c r="B1066" s="7"/>
      <c r="C1066" s="7"/>
      <c r="D1066" s="7"/>
      <c r="E1066" s="7"/>
      <c r="F1066" s="7"/>
      <c r="G1066" s="7"/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  <c r="AA1066" s="7"/>
      <c r="AB1066" s="7"/>
    </row>
    <row r="1067" spans="2:28" ht="15.75" customHeight="1">
      <c r="B1067" s="7"/>
      <c r="C1067" s="7"/>
      <c r="D1067" s="7"/>
      <c r="E1067" s="7"/>
      <c r="F1067" s="7"/>
      <c r="G1067" s="7"/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  <c r="AA1067" s="7"/>
      <c r="AB1067" s="7"/>
    </row>
    <row r="1068" spans="2:28" ht="15.75" customHeight="1">
      <c r="B1068" s="7"/>
      <c r="C1068" s="7"/>
      <c r="D1068" s="7"/>
      <c r="E1068" s="7"/>
      <c r="F1068" s="7"/>
      <c r="G1068" s="7"/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  <c r="AA1068" s="7"/>
      <c r="AB1068" s="7"/>
    </row>
    <row r="1069" spans="2:28" ht="15.75" customHeight="1">
      <c r="B1069" s="7"/>
      <c r="C1069" s="7"/>
      <c r="D1069" s="7"/>
      <c r="E1069" s="7"/>
      <c r="F1069" s="7"/>
      <c r="G1069" s="7"/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  <c r="AA1069" s="7"/>
      <c r="AB1069" s="7"/>
    </row>
    <row r="1070" spans="2:28" ht="15.75" customHeight="1">
      <c r="B1070" s="7"/>
      <c r="C1070" s="7"/>
      <c r="D1070" s="7"/>
      <c r="E1070" s="7"/>
      <c r="F1070" s="7"/>
      <c r="G1070" s="7"/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  <c r="AA1070" s="7"/>
      <c r="AB1070" s="7"/>
    </row>
    <row r="1071" spans="2:28" ht="15.75" customHeight="1">
      <c r="B1071" s="7"/>
      <c r="C1071" s="7"/>
      <c r="D1071" s="7"/>
      <c r="E1071" s="7"/>
      <c r="F1071" s="7"/>
      <c r="G1071" s="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  <c r="AA1071" s="7"/>
      <c r="AB1071" s="7"/>
    </row>
    <row r="1072" spans="2:28" ht="15.75" customHeight="1">
      <c r="B1072" s="7"/>
      <c r="C1072" s="7"/>
      <c r="D1072" s="7"/>
      <c r="E1072" s="7"/>
      <c r="F1072" s="7"/>
      <c r="G1072" s="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  <c r="AA1072" s="7"/>
      <c r="AB1072" s="7"/>
    </row>
    <row r="1073" spans="2:28" ht="15.75" customHeight="1">
      <c r="B1073" s="7"/>
      <c r="C1073" s="7"/>
      <c r="D1073" s="7"/>
      <c r="E1073" s="7"/>
      <c r="F1073" s="7"/>
      <c r="G1073" s="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  <c r="AA1073" s="7"/>
      <c r="AB1073" s="7"/>
    </row>
    <row r="1074" spans="2:28" ht="15.75" customHeight="1">
      <c r="B1074" s="7"/>
      <c r="C1074" s="7"/>
      <c r="D1074" s="7"/>
      <c r="E1074" s="7"/>
      <c r="F1074" s="7"/>
      <c r="G1074" s="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  <c r="AA1074" s="7"/>
      <c r="AB1074" s="7"/>
    </row>
    <row r="1075" spans="2:28" ht="15.75" customHeight="1">
      <c r="B1075" s="7"/>
      <c r="C1075" s="7"/>
      <c r="D1075" s="7"/>
      <c r="E1075" s="7"/>
      <c r="F1075" s="7"/>
      <c r="G1075" s="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  <c r="AA1075" s="7"/>
      <c r="AB1075" s="7"/>
    </row>
    <row r="1076" spans="2:28" ht="15.75" customHeight="1">
      <c r="B1076" s="7"/>
      <c r="C1076" s="7"/>
      <c r="D1076" s="7"/>
      <c r="E1076" s="7"/>
      <c r="F1076" s="7"/>
      <c r="G1076" s="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  <c r="AA1076" s="7"/>
      <c r="AB1076" s="7"/>
    </row>
    <row r="1077" spans="2:28" ht="15.75" customHeight="1">
      <c r="B1077" s="7"/>
      <c r="C1077" s="7"/>
      <c r="D1077" s="7"/>
      <c r="E1077" s="7"/>
      <c r="F1077" s="7"/>
      <c r="G1077" s="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  <c r="AA1077" s="7"/>
      <c r="AB1077" s="7"/>
    </row>
    <row r="1078" spans="2:28" ht="15.75" customHeight="1">
      <c r="B1078" s="7"/>
      <c r="C1078" s="7"/>
      <c r="D1078" s="7"/>
      <c r="E1078" s="7"/>
      <c r="F1078" s="7"/>
      <c r="G1078" s="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  <c r="AA1078" s="7"/>
      <c r="AB1078" s="7"/>
    </row>
    <row r="1079" spans="2:28" ht="15.75" customHeight="1">
      <c r="B1079" s="7"/>
      <c r="C1079" s="7"/>
      <c r="D1079" s="7"/>
      <c r="E1079" s="7"/>
      <c r="F1079" s="7"/>
      <c r="G1079" s="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  <c r="AA1079" s="7"/>
      <c r="AB1079" s="7"/>
    </row>
    <row r="1080" spans="2:28" ht="15.75" customHeight="1">
      <c r="B1080" s="7"/>
      <c r="C1080" s="7"/>
      <c r="D1080" s="7"/>
      <c r="E1080" s="7"/>
      <c r="F1080" s="7"/>
      <c r="G1080" s="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  <c r="AA1080" s="7"/>
      <c r="AB1080" s="7"/>
    </row>
    <row r="1081" spans="2:28" ht="15.75" customHeight="1">
      <c r="B1081" s="7"/>
      <c r="C1081" s="7"/>
      <c r="D1081" s="7"/>
      <c r="E1081" s="7"/>
      <c r="F1081" s="7"/>
      <c r="G1081" s="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  <c r="AA1081" s="7"/>
      <c r="AB1081" s="7"/>
    </row>
    <row r="1082" spans="2:28" ht="15.75" customHeight="1">
      <c r="B1082" s="7"/>
      <c r="C1082" s="7"/>
      <c r="D1082" s="7"/>
      <c r="E1082" s="7"/>
      <c r="F1082" s="7"/>
      <c r="G1082" s="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  <c r="AA1082" s="7"/>
      <c r="AB1082" s="7"/>
    </row>
    <row r="1083" spans="2:28" ht="15.75" customHeight="1">
      <c r="B1083" s="7"/>
      <c r="C1083" s="7"/>
      <c r="D1083" s="7"/>
      <c r="E1083" s="7"/>
      <c r="F1083" s="7"/>
      <c r="G1083" s="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  <c r="AA1083" s="7"/>
      <c r="AB1083" s="7"/>
    </row>
    <row r="1084" spans="2:28" ht="15.75" customHeight="1">
      <c r="B1084" s="7"/>
      <c r="C1084" s="7"/>
      <c r="D1084" s="7"/>
      <c r="E1084" s="7"/>
      <c r="F1084" s="7"/>
      <c r="G1084" s="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  <c r="AA1084" s="7"/>
      <c r="AB1084" s="7"/>
    </row>
    <row r="1085" spans="2:28" ht="15.75" customHeight="1">
      <c r="B1085" s="7"/>
      <c r="C1085" s="7"/>
      <c r="D1085" s="7"/>
      <c r="E1085" s="7"/>
      <c r="F1085" s="7"/>
      <c r="G1085" s="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  <c r="AA1085" s="7"/>
      <c r="AB1085" s="7"/>
    </row>
    <row r="1086" spans="2:28" ht="15.75" customHeight="1">
      <c r="B1086" s="7"/>
      <c r="C1086" s="7"/>
      <c r="D1086" s="7"/>
      <c r="E1086" s="7"/>
      <c r="F1086" s="7"/>
      <c r="G1086" s="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  <c r="AA1086" s="7"/>
      <c r="AB1086" s="7"/>
    </row>
    <row r="1087" spans="2:28" ht="15.75" customHeight="1">
      <c r="B1087" s="7"/>
      <c r="C1087" s="7"/>
      <c r="D1087" s="7"/>
      <c r="E1087" s="7"/>
      <c r="F1087" s="7"/>
      <c r="G1087" s="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  <c r="AA1087" s="7"/>
      <c r="AB1087" s="7"/>
    </row>
    <row r="1088" spans="2:28" ht="15.75" customHeight="1">
      <c r="B1088" s="7"/>
      <c r="C1088" s="7"/>
      <c r="D1088" s="7"/>
      <c r="E1088" s="7"/>
      <c r="F1088" s="7"/>
      <c r="G1088" s="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  <c r="AA1088" s="7"/>
      <c r="AB1088" s="7"/>
    </row>
    <row r="1089" spans="2:28" ht="15.75" customHeight="1">
      <c r="B1089" s="7"/>
      <c r="C1089" s="7"/>
      <c r="D1089" s="7"/>
      <c r="E1089" s="7"/>
      <c r="F1089" s="7"/>
      <c r="G1089" s="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  <c r="AA1089" s="7"/>
      <c r="AB1089" s="7"/>
    </row>
    <row r="1090" spans="2:28" ht="15.75" customHeight="1">
      <c r="B1090" s="7"/>
      <c r="C1090" s="7"/>
      <c r="D1090" s="7"/>
      <c r="E1090" s="7"/>
      <c r="F1090" s="7"/>
      <c r="G1090" s="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  <c r="AA1090" s="7"/>
      <c r="AB1090" s="7"/>
    </row>
    <row r="1091" spans="2:28" ht="15.75" customHeight="1">
      <c r="B1091" s="7"/>
      <c r="C1091" s="7"/>
      <c r="D1091" s="7"/>
      <c r="E1091" s="7"/>
      <c r="F1091" s="7"/>
      <c r="G1091" s="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  <c r="AA1091" s="7"/>
      <c r="AB1091" s="7"/>
    </row>
    <row r="1092" spans="2:28" ht="15.75" customHeight="1">
      <c r="B1092" s="7"/>
      <c r="C1092" s="7"/>
      <c r="D1092" s="7"/>
      <c r="E1092" s="7"/>
      <c r="F1092" s="7"/>
      <c r="G1092" s="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  <c r="AA1092" s="7"/>
      <c r="AB1092" s="7"/>
    </row>
    <row r="1093" spans="2:28" ht="15.75" customHeight="1">
      <c r="B1093" s="7"/>
      <c r="C1093" s="7"/>
      <c r="D1093" s="7"/>
      <c r="E1093" s="7"/>
      <c r="F1093" s="7"/>
      <c r="G1093" s="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  <c r="AA1093" s="7"/>
      <c r="AB1093" s="7"/>
    </row>
    <row r="1094" spans="2:28" ht="15.75" customHeight="1">
      <c r="B1094" s="7"/>
      <c r="C1094" s="7"/>
      <c r="D1094" s="7"/>
      <c r="E1094" s="7"/>
      <c r="F1094" s="7"/>
      <c r="G1094" s="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  <c r="AA1094" s="7"/>
      <c r="AB1094" s="7"/>
    </row>
    <row r="1095" spans="2:28" ht="15.75" customHeight="1">
      <c r="B1095" s="7"/>
      <c r="C1095" s="7"/>
      <c r="D1095" s="7"/>
      <c r="E1095" s="7"/>
      <c r="F1095" s="7"/>
      <c r="G1095" s="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  <c r="AA1095" s="7"/>
      <c r="AB1095" s="7"/>
    </row>
    <row r="1096" spans="2:28" ht="15.75" customHeight="1">
      <c r="B1096" s="7"/>
      <c r="C1096" s="7"/>
      <c r="D1096" s="7"/>
      <c r="E1096" s="7"/>
      <c r="F1096" s="7"/>
      <c r="G1096" s="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  <c r="AA1096" s="7"/>
      <c r="AB1096" s="7"/>
    </row>
    <row r="1097" spans="2:28" ht="15.75" customHeight="1">
      <c r="B1097" s="7"/>
      <c r="C1097" s="7"/>
      <c r="D1097" s="7"/>
      <c r="E1097" s="7"/>
      <c r="F1097" s="7"/>
      <c r="G1097" s="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  <c r="AA1097" s="7"/>
      <c r="AB1097" s="7"/>
    </row>
    <row r="1098" spans="2:28" ht="15.75" customHeight="1">
      <c r="B1098" s="7"/>
      <c r="C1098" s="7"/>
      <c r="D1098" s="7"/>
      <c r="E1098" s="7"/>
      <c r="F1098" s="7"/>
      <c r="G1098" s="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  <c r="AA1098" s="7"/>
      <c r="AB1098" s="7"/>
    </row>
    <row r="1099" spans="2:28" ht="15.75" customHeight="1">
      <c r="B1099" s="7"/>
      <c r="C1099" s="7"/>
      <c r="D1099" s="7"/>
      <c r="E1099" s="7"/>
      <c r="F1099" s="7"/>
      <c r="G1099" s="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  <c r="AA1099" s="7"/>
      <c r="AB1099" s="7"/>
    </row>
    <row r="1100" spans="2:28" ht="15.75" customHeight="1">
      <c r="B1100" s="7"/>
      <c r="C1100" s="7"/>
      <c r="D1100" s="7"/>
      <c r="E1100" s="7"/>
      <c r="F1100" s="7"/>
      <c r="G1100" s="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  <c r="AA1100" s="7"/>
      <c r="AB1100" s="7"/>
    </row>
    <row r="1101" spans="2:28" ht="15.75" customHeight="1">
      <c r="B1101" s="7"/>
      <c r="C1101" s="7"/>
      <c r="D1101" s="7"/>
      <c r="E1101" s="7"/>
      <c r="F1101" s="7"/>
      <c r="G1101" s="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  <c r="AA1101" s="7"/>
      <c r="AB1101" s="7"/>
    </row>
    <row r="1102" spans="2:28" ht="15.75" customHeight="1">
      <c r="B1102" s="7"/>
      <c r="C1102" s="7"/>
      <c r="D1102" s="7"/>
      <c r="E1102" s="7"/>
      <c r="F1102" s="7"/>
      <c r="G1102" s="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  <c r="AA1102" s="7"/>
      <c r="AB1102" s="7"/>
    </row>
    <row r="1103" spans="2:28" ht="15.75" customHeight="1">
      <c r="B1103" s="7"/>
      <c r="C1103" s="7"/>
      <c r="D1103" s="7"/>
      <c r="E1103" s="7"/>
      <c r="F1103" s="7"/>
      <c r="G1103" s="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  <c r="AA1103" s="7"/>
      <c r="AB1103" s="7"/>
    </row>
    <row r="1104" spans="2:28" ht="15.75" customHeight="1">
      <c r="B1104" s="7"/>
      <c r="C1104" s="7"/>
      <c r="D1104" s="7"/>
      <c r="E1104" s="7"/>
      <c r="F1104" s="7"/>
      <c r="G1104" s="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  <c r="AA1104" s="7"/>
      <c r="AB1104" s="7"/>
    </row>
    <row r="1105" spans="2:28" ht="15.75" customHeight="1">
      <c r="B1105" s="7"/>
      <c r="C1105" s="7"/>
      <c r="D1105" s="7"/>
      <c r="E1105" s="7"/>
      <c r="F1105" s="7"/>
      <c r="G1105" s="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  <c r="AA1105" s="7"/>
      <c r="AB1105" s="7"/>
    </row>
    <row r="1106" spans="2:28" ht="15.75" customHeight="1">
      <c r="B1106" s="7"/>
      <c r="C1106" s="7"/>
      <c r="D1106" s="7"/>
      <c r="E1106" s="7"/>
      <c r="F1106" s="7"/>
      <c r="G1106" s="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  <c r="AA1106" s="7"/>
      <c r="AB1106" s="7"/>
    </row>
    <row r="1107" spans="2:28" ht="15.75" customHeight="1">
      <c r="B1107" s="7"/>
      <c r="C1107" s="7"/>
      <c r="D1107" s="7"/>
      <c r="E1107" s="7"/>
      <c r="F1107" s="7"/>
      <c r="G1107" s="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  <c r="AA1107" s="7"/>
      <c r="AB1107" s="7"/>
    </row>
    <row r="1108" spans="2:28" ht="15.75" customHeight="1">
      <c r="B1108" s="7"/>
      <c r="C1108" s="7"/>
      <c r="D1108" s="7"/>
      <c r="E1108" s="7"/>
      <c r="F1108" s="7"/>
      <c r="G1108" s="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  <c r="AA1108" s="7"/>
      <c r="AB1108" s="7"/>
    </row>
    <row r="1109" spans="2:28" ht="15.75" customHeight="1">
      <c r="B1109" s="7"/>
      <c r="C1109" s="7"/>
      <c r="D1109" s="7"/>
      <c r="E1109" s="7"/>
      <c r="F1109" s="7"/>
      <c r="G1109" s="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  <c r="AA1109" s="7"/>
      <c r="AB1109" s="7"/>
    </row>
    <row r="1110" spans="2:28" ht="15.75" customHeight="1">
      <c r="B1110" s="7"/>
      <c r="C1110" s="7"/>
      <c r="D1110" s="7"/>
      <c r="E1110" s="7"/>
      <c r="F1110" s="7"/>
      <c r="G1110" s="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  <c r="AA1110" s="7"/>
      <c r="AB1110" s="7"/>
    </row>
    <row r="1111" spans="2:28" ht="15.75" customHeight="1">
      <c r="B1111" s="7"/>
      <c r="C1111" s="7"/>
      <c r="D1111" s="7"/>
      <c r="E1111" s="7"/>
      <c r="F1111" s="7"/>
      <c r="G1111" s="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  <c r="AA1111" s="7"/>
      <c r="AB1111" s="7"/>
    </row>
    <row r="1112" spans="2:28" ht="15.75" customHeight="1">
      <c r="B1112" s="7"/>
      <c r="C1112" s="7"/>
      <c r="D1112" s="7"/>
      <c r="E1112" s="7"/>
      <c r="F1112" s="7"/>
      <c r="G1112" s="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  <c r="AA1112" s="7"/>
      <c r="AB1112" s="7"/>
    </row>
    <row r="1113" spans="2:28" ht="15.75" customHeight="1">
      <c r="B1113" s="7"/>
      <c r="C1113" s="7"/>
      <c r="D1113" s="7"/>
      <c r="E1113" s="7"/>
      <c r="F1113" s="7"/>
      <c r="G1113" s="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  <c r="AA1113" s="7"/>
      <c r="AB1113" s="7"/>
    </row>
    <row r="1114" spans="2:28" ht="15.75" customHeight="1">
      <c r="B1114" s="7"/>
      <c r="C1114" s="7"/>
      <c r="D1114" s="7"/>
      <c r="E1114" s="7"/>
      <c r="F1114" s="7"/>
      <c r="G1114" s="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  <c r="AA1114" s="7"/>
      <c r="AB1114" s="7"/>
    </row>
    <row r="1115" spans="2:28" ht="15.75" customHeight="1">
      <c r="B1115" s="7"/>
      <c r="C1115" s="7"/>
      <c r="D1115" s="7"/>
      <c r="E1115" s="7"/>
      <c r="F1115" s="7"/>
      <c r="G1115" s="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  <c r="AA1115" s="7"/>
      <c r="AB1115" s="7"/>
    </row>
    <row r="1116" spans="2:28" ht="15.75" customHeight="1">
      <c r="B1116" s="7"/>
      <c r="C1116" s="7"/>
      <c r="D1116" s="7"/>
      <c r="E1116" s="7"/>
      <c r="F1116" s="7"/>
      <c r="G1116" s="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  <c r="AA1116" s="7"/>
      <c r="AB1116" s="7"/>
    </row>
    <row r="1117" spans="2:28" ht="15.75" customHeight="1">
      <c r="B1117" s="7"/>
      <c r="C1117" s="7"/>
      <c r="D1117" s="7"/>
      <c r="E1117" s="7"/>
      <c r="F1117" s="7"/>
      <c r="G1117" s="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  <c r="AA1117" s="7"/>
      <c r="AB1117" s="7"/>
    </row>
    <row r="1118" spans="2:28" ht="15.75" customHeight="1">
      <c r="B1118" s="7"/>
      <c r="C1118" s="7"/>
      <c r="D1118" s="7"/>
      <c r="E1118" s="7"/>
      <c r="F1118" s="7"/>
      <c r="G1118" s="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  <c r="AA1118" s="7"/>
      <c r="AB1118" s="7"/>
    </row>
    <row r="1119" spans="2:28" ht="15.75" customHeight="1">
      <c r="B1119" s="7"/>
      <c r="C1119" s="7"/>
      <c r="D1119" s="7"/>
      <c r="E1119" s="7"/>
      <c r="F1119" s="7"/>
      <c r="G1119" s="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  <c r="AA1119" s="7"/>
      <c r="AB1119" s="7"/>
    </row>
    <row r="1120" spans="2:28" ht="15.75" customHeight="1">
      <c r="B1120" s="7"/>
      <c r="C1120" s="7"/>
      <c r="D1120" s="7"/>
      <c r="E1120" s="7"/>
      <c r="F1120" s="7"/>
      <c r="G1120" s="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  <c r="AA1120" s="7"/>
      <c r="AB1120" s="7"/>
    </row>
    <row r="1121" spans="2:28" ht="15.75" customHeight="1">
      <c r="B1121" s="7"/>
      <c r="C1121" s="7"/>
      <c r="D1121" s="7"/>
      <c r="E1121" s="7"/>
      <c r="F1121" s="7"/>
      <c r="G1121" s="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  <c r="AA1121" s="7"/>
      <c r="AB1121" s="7"/>
    </row>
    <row r="1122" spans="2:28" ht="15.75" customHeight="1">
      <c r="B1122" s="7"/>
      <c r="C1122" s="7"/>
      <c r="D1122" s="7"/>
      <c r="E1122" s="7"/>
      <c r="F1122" s="7"/>
      <c r="G1122" s="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  <c r="AA1122" s="7"/>
      <c r="AB1122" s="7"/>
    </row>
    <row r="1123" spans="2:28" ht="15.75" customHeight="1">
      <c r="B1123" s="7"/>
      <c r="C1123" s="7"/>
      <c r="D1123" s="7"/>
      <c r="E1123" s="7"/>
      <c r="F1123" s="7"/>
      <c r="G1123" s="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  <c r="AA1123" s="7"/>
      <c r="AB1123" s="7"/>
    </row>
    <row r="1124" spans="2:28" ht="15.75" customHeight="1">
      <c r="B1124" s="7"/>
      <c r="C1124" s="7"/>
      <c r="D1124" s="7"/>
      <c r="E1124" s="7"/>
      <c r="F1124" s="7"/>
      <c r="G1124" s="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  <c r="AA1124" s="7"/>
      <c r="AB1124" s="7"/>
    </row>
    <row r="1125" spans="2:28" ht="15.75" customHeight="1">
      <c r="B1125" s="7"/>
      <c r="C1125" s="7"/>
      <c r="D1125" s="7"/>
      <c r="E1125" s="7"/>
      <c r="F1125" s="7"/>
      <c r="G1125" s="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  <c r="AA1125" s="7"/>
      <c r="AB1125" s="7"/>
    </row>
    <row r="1126" spans="2:28" ht="15.75" customHeight="1">
      <c r="B1126" s="7"/>
      <c r="C1126" s="7"/>
      <c r="D1126" s="7"/>
      <c r="E1126" s="7"/>
      <c r="F1126" s="7"/>
      <c r="G1126" s="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  <c r="AA1126" s="7"/>
      <c r="AB1126" s="7"/>
    </row>
    <row r="1127" spans="2:28" ht="15.75" customHeight="1">
      <c r="B1127" s="7"/>
      <c r="C1127" s="7"/>
      <c r="D1127" s="7"/>
      <c r="E1127" s="7"/>
      <c r="F1127" s="7"/>
      <c r="G1127" s="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  <c r="AA1127" s="7"/>
      <c r="AB1127" s="7"/>
    </row>
    <row r="1128" spans="2:28" ht="15.75" customHeight="1">
      <c r="B1128" s="7"/>
      <c r="C1128" s="7"/>
      <c r="D1128" s="7"/>
      <c r="E1128" s="7"/>
      <c r="F1128" s="7"/>
      <c r="G1128" s="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  <c r="AA1128" s="7"/>
      <c r="AB1128" s="7"/>
    </row>
    <row r="1129" spans="2:28" ht="15.75" customHeight="1">
      <c r="B1129" s="7"/>
      <c r="C1129" s="7"/>
      <c r="D1129" s="7"/>
      <c r="E1129" s="7"/>
      <c r="F1129" s="7"/>
      <c r="G1129" s="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  <c r="AA1129" s="7"/>
      <c r="AB1129" s="7"/>
    </row>
    <row r="1130" spans="2:28" ht="15.75" customHeight="1">
      <c r="B1130" s="7"/>
      <c r="C1130" s="7"/>
      <c r="D1130" s="7"/>
      <c r="E1130" s="7"/>
      <c r="F1130" s="7"/>
      <c r="G1130" s="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  <c r="AA1130" s="7"/>
      <c r="AB1130" s="7"/>
    </row>
    <row r="1131" spans="2:28" ht="15.75" customHeight="1">
      <c r="B1131" s="7"/>
      <c r="C1131" s="7"/>
      <c r="D1131" s="7"/>
      <c r="E1131" s="7"/>
      <c r="F1131" s="7"/>
      <c r="G1131" s="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  <c r="AA1131" s="7"/>
      <c r="AB1131" s="7"/>
    </row>
    <row r="1132" spans="2:28" ht="15.75" customHeight="1">
      <c r="B1132" s="7"/>
      <c r="C1132" s="7"/>
      <c r="D1132" s="7"/>
      <c r="E1132" s="7"/>
      <c r="F1132" s="7"/>
      <c r="G1132" s="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  <c r="AA1132" s="7"/>
      <c r="AB1132" s="7"/>
    </row>
    <row r="1133" spans="2:28" ht="15.75" customHeight="1">
      <c r="B1133" s="7"/>
      <c r="C1133" s="7"/>
      <c r="D1133" s="7"/>
      <c r="E1133" s="7"/>
      <c r="F1133" s="7"/>
      <c r="G1133" s="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  <c r="AA1133" s="7"/>
      <c r="AB1133" s="7"/>
    </row>
    <row r="1134" spans="2:28" ht="15.75" customHeight="1">
      <c r="B1134" s="7"/>
      <c r="C1134" s="7"/>
      <c r="D1134" s="7"/>
      <c r="E1134" s="7"/>
      <c r="F1134" s="7"/>
      <c r="G1134" s="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  <c r="AA1134" s="7"/>
      <c r="AB1134" s="7"/>
    </row>
    <row r="1135" spans="2:28" ht="15.75" customHeight="1">
      <c r="B1135" s="7"/>
      <c r="C1135" s="7"/>
      <c r="D1135" s="7"/>
      <c r="E1135" s="7"/>
      <c r="F1135" s="7"/>
      <c r="G1135" s="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  <c r="AA1135" s="7"/>
      <c r="AB1135" s="7"/>
    </row>
    <row r="1136" spans="2:28" ht="15.75" customHeight="1">
      <c r="B1136" s="7"/>
      <c r="C1136" s="7"/>
      <c r="D1136" s="7"/>
      <c r="E1136" s="7"/>
      <c r="F1136" s="7"/>
      <c r="G1136" s="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  <c r="AA1136" s="7"/>
      <c r="AB1136" s="7"/>
    </row>
    <row r="1137" spans="2:28" ht="15.75" customHeight="1">
      <c r="B1137" s="7"/>
      <c r="C1137" s="7"/>
      <c r="D1137" s="7"/>
      <c r="E1137" s="7"/>
      <c r="F1137" s="7"/>
      <c r="G1137" s="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  <c r="AA1137" s="7"/>
      <c r="AB1137" s="7"/>
    </row>
    <row r="1138" spans="2:28" ht="15.75" customHeight="1">
      <c r="B1138" s="7"/>
      <c r="C1138" s="7"/>
      <c r="D1138" s="7"/>
      <c r="E1138" s="7"/>
      <c r="F1138" s="7"/>
      <c r="G1138" s="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  <c r="AA1138" s="7"/>
      <c r="AB1138" s="7"/>
    </row>
  </sheetData>
  <autoFilter ref="A2:AC184"/>
  <mergeCells count="2">
    <mergeCell ref="A1:AE1"/>
    <mergeCell ref="AH1:AL1"/>
  </mergeCells>
  <conditionalFormatting sqref="D3:D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3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4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4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4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4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4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4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4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4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4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5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3:S298">
    <cfRule type="colorScale" priority="5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5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5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3:V298">
    <cfRule type="colorScale" priority="5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3:W298">
    <cfRule type="colorScale" priority="5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5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5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58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A3:AA298">
    <cfRule type="colorScale" priority="59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3:AB298">
    <cfRule type="colorScale" priority="6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3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D3:AD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E3:AE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H3:AH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3:AJ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AL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BI11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AF1"/>
    </sheetView>
  </sheetViews>
  <sheetFormatPr baseColWidth="10" defaultColWidth="12.3984375" defaultRowHeight="15" customHeight="1"/>
  <cols>
    <col min="1" max="1" width="25.59765625" customWidth="1"/>
    <col min="2" max="27" width="7.59765625" customWidth="1"/>
    <col min="28" max="28" width="13.8984375" bestFit="1" customWidth="1"/>
    <col min="29" max="29" width="7.59765625" customWidth="1"/>
    <col min="31" max="31" width="14.59765625" bestFit="1" customWidth="1"/>
    <col min="32" max="32" width="13.3984375" bestFit="1" customWidth="1"/>
  </cols>
  <sheetData>
    <row r="1" spans="1:61" ht="24.6">
      <c r="A1" s="24" t="s">
        <v>67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H1" s="2"/>
      <c r="AI1" s="24" t="s">
        <v>68</v>
      </c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</row>
    <row r="2" spans="1:61" ht="27.6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8</v>
      </c>
      <c r="G2" s="2" t="s">
        <v>9</v>
      </c>
      <c r="H2" s="2" t="s">
        <v>32</v>
      </c>
      <c r="I2" s="2" t="s">
        <v>33</v>
      </c>
      <c r="J2" s="2" t="s">
        <v>34</v>
      </c>
      <c r="K2" s="2" t="s">
        <v>35</v>
      </c>
      <c r="L2" s="2" t="s">
        <v>36</v>
      </c>
      <c r="M2" s="2" t="s">
        <v>37</v>
      </c>
      <c r="N2" s="2" t="s">
        <v>38</v>
      </c>
      <c r="O2" s="2" t="s">
        <v>39</v>
      </c>
      <c r="P2" s="2" t="s">
        <v>40</v>
      </c>
      <c r="Q2" s="2" t="s">
        <v>41</v>
      </c>
      <c r="R2" s="2" t="s">
        <v>42</v>
      </c>
      <c r="S2" s="2" t="s">
        <v>43</v>
      </c>
      <c r="T2" s="2" t="s">
        <v>44</v>
      </c>
      <c r="U2" s="2" t="s">
        <v>45</v>
      </c>
      <c r="V2" s="2"/>
      <c r="W2" s="2" t="s">
        <v>46</v>
      </c>
      <c r="X2" s="2" t="s">
        <v>47</v>
      </c>
      <c r="Y2" s="2" t="s">
        <v>48</v>
      </c>
      <c r="Z2" s="2" t="s">
        <v>49</v>
      </c>
      <c r="AA2" s="2" t="s">
        <v>50</v>
      </c>
      <c r="AB2" s="2" t="s">
        <v>66</v>
      </c>
      <c r="AC2" s="2" t="s">
        <v>52</v>
      </c>
      <c r="AD2" s="2" t="s">
        <v>64</v>
      </c>
      <c r="AE2" s="2" t="s">
        <v>267</v>
      </c>
      <c r="AF2" s="2" t="s">
        <v>268</v>
      </c>
      <c r="AH2" s="2"/>
      <c r="AI2" s="2" t="s">
        <v>8</v>
      </c>
      <c r="AJ2" s="2" t="s">
        <v>9</v>
      </c>
      <c r="AK2" s="2" t="s">
        <v>32</v>
      </c>
      <c r="AL2" s="2" t="s">
        <v>33</v>
      </c>
      <c r="AM2" s="2" t="s">
        <v>34</v>
      </c>
      <c r="AN2" s="2" t="s">
        <v>35</v>
      </c>
      <c r="AO2" s="2" t="s">
        <v>36</v>
      </c>
      <c r="AP2" s="2" t="s">
        <v>37</v>
      </c>
      <c r="AQ2" s="2" t="s">
        <v>38</v>
      </c>
      <c r="AR2" s="2" t="s">
        <v>39</v>
      </c>
      <c r="AS2" s="2" t="s">
        <v>40</v>
      </c>
      <c r="AT2" s="2" t="s">
        <v>41</v>
      </c>
      <c r="AU2" s="2" t="s">
        <v>42</v>
      </c>
      <c r="AV2" s="2" t="s">
        <v>43</v>
      </c>
      <c r="AW2" s="2" t="s">
        <v>44</v>
      </c>
      <c r="AX2" s="2" t="s">
        <v>45</v>
      </c>
      <c r="AY2" s="2"/>
      <c r="AZ2" s="2" t="s">
        <v>46</v>
      </c>
      <c r="BA2" s="2" t="s">
        <v>47</v>
      </c>
      <c r="BB2" s="2" t="s">
        <v>48</v>
      </c>
      <c r="BC2" s="2" t="s">
        <v>49</v>
      </c>
      <c r="BD2" s="2" t="s">
        <v>50</v>
      </c>
      <c r="BE2" s="2" t="s">
        <v>66</v>
      </c>
      <c r="BF2" s="2" t="s">
        <v>52</v>
      </c>
      <c r="BG2" s="2" t="s">
        <v>64</v>
      </c>
      <c r="BH2" s="2" t="s">
        <v>267</v>
      </c>
      <c r="BI2" s="2" t="s">
        <v>268</v>
      </c>
    </row>
    <row r="3" spans="1:61" ht="13.8">
      <c r="A3" s="1" t="s">
        <v>127</v>
      </c>
      <c r="B3" s="3" t="s">
        <v>128</v>
      </c>
      <c r="C3" s="4" t="s">
        <v>8</v>
      </c>
      <c r="D3" s="4">
        <v>40</v>
      </c>
      <c r="E3" s="4">
        <v>1376</v>
      </c>
      <c r="F3" s="4">
        <v>40</v>
      </c>
      <c r="G3" s="4">
        <v>1376</v>
      </c>
      <c r="H3" s="4">
        <v>19.100000000000001</v>
      </c>
      <c r="I3" s="4">
        <v>0.56399999999999995</v>
      </c>
      <c r="J3" s="4">
        <v>0.51600000000000001</v>
      </c>
      <c r="K3" s="4">
        <v>0.61899999999999999</v>
      </c>
      <c r="L3" s="4">
        <v>0.253</v>
      </c>
      <c r="M3" s="4">
        <v>2.4</v>
      </c>
      <c r="N3" s="4">
        <v>6.8</v>
      </c>
      <c r="O3" s="4">
        <v>17.600000000000001</v>
      </c>
      <c r="P3" s="4">
        <v>3.4</v>
      </c>
      <c r="Q3" s="4">
        <v>2.5</v>
      </c>
      <c r="R3" s="4">
        <v>8</v>
      </c>
      <c r="S3" s="4">
        <v>21.4</v>
      </c>
      <c r="T3" s="4">
        <v>120</v>
      </c>
      <c r="U3" s="4">
        <v>103</v>
      </c>
      <c r="V3" s="4"/>
      <c r="W3" s="4">
        <v>3.8</v>
      </c>
      <c r="X3" s="4">
        <v>2.9</v>
      </c>
      <c r="Y3" s="4">
        <v>6.8</v>
      </c>
      <c r="Z3" s="4">
        <v>0.19700000000000001</v>
      </c>
      <c r="AA3" s="13">
        <f>(I3/TOTAL_BASIC!$D$301)*100</f>
        <v>100.66017906468655</v>
      </c>
      <c r="AB3" s="5">
        <f t="shared" ref="AB3" si="0">(T3/100)</f>
        <v>1.2</v>
      </c>
      <c r="AC3" s="3">
        <f t="shared" ref="AC3:AC100" si="1">T3-U3</f>
        <v>17</v>
      </c>
      <c r="AD3" s="9">
        <f>2*I3</f>
        <v>1.1279999999999999</v>
      </c>
      <c r="AE3" s="16">
        <f>IF(S3=0,0,O3/S3)</f>
        <v>0.82242990654205617</v>
      </c>
      <c r="AF3" s="16">
        <f>IF(R3=0,0,O3/R3)</f>
        <v>2.2000000000000002</v>
      </c>
      <c r="AG3" s="9"/>
      <c r="AH3" s="9"/>
      <c r="AI3" s="12">
        <f>(PERCENTRANK(F$3:F$298,F3))*100</f>
        <v>72.899999999999991</v>
      </c>
      <c r="AJ3" s="12">
        <f>(PERCENTRANK(G$3:G$298,G3))*100</f>
        <v>100</v>
      </c>
      <c r="AK3" s="12">
        <f t="shared" ref="AK3:BI18" si="2">(PERCENTRANK(H$3:H$298,H3))*100</f>
        <v>80.600000000000009</v>
      </c>
      <c r="AL3" s="12">
        <f t="shared" si="2"/>
        <v>56.899999999999991</v>
      </c>
      <c r="AM3" s="12">
        <f t="shared" si="2"/>
        <v>53</v>
      </c>
      <c r="AN3" s="12">
        <f t="shared" si="2"/>
        <v>85.6</v>
      </c>
      <c r="AO3" s="12">
        <f t="shared" si="2"/>
        <v>41.4</v>
      </c>
      <c r="AP3" s="12">
        <f t="shared" si="2"/>
        <v>24.8</v>
      </c>
      <c r="AQ3" s="12">
        <f t="shared" si="2"/>
        <v>32</v>
      </c>
      <c r="AR3" s="12">
        <f t="shared" si="2"/>
        <v>68.5</v>
      </c>
      <c r="AS3" s="12">
        <f t="shared" si="2"/>
        <v>98.8</v>
      </c>
      <c r="AT3" s="12">
        <f t="shared" si="2"/>
        <v>74.5</v>
      </c>
      <c r="AU3" s="12">
        <f>100-(PERCENTRANK(R$3:R$298,R3))*100</f>
        <v>94.5</v>
      </c>
      <c r="AV3" s="12">
        <f t="shared" si="2"/>
        <v>68.5</v>
      </c>
      <c r="AW3" s="12">
        <f t="shared" si="2"/>
        <v>86.1</v>
      </c>
      <c r="AX3" s="12">
        <f>100-(PERCENTRANK(U$3:U$298,U3))*100</f>
        <v>93.4</v>
      </c>
      <c r="AY3" s="12"/>
      <c r="AZ3" s="12">
        <f t="shared" si="2"/>
        <v>93.899999999999991</v>
      </c>
      <c r="BA3" s="12">
        <f t="shared" si="2"/>
        <v>98.3</v>
      </c>
      <c r="BB3" s="12">
        <f t="shared" si="2"/>
        <v>98.3</v>
      </c>
      <c r="BC3" s="12">
        <f t="shared" si="2"/>
        <v>94.399999999999991</v>
      </c>
      <c r="BD3" s="12">
        <f t="shared" si="2"/>
        <v>56.899999999999991</v>
      </c>
      <c r="BE3" s="12">
        <f t="shared" si="2"/>
        <v>86.1</v>
      </c>
      <c r="BF3" s="12">
        <f t="shared" si="2"/>
        <v>94.399999999999991</v>
      </c>
      <c r="BG3" s="12">
        <f t="shared" si="2"/>
        <v>56.899999999999991</v>
      </c>
      <c r="BH3" s="12">
        <f t="shared" si="2"/>
        <v>60.199999999999996</v>
      </c>
      <c r="BI3" s="12">
        <f t="shared" si="2"/>
        <v>96.1</v>
      </c>
    </row>
    <row r="4" spans="1:61" ht="13.8">
      <c r="A4" s="1" t="s">
        <v>159</v>
      </c>
      <c r="B4" s="3" t="s">
        <v>157</v>
      </c>
      <c r="C4" s="4" t="s">
        <v>8</v>
      </c>
      <c r="D4" s="4">
        <v>41</v>
      </c>
      <c r="E4" s="4">
        <v>1347</v>
      </c>
      <c r="F4" s="4">
        <v>41</v>
      </c>
      <c r="G4" s="4">
        <v>1347</v>
      </c>
      <c r="H4" s="4">
        <v>24</v>
      </c>
      <c r="I4" s="4">
        <v>0.65</v>
      </c>
      <c r="J4" s="4">
        <v>0.60899999999999999</v>
      </c>
      <c r="K4" s="4">
        <v>0.39400000000000002</v>
      </c>
      <c r="L4" s="4">
        <v>0.3</v>
      </c>
      <c r="M4" s="4">
        <v>2.1</v>
      </c>
      <c r="N4" s="4">
        <v>3.3</v>
      </c>
      <c r="O4" s="4">
        <v>14.8</v>
      </c>
      <c r="P4" s="4">
        <v>1.6</v>
      </c>
      <c r="Q4" s="4">
        <v>0.3</v>
      </c>
      <c r="R4" s="4">
        <v>8.1</v>
      </c>
      <c r="S4" s="4">
        <v>28.1</v>
      </c>
      <c r="T4" s="4">
        <v>127</v>
      </c>
      <c r="U4" s="4">
        <v>115</v>
      </c>
      <c r="V4" s="4"/>
      <c r="W4" s="4">
        <v>6.5</v>
      </c>
      <c r="X4" s="4">
        <v>0.6</v>
      </c>
      <c r="Y4" s="4">
        <v>7.2</v>
      </c>
      <c r="Z4" s="4">
        <v>0.21299999999999999</v>
      </c>
      <c r="AA4" s="13">
        <f>(I4/TOTAL_BASIC!$D$301)*100</f>
        <v>116.00907161710327</v>
      </c>
      <c r="AB4" s="5">
        <f t="shared" ref="AB4:AB67" si="3">(T4/100)</f>
        <v>1.27</v>
      </c>
      <c r="AC4" s="3">
        <f t="shared" si="1"/>
        <v>12</v>
      </c>
      <c r="AD4" s="9">
        <f t="shared" ref="AD4:AD67" si="4">2*I4</f>
        <v>1.3</v>
      </c>
      <c r="AE4" s="16">
        <f t="shared" ref="AE4:AE67" si="5">IF(S4=0,0,O4/S4)</f>
        <v>0.5266903914590747</v>
      </c>
      <c r="AF4" s="16">
        <f t="shared" ref="AF4:AF67" si="6">IF(R4=0,0,O4/R4)</f>
        <v>1.8271604938271606</v>
      </c>
      <c r="AG4" s="9"/>
      <c r="AH4" s="9"/>
      <c r="AI4" s="12">
        <f t="shared" ref="AI4:AI67" si="7">(PERCENTRANK(F$3:F$298,F4))*100</f>
        <v>85.6</v>
      </c>
      <c r="AJ4" s="12">
        <f t="shared" ref="AJ4:AN67" si="8">(PERCENTRANK(G$3:G$298,G4))*100</f>
        <v>99.4</v>
      </c>
      <c r="AK4" s="12">
        <f t="shared" si="2"/>
        <v>98.3</v>
      </c>
      <c r="AL4" s="12">
        <f t="shared" si="2"/>
        <v>96.6</v>
      </c>
      <c r="AM4" s="12">
        <f t="shared" si="2"/>
        <v>95</v>
      </c>
      <c r="AN4" s="12">
        <f t="shared" si="2"/>
        <v>45.300000000000004</v>
      </c>
      <c r="AO4" s="12">
        <f t="shared" si="2"/>
        <v>55.800000000000004</v>
      </c>
      <c r="AP4" s="12">
        <f t="shared" si="2"/>
        <v>18.2</v>
      </c>
      <c r="AQ4" s="12">
        <f t="shared" si="2"/>
        <v>1.6</v>
      </c>
      <c r="AR4" s="12">
        <f t="shared" si="2"/>
        <v>57.999999999999993</v>
      </c>
      <c r="AS4" s="12">
        <f t="shared" si="2"/>
        <v>40.300000000000004</v>
      </c>
      <c r="AT4" s="12">
        <f t="shared" si="2"/>
        <v>10.4</v>
      </c>
      <c r="AU4" s="12">
        <f t="shared" ref="AU4:AU67" si="9">100-(PERCENTRANK(R$3:R$298,R4))*100</f>
        <v>94</v>
      </c>
      <c r="AV4" s="12">
        <f t="shared" si="2"/>
        <v>93.300000000000011</v>
      </c>
      <c r="AW4" s="12">
        <f t="shared" si="2"/>
        <v>98.3</v>
      </c>
      <c r="AX4" s="12">
        <f t="shared" ref="AX4:AX67" si="10">100-(PERCENTRANK(U$3:U$298,U4))*100</f>
        <v>19.399999999999991</v>
      </c>
      <c r="AY4" s="9"/>
      <c r="AZ4" s="12">
        <f t="shared" si="2"/>
        <v>100</v>
      </c>
      <c r="BA4" s="12">
        <f t="shared" si="2"/>
        <v>47.5</v>
      </c>
      <c r="BB4" s="12">
        <f t="shared" ref="BB4:BE67" si="11">(PERCENTRANK(Y$3:Y$298,Y4))*100</f>
        <v>99.4</v>
      </c>
      <c r="BC4" s="12">
        <f t="shared" si="11"/>
        <v>97.7</v>
      </c>
      <c r="BD4" s="12">
        <f t="shared" si="11"/>
        <v>96.6</v>
      </c>
      <c r="BE4" s="12">
        <f t="shared" si="11"/>
        <v>98.3</v>
      </c>
      <c r="BF4" s="12">
        <f t="shared" ref="BF4:BI67" si="12">(PERCENTRANK(AC$3:AC$298,AC4))*100</f>
        <v>84.5</v>
      </c>
      <c r="BG4" s="12">
        <f t="shared" si="12"/>
        <v>96.6</v>
      </c>
      <c r="BH4" s="12">
        <f t="shared" si="12"/>
        <v>23.200000000000003</v>
      </c>
      <c r="BI4" s="12">
        <f t="shared" si="12"/>
        <v>90.600000000000009</v>
      </c>
    </row>
    <row r="5" spans="1:61" ht="13.8">
      <c r="A5" s="1" t="s">
        <v>149</v>
      </c>
      <c r="B5" s="3" t="s">
        <v>128</v>
      </c>
      <c r="C5" s="4" t="s">
        <v>8</v>
      </c>
      <c r="D5" s="4">
        <v>41</v>
      </c>
      <c r="E5" s="4">
        <v>1341</v>
      </c>
      <c r="F5" s="4">
        <v>41</v>
      </c>
      <c r="G5" s="4">
        <v>1341</v>
      </c>
      <c r="H5" s="4">
        <v>17.899999999999999</v>
      </c>
      <c r="I5" s="4">
        <v>0.57999999999999996</v>
      </c>
      <c r="J5" s="4">
        <v>0.52400000000000002</v>
      </c>
      <c r="K5" s="4">
        <v>0.39700000000000002</v>
      </c>
      <c r="L5" s="4">
        <v>0.39500000000000002</v>
      </c>
      <c r="M5" s="4">
        <v>2.5</v>
      </c>
      <c r="N5" s="4">
        <v>6.4</v>
      </c>
      <c r="O5" s="4">
        <v>13.7</v>
      </c>
      <c r="P5" s="4">
        <v>1.9</v>
      </c>
      <c r="Q5" s="4">
        <v>1.1000000000000001</v>
      </c>
      <c r="R5" s="4">
        <v>8.4</v>
      </c>
      <c r="S5" s="4">
        <v>23.1</v>
      </c>
      <c r="T5" s="4">
        <v>119</v>
      </c>
      <c r="U5" s="4">
        <v>107</v>
      </c>
      <c r="V5" s="4"/>
      <c r="W5" s="4">
        <v>3.9</v>
      </c>
      <c r="X5" s="4">
        <v>2</v>
      </c>
      <c r="Y5" s="4">
        <v>5.9</v>
      </c>
      <c r="Z5" s="4">
        <v>0.17499999999999999</v>
      </c>
      <c r="AA5" s="13">
        <f>(I5/TOTAL_BASIC!$D$301)*100</f>
        <v>103.51578698141523</v>
      </c>
      <c r="AB5" s="5">
        <f t="shared" si="3"/>
        <v>1.19</v>
      </c>
      <c r="AC5" s="3">
        <f t="shared" si="1"/>
        <v>12</v>
      </c>
      <c r="AD5" s="9">
        <f t="shared" si="4"/>
        <v>1.1599999999999999</v>
      </c>
      <c r="AE5" s="16">
        <f t="shared" si="5"/>
        <v>0.59307359307359298</v>
      </c>
      <c r="AF5" s="16">
        <f t="shared" si="6"/>
        <v>1.6309523809523807</v>
      </c>
      <c r="AG5" s="9"/>
      <c r="AH5" s="9"/>
      <c r="AI5" s="12">
        <f t="shared" si="7"/>
        <v>85.6</v>
      </c>
      <c r="AJ5" s="12">
        <f t="shared" si="8"/>
        <v>98.8</v>
      </c>
      <c r="AK5" s="12">
        <f t="shared" si="2"/>
        <v>76.7</v>
      </c>
      <c r="AL5" s="12">
        <f t="shared" si="2"/>
        <v>66.8</v>
      </c>
      <c r="AM5" s="12">
        <f t="shared" si="2"/>
        <v>58.5</v>
      </c>
      <c r="AN5" s="12">
        <f t="shared" si="2"/>
        <v>48</v>
      </c>
      <c r="AO5" s="12">
        <f t="shared" si="2"/>
        <v>75.599999999999994</v>
      </c>
      <c r="AP5" s="12">
        <f t="shared" si="2"/>
        <v>27.6</v>
      </c>
      <c r="AQ5" s="12">
        <f t="shared" si="2"/>
        <v>25.900000000000002</v>
      </c>
      <c r="AR5" s="12">
        <f t="shared" si="2"/>
        <v>49.7</v>
      </c>
      <c r="AS5" s="12">
        <f t="shared" si="2"/>
        <v>57.999999999999993</v>
      </c>
      <c r="AT5" s="12">
        <f t="shared" si="2"/>
        <v>44.1</v>
      </c>
      <c r="AU5" s="12">
        <f t="shared" si="9"/>
        <v>92.9</v>
      </c>
      <c r="AV5" s="12">
        <f t="shared" si="2"/>
        <v>76.2</v>
      </c>
      <c r="AW5" s="12">
        <f t="shared" si="2"/>
        <v>82.3</v>
      </c>
      <c r="AX5" s="12">
        <f t="shared" si="10"/>
        <v>77.400000000000006</v>
      </c>
      <c r="AY5" s="9"/>
      <c r="AZ5" s="12">
        <f t="shared" si="2"/>
        <v>95</v>
      </c>
      <c r="BA5" s="12">
        <f t="shared" si="2"/>
        <v>90</v>
      </c>
      <c r="BB5" s="12">
        <f t="shared" si="11"/>
        <v>94.399999999999991</v>
      </c>
      <c r="BC5" s="12">
        <f t="shared" si="11"/>
        <v>87.8</v>
      </c>
      <c r="BD5" s="12">
        <f t="shared" si="11"/>
        <v>66.8</v>
      </c>
      <c r="BE5" s="12">
        <f t="shared" si="11"/>
        <v>82.3</v>
      </c>
      <c r="BF5" s="12">
        <f t="shared" si="12"/>
        <v>84.5</v>
      </c>
      <c r="BG5" s="12">
        <f t="shared" si="12"/>
        <v>66.8</v>
      </c>
      <c r="BH5" s="12">
        <f t="shared" si="12"/>
        <v>33.1</v>
      </c>
      <c r="BI5" s="12">
        <f t="shared" si="12"/>
        <v>85.6</v>
      </c>
    </row>
    <row r="6" spans="1:61" ht="13.8">
      <c r="A6" s="1" t="s">
        <v>95</v>
      </c>
      <c r="B6" s="3" t="s">
        <v>96</v>
      </c>
      <c r="C6" s="4" t="s">
        <v>8</v>
      </c>
      <c r="D6" s="4">
        <v>41</v>
      </c>
      <c r="E6" s="4">
        <v>1337</v>
      </c>
      <c r="F6" s="4">
        <v>41</v>
      </c>
      <c r="G6" s="4">
        <v>1337</v>
      </c>
      <c r="H6" s="4">
        <v>19.3</v>
      </c>
      <c r="I6" s="4">
        <v>0.626</v>
      </c>
      <c r="J6" s="4">
        <v>0.57299999999999995</v>
      </c>
      <c r="K6" s="4">
        <v>0.54300000000000004</v>
      </c>
      <c r="L6" s="4">
        <v>0.28399999999999997</v>
      </c>
      <c r="M6" s="4">
        <v>2.2999999999999998</v>
      </c>
      <c r="N6" s="4">
        <v>5.6</v>
      </c>
      <c r="O6" s="4">
        <v>9.8000000000000007</v>
      </c>
      <c r="P6" s="4">
        <v>2.6</v>
      </c>
      <c r="Q6" s="4">
        <v>0.7</v>
      </c>
      <c r="R6" s="4">
        <v>8.1999999999999993</v>
      </c>
      <c r="S6" s="4">
        <v>21.2</v>
      </c>
      <c r="T6" s="4">
        <v>125</v>
      </c>
      <c r="U6" s="4">
        <v>108</v>
      </c>
      <c r="V6" s="4"/>
      <c r="W6" s="4">
        <v>4.5</v>
      </c>
      <c r="X6" s="4">
        <v>1.9</v>
      </c>
      <c r="Y6" s="4">
        <v>6.4</v>
      </c>
      <c r="Z6" s="4">
        <v>0.193</v>
      </c>
      <c r="AA6" s="13">
        <f>(I6/TOTAL_BASIC!$D$301)*100</f>
        <v>111.72565974201024</v>
      </c>
      <c r="AB6" s="5">
        <f t="shared" si="3"/>
        <v>1.25</v>
      </c>
      <c r="AC6" s="3">
        <f t="shared" si="1"/>
        <v>17</v>
      </c>
      <c r="AD6" s="9">
        <f t="shared" si="4"/>
        <v>1.252</v>
      </c>
      <c r="AE6" s="16">
        <f t="shared" si="5"/>
        <v>0.46226415094339629</v>
      </c>
      <c r="AF6" s="16">
        <f t="shared" si="6"/>
        <v>1.1951219512195124</v>
      </c>
      <c r="AG6" s="9"/>
      <c r="AH6" s="9"/>
      <c r="AI6" s="12">
        <f t="shared" si="7"/>
        <v>85.6</v>
      </c>
      <c r="AJ6" s="12">
        <f t="shared" si="8"/>
        <v>98.3</v>
      </c>
      <c r="AK6" s="12">
        <f t="shared" si="2"/>
        <v>82.3</v>
      </c>
      <c r="AL6" s="12">
        <f t="shared" si="2"/>
        <v>91.100000000000009</v>
      </c>
      <c r="AM6" s="12">
        <f t="shared" si="2"/>
        <v>82.8</v>
      </c>
      <c r="AN6" s="12">
        <f t="shared" si="2"/>
        <v>79.5</v>
      </c>
      <c r="AO6" s="12">
        <f t="shared" si="2"/>
        <v>49.1</v>
      </c>
      <c r="AP6" s="12">
        <f t="shared" si="2"/>
        <v>22</v>
      </c>
      <c r="AQ6" s="12">
        <f t="shared" si="2"/>
        <v>18.2</v>
      </c>
      <c r="AR6" s="12">
        <f t="shared" si="2"/>
        <v>27</v>
      </c>
      <c r="AS6" s="12">
        <f t="shared" si="2"/>
        <v>88.3</v>
      </c>
      <c r="AT6" s="12">
        <f t="shared" si="2"/>
        <v>24.3</v>
      </c>
      <c r="AU6" s="12">
        <f t="shared" si="9"/>
        <v>93.4</v>
      </c>
      <c r="AV6" s="12">
        <f t="shared" si="2"/>
        <v>66.8</v>
      </c>
      <c r="AW6" s="12">
        <f t="shared" si="2"/>
        <v>94.399999999999991</v>
      </c>
      <c r="AX6" s="12">
        <f t="shared" si="10"/>
        <v>71.3</v>
      </c>
      <c r="AY6" s="9"/>
      <c r="AZ6" s="12">
        <f t="shared" si="2"/>
        <v>97.2</v>
      </c>
      <c r="BA6" s="12">
        <f t="shared" si="2"/>
        <v>88.3</v>
      </c>
      <c r="BB6" s="12">
        <f t="shared" si="11"/>
        <v>96.6</v>
      </c>
      <c r="BC6" s="12">
        <f t="shared" si="11"/>
        <v>91.7</v>
      </c>
      <c r="BD6" s="12">
        <f t="shared" si="11"/>
        <v>91.100000000000009</v>
      </c>
      <c r="BE6" s="12">
        <f t="shared" si="11"/>
        <v>94.399999999999991</v>
      </c>
      <c r="BF6" s="12">
        <f t="shared" si="12"/>
        <v>94.399999999999991</v>
      </c>
      <c r="BG6" s="12">
        <f t="shared" si="12"/>
        <v>91.100000000000009</v>
      </c>
      <c r="BH6" s="12">
        <f t="shared" si="12"/>
        <v>15.4</v>
      </c>
      <c r="BI6" s="12">
        <f t="shared" si="12"/>
        <v>65.100000000000009</v>
      </c>
    </row>
    <row r="7" spans="1:61" ht="13.8">
      <c r="A7" s="1" t="s">
        <v>83</v>
      </c>
      <c r="B7" s="3" t="s">
        <v>84</v>
      </c>
      <c r="C7" s="4" t="s">
        <v>85</v>
      </c>
      <c r="D7" s="4">
        <v>40</v>
      </c>
      <c r="E7" s="4">
        <v>1325</v>
      </c>
      <c r="F7" s="4">
        <v>40</v>
      </c>
      <c r="G7" s="4">
        <v>1325</v>
      </c>
      <c r="H7" s="4">
        <v>23.3</v>
      </c>
      <c r="I7" s="4">
        <v>0.56899999999999995</v>
      </c>
      <c r="J7" s="4">
        <v>0.49099999999999999</v>
      </c>
      <c r="K7" s="4">
        <v>0.19800000000000001</v>
      </c>
      <c r="L7" s="4">
        <v>0.45800000000000002</v>
      </c>
      <c r="M7" s="4">
        <v>5.8</v>
      </c>
      <c r="N7" s="4">
        <v>14.8</v>
      </c>
      <c r="O7" s="4">
        <v>17.399999999999999</v>
      </c>
      <c r="P7" s="4">
        <v>2.1</v>
      </c>
      <c r="Q7" s="4">
        <v>3.6</v>
      </c>
      <c r="R7" s="4">
        <v>10</v>
      </c>
      <c r="S7" s="4">
        <v>27</v>
      </c>
      <c r="T7" s="4">
        <v>117</v>
      </c>
      <c r="U7" s="4">
        <v>105</v>
      </c>
      <c r="V7" s="4"/>
      <c r="W7" s="4">
        <v>4</v>
      </c>
      <c r="X7" s="4">
        <v>2.5</v>
      </c>
      <c r="Y7" s="4">
        <v>6.5</v>
      </c>
      <c r="Z7" s="4">
        <v>0.19500000000000001</v>
      </c>
      <c r="AA7" s="13">
        <f>(I7/TOTAL_BASIC!$D$301)*100</f>
        <v>101.55255653866423</v>
      </c>
      <c r="AB7" s="5">
        <f t="shared" si="3"/>
        <v>1.17</v>
      </c>
      <c r="AC7" s="3">
        <f t="shared" si="1"/>
        <v>12</v>
      </c>
      <c r="AD7" s="9">
        <f t="shared" si="4"/>
        <v>1.1379999999999999</v>
      </c>
      <c r="AE7" s="16">
        <f t="shared" si="5"/>
        <v>0.64444444444444438</v>
      </c>
      <c r="AF7" s="16">
        <f t="shared" si="6"/>
        <v>1.7399999999999998</v>
      </c>
      <c r="AG7" s="9"/>
      <c r="AH7" s="9"/>
      <c r="AI7" s="12">
        <f t="shared" si="7"/>
        <v>72.899999999999991</v>
      </c>
      <c r="AJ7" s="12">
        <f t="shared" si="8"/>
        <v>97.7</v>
      </c>
      <c r="AK7" s="12">
        <f t="shared" si="2"/>
        <v>97.7</v>
      </c>
      <c r="AL7" s="12">
        <f t="shared" si="2"/>
        <v>61.3</v>
      </c>
      <c r="AM7" s="12">
        <f t="shared" si="2"/>
        <v>41.4</v>
      </c>
      <c r="AN7" s="12">
        <f t="shared" si="2"/>
        <v>15.4</v>
      </c>
      <c r="AO7" s="12">
        <f t="shared" si="2"/>
        <v>87.8</v>
      </c>
      <c r="AP7" s="12">
        <f t="shared" si="2"/>
        <v>62.9</v>
      </c>
      <c r="AQ7" s="12">
        <f t="shared" si="2"/>
        <v>82.8</v>
      </c>
      <c r="AR7" s="12">
        <f t="shared" si="2"/>
        <v>67.900000000000006</v>
      </c>
      <c r="AS7" s="12">
        <f t="shared" si="2"/>
        <v>70.7</v>
      </c>
      <c r="AT7" s="12">
        <f t="shared" si="2"/>
        <v>85</v>
      </c>
      <c r="AU7" s="12">
        <f t="shared" si="9"/>
        <v>89</v>
      </c>
      <c r="AV7" s="12">
        <f t="shared" si="2"/>
        <v>90</v>
      </c>
      <c r="AW7" s="12">
        <f t="shared" si="2"/>
        <v>78.400000000000006</v>
      </c>
      <c r="AX7" s="12">
        <f t="shared" si="10"/>
        <v>85.7</v>
      </c>
      <c r="AY7" s="9"/>
      <c r="AZ7" s="12">
        <f t="shared" si="2"/>
        <v>96.1</v>
      </c>
      <c r="BA7" s="12">
        <f t="shared" si="2"/>
        <v>96.1</v>
      </c>
      <c r="BB7" s="12">
        <f t="shared" si="11"/>
        <v>97.2</v>
      </c>
      <c r="BC7" s="12">
        <f t="shared" si="11"/>
        <v>92.800000000000011</v>
      </c>
      <c r="BD7" s="12">
        <f t="shared" si="11"/>
        <v>61.3</v>
      </c>
      <c r="BE7" s="12">
        <f t="shared" si="11"/>
        <v>78.400000000000006</v>
      </c>
      <c r="BF7" s="12">
        <f t="shared" si="12"/>
        <v>84.5</v>
      </c>
      <c r="BG7" s="12">
        <f t="shared" si="12"/>
        <v>61.3</v>
      </c>
      <c r="BH7" s="12">
        <f t="shared" si="12"/>
        <v>38.6</v>
      </c>
      <c r="BI7" s="12">
        <f t="shared" si="12"/>
        <v>87.8</v>
      </c>
    </row>
    <row r="8" spans="1:61" ht="13.8">
      <c r="A8" s="1" t="s">
        <v>121</v>
      </c>
      <c r="B8" s="3" t="s">
        <v>117</v>
      </c>
      <c r="C8" s="4" t="s">
        <v>8</v>
      </c>
      <c r="D8" s="4">
        <v>40</v>
      </c>
      <c r="E8" s="4">
        <v>1309</v>
      </c>
      <c r="F8" s="4">
        <v>40</v>
      </c>
      <c r="G8" s="4">
        <v>1309</v>
      </c>
      <c r="H8" s="4">
        <v>14.2</v>
      </c>
      <c r="I8" s="4">
        <v>0.55500000000000005</v>
      </c>
      <c r="J8" s="4">
        <v>0.52</v>
      </c>
      <c r="K8" s="4">
        <v>0.47399999999999998</v>
      </c>
      <c r="L8" s="4">
        <v>0.158</v>
      </c>
      <c r="M8" s="4">
        <v>0.9</v>
      </c>
      <c r="N8" s="4">
        <v>6</v>
      </c>
      <c r="O8" s="4">
        <v>29.9</v>
      </c>
      <c r="P8" s="4">
        <v>2</v>
      </c>
      <c r="Q8" s="4">
        <v>1</v>
      </c>
      <c r="R8" s="4">
        <v>20.2</v>
      </c>
      <c r="S8" s="4">
        <v>18.399999999999999</v>
      </c>
      <c r="T8" s="4">
        <v>108</v>
      </c>
      <c r="U8" s="4">
        <v>110</v>
      </c>
      <c r="V8" s="4"/>
      <c r="W8" s="4">
        <v>1.4</v>
      </c>
      <c r="X8" s="4">
        <v>1.6</v>
      </c>
      <c r="Y8" s="4">
        <v>2.9</v>
      </c>
      <c r="Z8" s="4">
        <v>8.8999999999999996E-2</v>
      </c>
      <c r="AA8" s="13">
        <f>(I8/TOTAL_BASIC!$D$301)*100</f>
        <v>99.053899611526646</v>
      </c>
      <c r="AB8" s="5">
        <f t="shared" si="3"/>
        <v>1.08</v>
      </c>
      <c r="AC8" s="3">
        <f t="shared" si="1"/>
        <v>-2</v>
      </c>
      <c r="AD8" s="9">
        <f t="shared" si="4"/>
        <v>1.1100000000000001</v>
      </c>
      <c r="AE8" s="16">
        <f t="shared" si="5"/>
        <v>1.625</v>
      </c>
      <c r="AF8" s="16">
        <f t="shared" si="6"/>
        <v>1.4801980198019802</v>
      </c>
      <c r="AG8" s="9"/>
      <c r="AH8" s="9"/>
      <c r="AI8" s="12">
        <f t="shared" si="7"/>
        <v>72.899999999999991</v>
      </c>
      <c r="AJ8" s="12">
        <f t="shared" si="8"/>
        <v>97.2</v>
      </c>
      <c r="AK8" s="12">
        <f t="shared" si="2"/>
        <v>57.4</v>
      </c>
      <c r="AL8" s="12">
        <f t="shared" si="2"/>
        <v>46.9</v>
      </c>
      <c r="AM8" s="12">
        <f t="shared" si="2"/>
        <v>55.2</v>
      </c>
      <c r="AN8" s="12">
        <f t="shared" si="2"/>
        <v>62.4</v>
      </c>
      <c r="AO8" s="12">
        <f t="shared" si="2"/>
        <v>16</v>
      </c>
      <c r="AP8" s="12">
        <f t="shared" si="2"/>
        <v>3.3000000000000003</v>
      </c>
      <c r="AQ8" s="12">
        <f t="shared" si="2"/>
        <v>20.9</v>
      </c>
      <c r="AR8" s="12">
        <f t="shared" si="2"/>
        <v>93.300000000000011</v>
      </c>
      <c r="AS8" s="12">
        <f t="shared" si="2"/>
        <v>64.600000000000009</v>
      </c>
      <c r="AT8" s="12">
        <f t="shared" si="2"/>
        <v>39.700000000000003</v>
      </c>
      <c r="AU8" s="12">
        <f t="shared" si="9"/>
        <v>12.799999999999997</v>
      </c>
      <c r="AV8" s="12">
        <f t="shared" si="2"/>
        <v>50.2</v>
      </c>
      <c r="AW8" s="12">
        <f t="shared" si="2"/>
        <v>54.1</v>
      </c>
      <c r="AX8" s="12">
        <f t="shared" si="10"/>
        <v>58.6</v>
      </c>
      <c r="AY8" s="9"/>
      <c r="AZ8" s="12">
        <f t="shared" si="2"/>
        <v>75.099999999999994</v>
      </c>
      <c r="BA8" s="12">
        <f t="shared" si="2"/>
        <v>84.5</v>
      </c>
      <c r="BB8" s="12">
        <f t="shared" si="11"/>
        <v>79</v>
      </c>
      <c r="BC8" s="12">
        <f t="shared" si="11"/>
        <v>59.599999999999994</v>
      </c>
      <c r="BD8" s="12">
        <f t="shared" si="11"/>
        <v>46.9</v>
      </c>
      <c r="BE8" s="12">
        <f t="shared" si="11"/>
        <v>54.1</v>
      </c>
      <c r="BF8" s="12">
        <f t="shared" si="12"/>
        <v>53.5</v>
      </c>
      <c r="BG8" s="12">
        <f t="shared" si="12"/>
        <v>46.9</v>
      </c>
      <c r="BH8" s="12">
        <f t="shared" si="12"/>
        <v>95.5</v>
      </c>
      <c r="BI8" s="12">
        <f t="shared" si="12"/>
        <v>78.400000000000006</v>
      </c>
    </row>
    <row r="9" spans="1:61" ht="13.8">
      <c r="A9" s="1" t="s">
        <v>97</v>
      </c>
      <c r="B9" s="3" t="s">
        <v>93</v>
      </c>
      <c r="C9" s="4" t="s">
        <v>85</v>
      </c>
      <c r="D9" s="4">
        <v>39</v>
      </c>
      <c r="E9" s="4">
        <v>1304</v>
      </c>
      <c r="F9" s="4">
        <v>39</v>
      </c>
      <c r="G9" s="4">
        <v>1304</v>
      </c>
      <c r="H9" s="4">
        <v>19.5</v>
      </c>
      <c r="I9" s="4">
        <v>0.56299999999999994</v>
      </c>
      <c r="J9" s="4">
        <v>0.51800000000000002</v>
      </c>
      <c r="K9" s="4">
        <v>7.0000000000000001E-3</v>
      </c>
      <c r="L9" s="4">
        <v>0.46400000000000002</v>
      </c>
      <c r="M9" s="4">
        <v>6.1</v>
      </c>
      <c r="N9" s="4">
        <v>14.1</v>
      </c>
      <c r="O9" s="4">
        <v>44.4</v>
      </c>
      <c r="P9" s="4">
        <v>2.1</v>
      </c>
      <c r="Q9" s="4">
        <v>1.3</v>
      </c>
      <c r="R9" s="4">
        <v>21.9</v>
      </c>
      <c r="S9" s="4">
        <v>22.1</v>
      </c>
      <c r="T9" s="4">
        <v>110</v>
      </c>
      <c r="U9" s="4">
        <v>109</v>
      </c>
      <c r="V9" s="4"/>
      <c r="W9" s="4">
        <v>2.2000000000000002</v>
      </c>
      <c r="X9" s="4">
        <v>1.7</v>
      </c>
      <c r="Y9" s="4">
        <v>3.9</v>
      </c>
      <c r="Z9" s="4">
        <v>0.11899999999999999</v>
      </c>
      <c r="AA9" s="13">
        <f>(I9/TOTAL_BASIC!$D$301)*100</f>
        <v>100.481703569891</v>
      </c>
      <c r="AB9" s="5">
        <f t="shared" si="3"/>
        <v>1.1000000000000001</v>
      </c>
      <c r="AC9" s="3">
        <f t="shared" si="1"/>
        <v>1</v>
      </c>
      <c r="AD9" s="9">
        <f t="shared" si="4"/>
        <v>1.1259999999999999</v>
      </c>
      <c r="AE9" s="16">
        <f t="shared" si="5"/>
        <v>2.0090497737556561</v>
      </c>
      <c r="AF9" s="16">
        <f t="shared" si="6"/>
        <v>2.0273972602739727</v>
      </c>
      <c r="AG9" s="9"/>
      <c r="AH9" s="9"/>
      <c r="AI9" s="12">
        <f t="shared" si="7"/>
        <v>64.600000000000009</v>
      </c>
      <c r="AJ9" s="12">
        <f t="shared" si="8"/>
        <v>96.6</v>
      </c>
      <c r="AK9" s="12">
        <f t="shared" si="2"/>
        <v>82.8</v>
      </c>
      <c r="AL9" s="12">
        <f t="shared" si="2"/>
        <v>55.800000000000004</v>
      </c>
      <c r="AM9" s="12">
        <f t="shared" si="2"/>
        <v>54.1</v>
      </c>
      <c r="AN9" s="12">
        <f t="shared" si="2"/>
        <v>2.7</v>
      </c>
      <c r="AO9" s="12">
        <f t="shared" si="2"/>
        <v>88.9</v>
      </c>
      <c r="AP9" s="12">
        <f t="shared" si="2"/>
        <v>65.7</v>
      </c>
      <c r="AQ9" s="12">
        <f t="shared" si="2"/>
        <v>80.600000000000009</v>
      </c>
      <c r="AR9" s="12">
        <f t="shared" si="2"/>
        <v>99.4</v>
      </c>
      <c r="AS9" s="12">
        <f t="shared" si="2"/>
        <v>70.7</v>
      </c>
      <c r="AT9" s="12">
        <f t="shared" si="2"/>
        <v>49.7</v>
      </c>
      <c r="AU9" s="12">
        <f t="shared" si="9"/>
        <v>8.2999999999999972</v>
      </c>
      <c r="AV9" s="12">
        <f t="shared" si="2"/>
        <v>71.8</v>
      </c>
      <c r="AW9" s="12">
        <f t="shared" si="2"/>
        <v>60.699999999999996</v>
      </c>
      <c r="AX9" s="12">
        <f t="shared" si="10"/>
        <v>64.7</v>
      </c>
      <c r="AY9" s="9"/>
      <c r="AZ9" s="12">
        <f t="shared" si="2"/>
        <v>85</v>
      </c>
      <c r="BA9" s="12">
        <f t="shared" ref="BA9:BD72" si="13">(PERCENTRANK(X$3:X$298,X9))*100</f>
        <v>86.7</v>
      </c>
      <c r="BB9" s="12">
        <f t="shared" si="11"/>
        <v>86.7</v>
      </c>
      <c r="BC9" s="12">
        <f t="shared" si="11"/>
        <v>70.7</v>
      </c>
      <c r="BD9" s="12">
        <f t="shared" si="11"/>
        <v>55.800000000000004</v>
      </c>
      <c r="BE9" s="12">
        <f t="shared" si="11"/>
        <v>60.699999999999996</v>
      </c>
      <c r="BF9" s="12">
        <f t="shared" si="12"/>
        <v>61.8</v>
      </c>
      <c r="BG9" s="12">
        <f t="shared" si="12"/>
        <v>55.800000000000004</v>
      </c>
      <c r="BH9" s="12">
        <f t="shared" si="12"/>
        <v>99.4</v>
      </c>
      <c r="BI9" s="12">
        <f t="shared" si="12"/>
        <v>93.300000000000011</v>
      </c>
    </row>
    <row r="10" spans="1:61" ht="13.8">
      <c r="A10" s="1" t="s">
        <v>116</v>
      </c>
      <c r="B10" s="3" t="s">
        <v>117</v>
      </c>
      <c r="C10" s="4" t="s">
        <v>8</v>
      </c>
      <c r="D10" s="4">
        <v>40</v>
      </c>
      <c r="E10" s="4">
        <v>1291</v>
      </c>
      <c r="F10" s="4">
        <v>40</v>
      </c>
      <c r="G10" s="4">
        <v>1291</v>
      </c>
      <c r="H10" s="4">
        <v>22.4</v>
      </c>
      <c r="I10" s="4">
        <v>0.621</v>
      </c>
      <c r="J10" s="4">
        <v>0.57399999999999995</v>
      </c>
      <c r="K10" s="4">
        <v>0.436</v>
      </c>
      <c r="L10" s="4">
        <v>0.24199999999999999</v>
      </c>
      <c r="M10" s="4">
        <v>2.9</v>
      </c>
      <c r="N10" s="4">
        <v>8.1</v>
      </c>
      <c r="O10" s="4">
        <v>33.5</v>
      </c>
      <c r="P10" s="4">
        <v>1.3</v>
      </c>
      <c r="Q10" s="4">
        <v>0.8</v>
      </c>
      <c r="R10" s="4">
        <v>13.6</v>
      </c>
      <c r="S10" s="4">
        <v>25.2</v>
      </c>
      <c r="T10" s="4">
        <v>122</v>
      </c>
      <c r="U10" s="4">
        <v>111</v>
      </c>
      <c r="V10" s="4"/>
      <c r="W10" s="4">
        <v>5</v>
      </c>
      <c r="X10" s="4">
        <v>1.3</v>
      </c>
      <c r="Y10" s="4">
        <v>6.3</v>
      </c>
      <c r="Z10" s="4">
        <v>0.19500000000000001</v>
      </c>
      <c r="AA10" s="13">
        <f>(I10/TOTAL_BASIC!$D$301)*100</f>
        <v>110.83328226803253</v>
      </c>
      <c r="AB10" s="5">
        <f t="shared" si="3"/>
        <v>1.22</v>
      </c>
      <c r="AC10" s="3">
        <f t="shared" si="1"/>
        <v>11</v>
      </c>
      <c r="AD10" s="9">
        <f t="shared" si="4"/>
        <v>1.242</v>
      </c>
      <c r="AE10" s="16">
        <f t="shared" si="5"/>
        <v>1.3293650793650793</v>
      </c>
      <c r="AF10" s="16">
        <f t="shared" si="6"/>
        <v>2.4632352941176472</v>
      </c>
      <c r="AG10" s="9"/>
      <c r="AH10" s="9"/>
      <c r="AI10" s="12">
        <f t="shared" si="7"/>
        <v>72.899999999999991</v>
      </c>
      <c r="AJ10" s="12">
        <f t="shared" si="8"/>
        <v>96.1</v>
      </c>
      <c r="AK10" s="12">
        <f t="shared" si="2"/>
        <v>94.399999999999991</v>
      </c>
      <c r="AL10" s="12">
        <f t="shared" si="2"/>
        <v>88.3</v>
      </c>
      <c r="AM10" s="12">
        <f t="shared" si="2"/>
        <v>83.899999999999991</v>
      </c>
      <c r="AN10" s="12">
        <f t="shared" si="2"/>
        <v>57.4</v>
      </c>
      <c r="AO10" s="12">
        <f t="shared" si="2"/>
        <v>38.1</v>
      </c>
      <c r="AP10" s="12">
        <f t="shared" si="2"/>
        <v>31.4</v>
      </c>
      <c r="AQ10" s="12">
        <f t="shared" si="2"/>
        <v>44.1</v>
      </c>
      <c r="AR10" s="12">
        <f t="shared" si="2"/>
        <v>95.5</v>
      </c>
      <c r="AS10" s="12">
        <f t="shared" si="2"/>
        <v>23.7</v>
      </c>
      <c r="AT10" s="12">
        <f t="shared" si="2"/>
        <v>30.3</v>
      </c>
      <c r="AU10" s="12">
        <f t="shared" si="9"/>
        <v>61.9</v>
      </c>
      <c r="AV10" s="12">
        <f t="shared" si="2"/>
        <v>85</v>
      </c>
      <c r="AW10" s="12">
        <f t="shared" si="2"/>
        <v>88.9</v>
      </c>
      <c r="AX10" s="12">
        <f t="shared" si="10"/>
        <v>48.699999999999996</v>
      </c>
      <c r="AY10" s="9"/>
      <c r="AZ10" s="12">
        <f t="shared" si="2"/>
        <v>98.8</v>
      </c>
      <c r="BA10" s="12">
        <f t="shared" si="13"/>
        <v>76.2</v>
      </c>
      <c r="BB10" s="12">
        <f t="shared" si="11"/>
        <v>95.5</v>
      </c>
      <c r="BC10" s="12">
        <f t="shared" si="11"/>
        <v>92.800000000000011</v>
      </c>
      <c r="BD10" s="12">
        <f t="shared" si="11"/>
        <v>88.3</v>
      </c>
      <c r="BE10" s="12">
        <f t="shared" si="11"/>
        <v>88.9</v>
      </c>
      <c r="BF10" s="12">
        <f t="shared" si="12"/>
        <v>81.699999999999989</v>
      </c>
      <c r="BG10" s="12">
        <f t="shared" si="12"/>
        <v>88.3</v>
      </c>
      <c r="BH10" s="12">
        <f t="shared" si="12"/>
        <v>88.3</v>
      </c>
      <c r="BI10" s="12">
        <f t="shared" si="12"/>
        <v>98.3</v>
      </c>
    </row>
    <row r="11" spans="1:61" ht="13.8">
      <c r="A11" s="1" t="s">
        <v>98</v>
      </c>
      <c r="B11" s="3" t="s">
        <v>99</v>
      </c>
      <c r="C11" s="4" t="s">
        <v>8</v>
      </c>
      <c r="D11" s="4">
        <v>39</v>
      </c>
      <c r="E11" s="4">
        <v>1281</v>
      </c>
      <c r="F11" s="4">
        <v>39</v>
      </c>
      <c r="G11" s="4">
        <v>1281</v>
      </c>
      <c r="H11" s="4">
        <v>22.5</v>
      </c>
      <c r="I11" s="4">
        <v>0.60599999999999998</v>
      </c>
      <c r="J11" s="4">
        <v>0.56699999999999995</v>
      </c>
      <c r="K11" s="4">
        <v>0.29899999999999999</v>
      </c>
      <c r="L11" s="4">
        <v>0.22700000000000001</v>
      </c>
      <c r="M11" s="4">
        <v>2.4</v>
      </c>
      <c r="N11" s="4">
        <v>7.4</v>
      </c>
      <c r="O11" s="4">
        <v>30.2</v>
      </c>
      <c r="P11" s="4">
        <v>1.4</v>
      </c>
      <c r="Q11" s="4">
        <v>1.1000000000000001</v>
      </c>
      <c r="R11" s="4">
        <v>11.4</v>
      </c>
      <c r="S11" s="4">
        <v>26</v>
      </c>
      <c r="T11" s="4">
        <v>120</v>
      </c>
      <c r="U11" s="4">
        <v>110</v>
      </c>
      <c r="V11" s="4"/>
      <c r="W11" s="4">
        <v>4.5999999999999996</v>
      </c>
      <c r="X11" s="4">
        <v>1.4</v>
      </c>
      <c r="Y11" s="4">
        <v>6</v>
      </c>
      <c r="Z11" s="4">
        <v>0.188</v>
      </c>
      <c r="AA11" s="13">
        <f>(I11/TOTAL_BASIC!$D$301)*100</f>
        <v>108.15614984609935</v>
      </c>
      <c r="AB11" s="5">
        <f t="shared" si="3"/>
        <v>1.2</v>
      </c>
      <c r="AC11" s="3">
        <f t="shared" si="1"/>
        <v>10</v>
      </c>
      <c r="AD11" s="9">
        <f t="shared" si="4"/>
        <v>1.212</v>
      </c>
      <c r="AE11" s="16">
        <f t="shared" si="5"/>
        <v>1.1615384615384614</v>
      </c>
      <c r="AF11" s="16">
        <f t="shared" si="6"/>
        <v>2.6491228070175437</v>
      </c>
      <c r="AG11" s="9"/>
      <c r="AH11" s="9"/>
      <c r="AI11" s="12">
        <f t="shared" si="7"/>
        <v>64.600000000000009</v>
      </c>
      <c r="AJ11" s="12">
        <f t="shared" si="8"/>
        <v>95.5</v>
      </c>
      <c r="AK11" s="12">
        <f t="shared" si="2"/>
        <v>95.5</v>
      </c>
      <c r="AL11" s="12">
        <f t="shared" si="2"/>
        <v>80.100000000000009</v>
      </c>
      <c r="AM11" s="12">
        <f t="shared" si="2"/>
        <v>81.699999999999989</v>
      </c>
      <c r="AN11" s="12">
        <f t="shared" si="2"/>
        <v>30.3</v>
      </c>
      <c r="AO11" s="12">
        <f t="shared" si="2"/>
        <v>34.200000000000003</v>
      </c>
      <c r="AP11" s="12">
        <f t="shared" si="2"/>
        <v>24.8</v>
      </c>
      <c r="AQ11" s="12">
        <f t="shared" si="2"/>
        <v>37.5</v>
      </c>
      <c r="AR11" s="12">
        <f t="shared" si="2"/>
        <v>93.899999999999991</v>
      </c>
      <c r="AS11" s="12">
        <f t="shared" si="2"/>
        <v>28.1</v>
      </c>
      <c r="AT11" s="12">
        <f t="shared" si="2"/>
        <v>44.1</v>
      </c>
      <c r="AU11" s="12">
        <f t="shared" si="9"/>
        <v>77.400000000000006</v>
      </c>
      <c r="AV11" s="12">
        <f t="shared" si="2"/>
        <v>88.3</v>
      </c>
      <c r="AW11" s="12">
        <f t="shared" si="2"/>
        <v>86.1</v>
      </c>
      <c r="AX11" s="12">
        <f t="shared" si="10"/>
        <v>58.6</v>
      </c>
      <c r="AY11" s="9"/>
      <c r="AZ11" s="12">
        <f t="shared" si="2"/>
        <v>98.3</v>
      </c>
      <c r="BA11" s="12">
        <f t="shared" si="13"/>
        <v>79.5</v>
      </c>
      <c r="BB11" s="12">
        <f t="shared" si="11"/>
        <v>95</v>
      </c>
      <c r="BC11" s="12">
        <f t="shared" si="11"/>
        <v>90.600000000000009</v>
      </c>
      <c r="BD11" s="12">
        <f t="shared" si="11"/>
        <v>80.100000000000009</v>
      </c>
      <c r="BE11" s="12">
        <f t="shared" si="11"/>
        <v>86.1</v>
      </c>
      <c r="BF11" s="12">
        <f t="shared" si="12"/>
        <v>79.5</v>
      </c>
      <c r="BG11" s="12">
        <f t="shared" si="12"/>
        <v>80.100000000000009</v>
      </c>
      <c r="BH11" s="12">
        <f t="shared" si="12"/>
        <v>82.8</v>
      </c>
      <c r="BI11" s="12">
        <f t="shared" si="12"/>
        <v>99.4</v>
      </c>
    </row>
    <row r="12" spans="1:61" ht="13.8">
      <c r="A12" s="1" t="s">
        <v>151</v>
      </c>
      <c r="B12" s="3" t="s">
        <v>128</v>
      </c>
      <c r="C12" s="4" t="s">
        <v>85</v>
      </c>
      <c r="D12" s="4">
        <v>40</v>
      </c>
      <c r="E12" s="4">
        <v>1256</v>
      </c>
      <c r="F12" s="4">
        <v>40</v>
      </c>
      <c r="G12" s="4">
        <v>1256</v>
      </c>
      <c r="H12" s="4">
        <v>20.6</v>
      </c>
      <c r="I12" s="4">
        <v>0.52200000000000002</v>
      </c>
      <c r="J12" s="4">
        <v>0.45600000000000002</v>
      </c>
      <c r="K12" s="4">
        <v>9.8000000000000004E-2</v>
      </c>
      <c r="L12" s="4">
        <v>0.48099999999999998</v>
      </c>
      <c r="M12" s="4">
        <v>18.3</v>
      </c>
      <c r="N12" s="4">
        <v>23.9</v>
      </c>
      <c r="O12" s="4">
        <v>14.7</v>
      </c>
      <c r="P12" s="4">
        <v>2.8</v>
      </c>
      <c r="Q12" s="4">
        <v>2.1</v>
      </c>
      <c r="R12" s="4">
        <v>16.8</v>
      </c>
      <c r="S12" s="4">
        <v>25.4</v>
      </c>
      <c r="T12" s="4">
        <v>107</v>
      </c>
      <c r="U12" s="4">
        <v>101</v>
      </c>
      <c r="V12" s="4"/>
      <c r="W12" s="4">
        <v>1.7</v>
      </c>
      <c r="X12" s="4">
        <v>3.1</v>
      </c>
      <c r="Y12" s="4">
        <v>4.7</v>
      </c>
      <c r="Z12" s="4">
        <v>0.15</v>
      </c>
      <c r="AA12" s="13">
        <f>(I12/TOTAL_BASIC!$D$301)*100</f>
        <v>93.164208283273723</v>
      </c>
      <c r="AB12" s="5">
        <f t="shared" si="3"/>
        <v>1.07</v>
      </c>
      <c r="AC12" s="3">
        <f t="shared" si="1"/>
        <v>6</v>
      </c>
      <c r="AD12" s="9">
        <f t="shared" si="4"/>
        <v>1.044</v>
      </c>
      <c r="AE12" s="16">
        <f t="shared" si="5"/>
        <v>0.57874015748031493</v>
      </c>
      <c r="AF12" s="16">
        <f t="shared" si="6"/>
        <v>0.87499999999999989</v>
      </c>
      <c r="AG12" s="9"/>
      <c r="AH12" s="9"/>
      <c r="AI12" s="12">
        <f t="shared" si="7"/>
        <v>72.899999999999991</v>
      </c>
      <c r="AJ12" s="12">
        <f t="shared" si="8"/>
        <v>95</v>
      </c>
      <c r="AK12" s="12">
        <f t="shared" si="2"/>
        <v>88.9</v>
      </c>
      <c r="AL12" s="12">
        <f t="shared" si="2"/>
        <v>34.200000000000003</v>
      </c>
      <c r="AM12" s="12">
        <f t="shared" si="2"/>
        <v>22</v>
      </c>
      <c r="AN12" s="12">
        <f t="shared" si="2"/>
        <v>10.4</v>
      </c>
      <c r="AO12" s="12">
        <f t="shared" si="2"/>
        <v>90.600000000000009</v>
      </c>
      <c r="AP12" s="12">
        <f t="shared" si="2"/>
        <v>100</v>
      </c>
      <c r="AQ12" s="12">
        <f t="shared" si="2"/>
        <v>100</v>
      </c>
      <c r="AR12" s="12">
        <f t="shared" si="2"/>
        <v>56.3</v>
      </c>
      <c r="AS12" s="12">
        <f t="shared" si="2"/>
        <v>92.2</v>
      </c>
      <c r="AT12" s="12">
        <f t="shared" si="2"/>
        <v>66.8</v>
      </c>
      <c r="AU12" s="12">
        <f t="shared" si="9"/>
        <v>34.299999999999997</v>
      </c>
      <c r="AV12" s="12">
        <f t="shared" si="2"/>
        <v>86.1</v>
      </c>
      <c r="AW12" s="12">
        <f t="shared" si="2"/>
        <v>50.2</v>
      </c>
      <c r="AX12" s="12">
        <f t="shared" si="10"/>
        <v>98.4</v>
      </c>
      <c r="AY12" s="9"/>
      <c r="AZ12" s="12">
        <f t="shared" si="2"/>
        <v>79.5</v>
      </c>
      <c r="BA12" s="12">
        <f t="shared" si="13"/>
        <v>100</v>
      </c>
      <c r="BB12" s="12">
        <f t="shared" si="11"/>
        <v>90.600000000000009</v>
      </c>
      <c r="BC12" s="12">
        <f t="shared" si="11"/>
        <v>82.3</v>
      </c>
      <c r="BD12" s="12">
        <f t="shared" si="11"/>
        <v>34.200000000000003</v>
      </c>
      <c r="BE12" s="12">
        <f t="shared" si="11"/>
        <v>50.2</v>
      </c>
      <c r="BF12" s="12">
        <f t="shared" si="12"/>
        <v>74.5</v>
      </c>
      <c r="BG12" s="12">
        <f t="shared" si="12"/>
        <v>34.200000000000003</v>
      </c>
      <c r="BH12" s="12">
        <f t="shared" si="12"/>
        <v>30.9</v>
      </c>
      <c r="BI12" s="12">
        <f t="shared" si="12"/>
        <v>38.6</v>
      </c>
    </row>
    <row r="13" spans="1:61" ht="13.8">
      <c r="A13" s="1" t="s">
        <v>92</v>
      </c>
      <c r="B13" s="3" t="s">
        <v>93</v>
      </c>
      <c r="C13" s="4" t="s">
        <v>94</v>
      </c>
      <c r="D13" s="4">
        <v>38</v>
      </c>
      <c r="E13" s="4">
        <v>1252</v>
      </c>
      <c r="F13" s="4">
        <v>38</v>
      </c>
      <c r="G13" s="4">
        <v>1252</v>
      </c>
      <c r="H13" s="4">
        <v>15.7</v>
      </c>
      <c r="I13" s="4">
        <v>0.56000000000000005</v>
      </c>
      <c r="J13" s="4">
        <v>0.498</v>
      </c>
      <c r="K13" s="4">
        <v>0.35699999999999998</v>
      </c>
      <c r="L13" s="4">
        <v>0.41699999999999998</v>
      </c>
      <c r="M13" s="4">
        <v>1.9</v>
      </c>
      <c r="N13" s="4">
        <v>6.7</v>
      </c>
      <c r="O13" s="4">
        <v>11.2</v>
      </c>
      <c r="P13" s="4">
        <v>1.2</v>
      </c>
      <c r="Q13" s="4">
        <v>0.2</v>
      </c>
      <c r="R13" s="4">
        <v>11.2</v>
      </c>
      <c r="S13" s="4">
        <v>29.5</v>
      </c>
      <c r="T13" s="4">
        <v>104</v>
      </c>
      <c r="U13" s="4">
        <v>114</v>
      </c>
      <c r="V13" s="4"/>
      <c r="W13" s="4">
        <v>0.8</v>
      </c>
      <c r="X13" s="4">
        <v>0.7</v>
      </c>
      <c r="Y13" s="4">
        <v>1.5</v>
      </c>
      <c r="Z13" s="4">
        <v>4.7E-2</v>
      </c>
      <c r="AA13" s="13">
        <f>(I13/TOTAL_BASIC!$D$301)*100</f>
        <v>99.946277085504377</v>
      </c>
      <c r="AB13" s="5">
        <f t="shared" si="3"/>
        <v>1.04</v>
      </c>
      <c r="AC13" s="3">
        <f t="shared" si="1"/>
        <v>-10</v>
      </c>
      <c r="AD13" s="9">
        <f t="shared" si="4"/>
        <v>1.1200000000000001</v>
      </c>
      <c r="AE13" s="16">
        <f t="shared" si="5"/>
        <v>0.3796610169491525</v>
      </c>
      <c r="AF13" s="16">
        <f t="shared" si="6"/>
        <v>1</v>
      </c>
      <c r="AG13" s="9"/>
      <c r="AH13" s="9"/>
      <c r="AI13" s="12">
        <f t="shared" si="7"/>
        <v>59.599999999999994</v>
      </c>
      <c r="AJ13" s="12">
        <f t="shared" si="8"/>
        <v>94.399999999999991</v>
      </c>
      <c r="AK13" s="12">
        <f t="shared" si="2"/>
        <v>65.100000000000009</v>
      </c>
      <c r="AL13" s="12">
        <f t="shared" si="2"/>
        <v>53</v>
      </c>
      <c r="AM13" s="12">
        <f t="shared" si="2"/>
        <v>43.6</v>
      </c>
      <c r="AN13" s="12">
        <f t="shared" si="2"/>
        <v>38.6</v>
      </c>
      <c r="AO13" s="12">
        <f t="shared" si="2"/>
        <v>80.100000000000009</v>
      </c>
      <c r="AP13" s="12">
        <f t="shared" si="2"/>
        <v>12.7</v>
      </c>
      <c r="AQ13" s="12">
        <f t="shared" si="2"/>
        <v>30.3</v>
      </c>
      <c r="AR13" s="12">
        <f t="shared" si="2"/>
        <v>33.1</v>
      </c>
      <c r="AS13" s="12">
        <f t="shared" si="2"/>
        <v>19.8</v>
      </c>
      <c r="AT13" s="12">
        <f t="shared" si="2"/>
        <v>7.1</v>
      </c>
      <c r="AU13" s="12">
        <f t="shared" si="9"/>
        <v>80.2</v>
      </c>
      <c r="AV13" s="12">
        <f t="shared" si="2"/>
        <v>97.2</v>
      </c>
      <c r="AW13" s="12">
        <f t="shared" si="2"/>
        <v>38.6</v>
      </c>
      <c r="AX13" s="12">
        <f t="shared" si="10"/>
        <v>24.900000000000006</v>
      </c>
      <c r="AY13" s="9"/>
      <c r="AZ13" s="12">
        <f t="shared" si="2"/>
        <v>64.600000000000009</v>
      </c>
      <c r="BA13" s="12">
        <f t="shared" si="13"/>
        <v>54.1</v>
      </c>
      <c r="BB13" s="12">
        <f t="shared" si="11"/>
        <v>61.8</v>
      </c>
      <c r="BC13" s="12">
        <f t="shared" si="11"/>
        <v>34.200000000000003</v>
      </c>
      <c r="BD13" s="12">
        <f t="shared" si="11"/>
        <v>53</v>
      </c>
      <c r="BE13" s="12">
        <f t="shared" si="11"/>
        <v>38.6</v>
      </c>
      <c r="BF13" s="12">
        <f t="shared" si="12"/>
        <v>30.3</v>
      </c>
      <c r="BG13" s="12">
        <f t="shared" si="12"/>
        <v>53</v>
      </c>
      <c r="BH13" s="12">
        <f t="shared" si="12"/>
        <v>6</v>
      </c>
      <c r="BI13" s="12">
        <f t="shared" si="12"/>
        <v>49.1</v>
      </c>
    </row>
    <row r="14" spans="1:61" ht="13.8">
      <c r="A14" s="1" t="s">
        <v>166</v>
      </c>
      <c r="B14" s="3" t="s">
        <v>128</v>
      </c>
      <c r="C14" s="4" t="s">
        <v>8</v>
      </c>
      <c r="D14" s="4">
        <v>40</v>
      </c>
      <c r="E14" s="4">
        <v>1251</v>
      </c>
      <c r="F14" s="4">
        <v>40</v>
      </c>
      <c r="G14" s="4">
        <v>1251</v>
      </c>
      <c r="H14" s="4">
        <v>16.3</v>
      </c>
      <c r="I14" s="4">
        <v>0.55000000000000004</v>
      </c>
      <c r="J14" s="4">
        <v>0.48699999999999999</v>
      </c>
      <c r="K14" s="4">
        <v>0.35699999999999998</v>
      </c>
      <c r="L14" s="4">
        <v>0.45</v>
      </c>
      <c r="M14" s="4">
        <v>2.6</v>
      </c>
      <c r="N14" s="4">
        <v>7</v>
      </c>
      <c r="O14" s="4">
        <v>34.700000000000003</v>
      </c>
      <c r="P14" s="4">
        <v>3</v>
      </c>
      <c r="Q14" s="4">
        <v>0.8</v>
      </c>
      <c r="R14" s="4">
        <v>19.5</v>
      </c>
      <c r="S14" s="4">
        <v>17.399999999999999</v>
      </c>
      <c r="T14" s="4">
        <v>114</v>
      </c>
      <c r="U14" s="4">
        <v>105</v>
      </c>
      <c r="V14" s="4"/>
      <c r="W14" s="4">
        <v>2.4</v>
      </c>
      <c r="X14" s="4">
        <v>2.2999999999999998</v>
      </c>
      <c r="Y14" s="4">
        <v>4.7</v>
      </c>
      <c r="Z14" s="4">
        <v>0.14899999999999999</v>
      </c>
      <c r="AA14" s="13">
        <f>(I14/TOTAL_BASIC!$D$301)*100</f>
        <v>98.161522137548943</v>
      </c>
      <c r="AB14" s="5">
        <f t="shared" si="3"/>
        <v>1.1399999999999999</v>
      </c>
      <c r="AC14" s="3">
        <f t="shared" si="1"/>
        <v>9</v>
      </c>
      <c r="AD14" s="9">
        <f t="shared" si="4"/>
        <v>1.1000000000000001</v>
      </c>
      <c r="AE14" s="16">
        <f t="shared" si="5"/>
        <v>1.9942528735632188</v>
      </c>
      <c r="AF14" s="16">
        <f t="shared" si="6"/>
        <v>1.7794871794871796</v>
      </c>
      <c r="AG14" s="9"/>
      <c r="AH14" s="9"/>
      <c r="AI14" s="12">
        <f t="shared" si="7"/>
        <v>72.899999999999991</v>
      </c>
      <c r="AJ14" s="12">
        <f t="shared" si="8"/>
        <v>93.899999999999991</v>
      </c>
      <c r="AK14" s="12">
        <f t="shared" si="2"/>
        <v>70.7</v>
      </c>
      <c r="AL14" s="12">
        <f t="shared" si="2"/>
        <v>44.7</v>
      </c>
      <c r="AM14" s="12">
        <f t="shared" si="2"/>
        <v>39.700000000000003</v>
      </c>
      <c r="AN14" s="12">
        <f t="shared" si="2"/>
        <v>38.6</v>
      </c>
      <c r="AO14" s="12">
        <f t="shared" si="2"/>
        <v>84.5</v>
      </c>
      <c r="AP14" s="12">
        <f t="shared" si="2"/>
        <v>28.7</v>
      </c>
      <c r="AQ14" s="12">
        <f t="shared" si="2"/>
        <v>34.799999999999997</v>
      </c>
      <c r="AR14" s="12">
        <f t="shared" si="2"/>
        <v>96.6</v>
      </c>
      <c r="AS14" s="12">
        <f t="shared" si="2"/>
        <v>94.399999999999991</v>
      </c>
      <c r="AT14" s="12">
        <f t="shared" si="2"/>
        <v>30.3</v>
      </c>
      <c r="AU14" s="12">
        <f t="shared" si="9"/>
        <v>15.5</v>
      </c>
      <c r="AV14" s="12">
        <f t="shared" si="2"/>
        <v>41.4</v>
      </c>
      <c r="AW14" s="12">
        <f t="shared" si="2"/>
        <v>72.3</v>
      </c>
      <c r="AX14" s="12">
        <f t="shared" si="10"/>
        <v>85.7</v>
      </c>
      <c r="AY14" s="9"/>
      <c r="AZ14" s="12">
        <f t="shared" si="2"/>
        <v>87.8</v>
      </c>
      <c r="BA14" s="12">
        <f t="shared" si="13"/>
        <v>94.399999999999991</v>
      </c>
      <c r="BB14" s="12">
        <f t="shared" si="11"/>
        <v>90.600000000000009</v>
      </c>
      <c r="BC14" s="12">
        <f t="shared" si="11"/>
        <v>81.699999999999989</v>
      </c>
      <c r="BD14" s="12">
        <f t="shared" si="11"/>
        <v>44.7</v>
      </c>
      <c r="BE14" s="12">
        <f t="shared" si="11"/>
        <v>72.3</v>
      </c>
      <c r="BF14" s="12">
        <f t="shared" si="12"/>
        <v>77.900000000000006</v>
      </c>
      <c r="BG14" s="12">
        <f t="shared" si="12"/>
        <v>44.7</v>
      </c>
      <c r="BH14" s="12">
        <f t="shared" si="12"/>
        <v>98.8</v>
      </c>
      <c r="BI14" s="12">
        <f t="shared" si="12"/>
        <v>88.9</v>
      </c>
    </row>
    <row r="15" spans="1:61" ht="13.8">
      <c r="A15" s="1" t="s">
        <v>102</v>
      </c>
      <c r="B15" s="3" t="s">
        <v>99</v>
      </c>
      <c r="C15" s="4" t="s">
        <v>85</v>
      </c>
      <c r="D15" s="4">
        <v>39</v>
      </c>
      <c r="E15" s="4">
        <v>1238</v>
      </c>
      <c r="F15" s="4">
        <v>39</v>
      </c>
      <c r="G15" s="4">
        <v>1238</v>
      </c>
      <c r="H15" s="4">
        <v>22.7</v>
      </c>
      <c r="I15" s="4">
        <v>0.61399999999999999</v>
      </c>
      <c r="J15" s="4">
        <v>0.58799999999999997</v>
      </c>
      <c r="K15" s="4">
        <v>2.8000000000000001E-2</v>
      </c>
      <c r="L15" s="4">
        <v>0.36</v>
      </c>
      <c r="M15" s="4">
        <v>10.7</v>
      </c>
      <c r="N15" s="4">
        <v>20.6</v>
      </c>
      <c r="O15" s="4">
        <v>25.3</v>
      </c>
      <c r="P15" s="4">
        <v>1.2</v>
      </c>
      <c r="Q15" s="4">
        <v>0.2</v>
      </c>
      <c r="R15" s="4">
        <v>14.3</v>
      </c>
      <c r="S15" s="4">
        <v>19.2</v>
      </c>
      <c r="T15" s="4">
        <v>125</v>
      </c>
      <c r="U15" s="4">
        <v>106</v>
      </c>
      <c r="V15" s="4"/>
      <c r="W15" s="4">
        <v>4.5</v>
      </c>
      <c r="X15" s="4">
        <v>2.1</v>
      </c>
      <c r="Y15" s="4">
        <v>6.6</v>
      </c>
      <c r="Z15" s="4">
        <v>0.21199999999999999</v>
      </c>
      <c r="AA15" s="13">
        <f>(I15/TOTAL_BASIC!$D$301)*100</f>
        <v>109.5839538044637</v>
      </c>
      <c r="AB15" s="5">
        <f t="shared" si="3"/>
        <v>1.25</v>
      </c>
      <c r="AC15" s="3">
        <f t="shared" si="1"/>
        <v>19</v>
      </c>
      <c r="AD15" s="9">
        <f t="shared" si="4"/>
        <v>1.228</v>
      </c>
      <c r="AE15" s="16">
        <f t="shared" si="5"/>
        <v>1.3177083333333335</v>
      </c>
      <c r="AF15" s="16">
        <f t="shared" si="6"/>
        <v>1.7692307692307692</v>
      </c>
      <c r="AG15" s="9"/>
      <c r="AH15" s="9"/>
      <c r="AI15" s="12">
        <f t="shared" si="7"/>
        <v>64.600000000000009</v>
      </c>
      <c r="AJ15" s="12">
        <f t="shared" si="8"/>
        <v>93.300000000000011</v>
      </c>
      <c r="AK15" s="12">
        <f t="shared" si="2"/>
        <v>96.1</v>
      </c>
      <c r="AL15" s="12">
        <f t="shared" si="2"/>
        <v>84.5</v>
      </c>
      <c r="AM15" s="12">
        <f t="shared" si="2"/>
        <v>90.600000000000009</v>
      </c>
      <c r="AN15" s="12">
        <f t="shared" si="2"/>
        <v>4.9000000000000004</v>
      </c>
      <c r="AO15" s="12">
        <f t="shared" si="2"/>
        <v>67.900000000000006</v>
      </c>
      <c r="AP15" s="12">
        <f t="shared" si="2"/>
        <v>90.600000000000009</v>
      </c>
      <c r="AQ15" s="12">
        <f t="shared" si="2"/>
        <v>98.3</v>
      </c>
      <c r="AR15" s="12">
        <f t="shared" si="2"/>
        <v>86.1</v>
      </c>
      <c r="AS15" s="12">
        <f t="shared" si="2"/>
        <v>19.8</v>
      </c>
      <c r="AT15" s="12">
        <f t="shared" si="2"/>
        <v>7.1</v>
      </c>
      <c r="AU15" s="12">
        <f t="shared" si="9"/>
        <v>55.3</v>
      </c>
      <c r="AV15" s="12">
        <f t="shared" si="2"/>
        <v>56.899999999999991</v>
      </c>
      <c r="AW15" s="12">
        <f t="shared" si="2"/>
        <v>94.399999999999991</v>
      </c>
      <c r="AX15" s="12">
        <f t="shared" si="10"/>
        <v>82.9</v>
      </c>
      <c r="AY15" s="9"/>
      <c r="AZ15" s="12">
        <f t="shared" si="2"/>
        <v>97.2</v>
      </c>
      <c r="BA15" s="12">
        <f t="shared" si="13"/>
        <v>92.800000000000011</v>
      </c>
      <c r="BB15" s="12">
        <f t="shared" si="11"/>
        <v>97.7</v>
      </c>
      <c r="BC15" s="12">
        <f t="shared" si="11"/>
        <v>96.6</v>
      </c>
      <c r="BD15" s="12">
        <f t="shared" si="11"/>
        <v>84.5</v>
      </c>
      <c r="BE15" s="12">
        <f t="shared" si="11"/>
        <v>94.399999999999991</v>
      </c>
      <c r="BF15" s="12">
        <f t="shared" si="12"/>
        <v>97.2</v>
      </c>
      <c r="BG15" s="12">
        <f t="shared" si="12"/>
        <v>84.5</v>
      </c>
      <c r="BH15" s="12">
        <f t="shared" si="12"/>
        <v>87.2</v>
      </c>
      <c r="BI15" s="12">
        <f t="shared" si="12"/>
        <v>88.3</v>
      </c>
    </row>
    <row r="16" spans="1:61" ht="13.8">
      <c r="A16" s="1" t="s">
        <v>154</v>
      </c>
      <c r="B16" s="3" t="s">
        <v>137</v>
      </c>
      <c r="C16" s="4" t="s">
        <v>85</v>
      </c>
      <c r="D16" s="4">
        <v>40</v>
      </c>
      <c r="E16" s="4">
        <v>1237</v>
      </c>
      <c r="F16" s="4">
        <v>40</v>
      </c>
      <c r="G16" s="4">
        <v>1237</v>
      </c>
      <c r="H16" s="4">
        <v>21.2</v>
      </c>
      <c r="I16" s="4">
        <v>0.60299999999999998</v>
      </c>
      <c r="J16" s="4">
        <v>0.57099999999999995</v>
      </c>
      <c r="K16" s="4">
        <v>0.26700000000000002</v>
      </c>
      <c r="L16" s="4">
        <v>0.2</v>
      </c>
      <c r="M16" s="4">
        <v>6.6</v>
      </c>
      <c r="N16" s="4">
        <v>17.100000000000001</v>
      </c>
      <c r="O16" s="4">
        <v>17.2</v>
      </c>
      <c r="P16" s="4">
        <v>1.8</v>
      </c>
      <c r="Q16" s="4">
        <v>1</v>
      </c>
      <c r="R16" s="4">
        <v>11.6</v>
      </c>
      <c r="S16" s="4">
        <v>22.9</v>
      </c>
      <c r="T16" s="4">
        <v>115</v>
      </c>
      <c r="U16" s="4">
        <v>110</v>
      </c>
      <c r="V16" s="4"/>
      <c r="W16" s="4">
        <v>2.9</v>
      </c>
      <c r="X16" s="4">
        <v>1.5</v>
      </c>
      <c r="Y16" s="4">
        <v>4.4000000000000004</v>
      </c>
      <c r="Z16" s="4">
        <v>0.14099999999999999</v>
      </c>
      <c r="AA16" s="13">
        <f>(I16/TOTAL_BASIC!$D$301)*100</f>
        <v>107.62072336171273</v>
      </c>
      <c r="AB16" s="5">
        <f t="shared" si="3"/>
        <v>1.1499999999999999</v>
      </c>
      <c r="AC16" s="3">
        <f t="shared" si="1"/>
        <v>5</v>
      </c>
      <c r="AD16" s="9">
        <f t="shared" si="4"/>
        <v>1.206</v>
      </c>
      <c r="AE16" s="16">
        <f t="shared" si="5"/>
        <v>0.75109170305676853</v>
      </c>
      <c r="AF16" s="16">
        <f t="shared" si="6"/>
        <v>1.4827586206896552</v>
      </c>
      <c r="AG16" s="9"/>
      <c r="AH16" s="9"/>
      <c r="AI16" s="12">
        <f t="shared" si="7"/>
        <v>72.899999999999991</v>
      </c>
      <c r="AJ16" s="12">
        <f t="shared" si="8"/>
        <v>92.800000000000011</v>
      </c>
      <c r="AK16" s="12">
        <f t="shared" si="2"/>
        <v>90.600000000000009</v>
      </c>
      <c r="AL16" s="12">
        <f t="shared" si="2"/>
        <v>77.900000000000006</v>
      </c>
      <c r="AM16" s="12">
        <f t="shared" si="2"/>
        <v>82.3</v>
      </c>
      <c r="AN16" s="12">
        <f t="shared" si="2"/>
        <v>24.8</v>
      </c>
      <c r="AO16" s="12">
        <f t="shared" si="2"/>
        <v>25.4</v>
      </c>
      <c r="AP16" s="12">
        <f t="shared" si="2"/>
        <v>70.099999999999994</v>
      </c>
      <c r="AQ16" s="12">
        <f t="shared" si="2"/>
        <v>92.800000000000011</v>
      </c>
      <c r="AR16" s="12">
        <f t="shared" si="2"/>
        <v>67.400000000000006</v>
      </c>
      <c r="AS16" s="12">
        <f t="shared" si="2"/>
        <v>51.300000000000004</v>
      </c>
      <c r="AT16" s="12">
        <f t="shared" si="2"/>
        <v>39.700000000000003</v>
      </c>
      <c r="AU16" s="12">
        <f t="shared" si="9"/>
        <v>76.8</v>
      </c>
      <c r="AV16" s="12">
        <f t="shared" si="2"/>
        <v>75.099999999999994</v>
      </c>
      <c r="AW16" s="12">
        <f t="shared" si="2"/>
        <v>74.5</v>
      </c>
      <c r="AX16" s="12">
        <f t="shared" si="10"/>
        <v>58.6</v>
      </c>
      <c r="AY16" s="9"/>
      <c r="AZ16" s="12">
        <f t="shared" si="2"/>
        <v>88.9</v>
      </c>
      <c r="BA16" s="12">
        <f t="shared" si="13"/>
        <v>81.2</v>
      </c>
      <c r="BB16" s="12">
        <f t="shared" si="11"/>
        <v>88.3</v>
      </c>
      <c r="BC16" s="12">
        <f t="shared" si="11"/>
        <v>77.900000000000006</v>
      </c>
      <c r="BD16" s="12">
        <f t="shared" si="11"/>
        <v>77.900000000000006</v>
      </c>
      <c r="BE16" s="12">
        <f t="shared" si="11"/>
        <v>74.5</v>
      </c>
      <c r="BF16" s="12">
        <f t="shared" si="12"/>
        <v>71.8</v>
      </c>
      <c r="BG16" s="12">
        <f t="shared" si="12"/>
        <v>77.900000000000006</v>
      </c>
      <c r="BH16" s="12">
        <f t="shared" si="12"/>
        <v>56.3</v>
      </c>
      <c r="BI16" s="12">
        <f t="shared" si="12"/>
        <v>79</v>
      </c>
    </row>
    <row r="17" spans="1:61" ht="13.8">
      <c r="A17" s="1" t="s">
        <v>139</v>
      </c>
      <c r="B17" s="3" t="s">
        <v>140</v>
      </c>
      <c r="C17" s="4" t="s">
        <v>8</v>
      </c>
      <c r="D17" s="4">
        <v>37</v>
      </c>
      <c r="E17" s="4">
        <v>1228</v>
      </c>
      <c r="F17" s="4">
        <v>37</v>
      </c>
      <c r="G17" s="4">
        <v>1228</v>
      </c>
      <c r="H17" s="4">
        <v>18.899999999999999</v>
      </c>
      <c r="I17" s="4">
        <v>0.61699999999999999</v>
      </c>
      <c r="J17" s="4">
        <v>0.53600000000000003</v>
      </c>
      <c r="K17" s="4">
        <v>0.36599999999999999</v>
      </c>
      <c r="L17" s="4">
        <v>0.48899999999999999</v>
      </c>
      <c r="M17" s="4">
        <v>3.5</v>
      </c>
      <c r="N17" s="4">
        <v>6.7</v>
      </c>
      <c r="O17" s="4">
        <v>22.9</v>
      </c>
      <c r="P17" s="4">
        <v>1.9</v>
      </c>
      <c r="Q17" s="4">
        <v>1.8</v>
      </c>
      <c r="R17" s="4">
        <v>15.4</v>
      </c>
      <c r="S17" s="4">
        <v>21.7</v>
      </c>
      <c r="T17" s="4">
        <v>119</v>
      </c>
      <c r="U17" s="4">
        <v>106</v>
      </c>
      <c r="V17" s="4"/>
      <c r="W17" s="4">
        <v>3.5</v>
      </c>
      <c r="X17" s="4">
        <v>2.1</v>
      </c>
      <c r="Y17" s="4">
        <v>5.6</v>
      </c>
      <c r="Z17" s="4">
        <v>0.184</v>
      </c>
      <c r="AA17" s="13">
        <f>(I17/TOTAL_BASIC!$D$301)*100</f>
        <v>110.11938028885034</v>
      </c>
      <c r="AB17" s="5">
        <f t="shared" si="3"/>
        <v>1.19</v>
      </c>
      <c r="AC17" s="3">
        <f t="shared" si="1"/>
        <v>13</v>
      </c>
      <c r="AD17" s="9">
        <f t="shared" si="4"/>
        <v>1.234</v>
      </c>
      <c r="AE17" s="16">
        <f t="shared" si="5"/>
        <v>1.0552995391705069</v>
      </c>
      <c r="AF17" s="16">
        <f t="shared" si="6"/>
        <v>1.4870129870129869</v>
      </c>
      <c r="AG17" s="9"/>
      <c r="AH17" s="9"/>
      <c r="AI17" s="12">
        <f t="shared" si="7"/>
        <v>51.300000000000004</v>
      </c>
      <c r="AJ17" s="12">
        <f t="shared" si="8"/>
        <v>92.2</v>
      </c>
      <c r="AK17" s="12">
        <f t="shared" si="2"/>
        <v>79</v>
      </c>
      <c r="AL17" s="12">
        <f t="shared" si="2"/>
        <v>87.8</v>
      </c>
      <c r="AM17" s="12">
        <f t="shared" si="2"/>
        <v>66.2</v>
      </c>
      <c r="AN17" s="12">
        <f t="shared" si="2"/>
        <v>40.799999999999997</v>
      </c>
      <c r="AO17" s="12">
        <f t="shared" si="2"/>
        <v>92.2</v>
      </c>
      <c r="AP17" s="12">
        <f t="shared" si="2"/>
        <v>39.700000000000003</v>
      </c>
      <c r="AQ17" s="12">
        <f t="shared" si="2"/>
        <v>30.3</v>
      </c>
      <c r="AR17" s="12">
        <f t="shared" si="2"/>
        <v>81.699999999999989</v>
      </c>
      <c r="AS17" s="12">
        <f t="shared" si="2"/>
        <v>57.999999999999993</v>
      </c>
      <c r="AT17" s="12">
        <f t="shared" si="2"/>
        <v>62.9</v>
      </c>
      <c r="AU17" s="12">
        <f t="shared" si="9"/>
        <v>43.100000000000009</v>
      </c>
      <c r="AV17" s="12">
        <f t="shared" si="2"/>
        <v>70.7</v>
      </c>
      <c r="AW17" s="12">
        <f t="shared" si="2"/>
        <v>82.3</v>
      </c>
      <c r="AX17" s="12">
        <f t="shared" si="10"/>
        <v>82.9</v>
      </c>
      <c r="AY17" s="9"/>
      <c r="AZ17" s="12">
        <f t="shared" si="2"/>
        <v>92.800000000000011</v>
      </c>
      <c r="BA17" s="12">
        <f t="shared" si="13"/>
        <v>92.800000000000011</v>
      </c>
      <c r="BB17" s="12">
        <f t="shared" si="11"/>
        <v>93.300000000000011</v>
      </c>
      <c r="BC17" s="12">
        <f t="shared" si="11"/>
        <v>89.5</v>
      </c>
      <c r="BD17" s="12">
        <f t="shared" si="11"/>
        <v>87.8</v>
      </c>
      <c r="BE17" s="12">
        <f t="shared" si="11"/>
        <v>82.3</v>
      </c>
      <c r="BF17" s="12">
        <f t="shared" si="12"/>
        <v>86.7</v>
      </c>
      <c r="BG17" s="12">
        <f t="shared" si="12"/>
        <v>87.8</v>
      </c>
      <c r="BH17" s="12">
        <f t="shared" si="12"/>
        <v>76.2</v>
      </c>
      <c r="BI17" s="12">
        <f t="shared" si="12"/>
        <v>79.5</v>
      </c>
    </row>
    <row r="18" spans="1:61" ht="13.8">
      <c r="A18" s="1" t="s">
        <v>103</v>
      </c>
      <c r="B18" s="3" t="s">
        <v>96</v>
      </c>
      <c r="C18" s="4" t="s">
        <v>8</v>
      </c>
      <c r="D18" s="4">
        <v>40</v>
      </c>
      <c r="E18" s="4">
        <v>1221</v>
      </c>
      <c r="F18" s="4">
        <v>40</v>
      </c>
      <c r="G18" s="4">
        <v>1221</v>
      </c>
      <c r="H18" s="4">
        <v>15.9</v>
      </c>
      <c r="I18" s="4">
        <v>0.51400000000000001</v>
      </c>
      <c r="J18" s="4">
        <v>0.496</v>
      </c>
      <c r="K18" s="4">
        <v>0.23599999999999999</v>
      </c>
      <c r="L18" s="4">
        <v>9.4E-2</v>
      </c>
      <c r="M18" s="4">
        <v>3.5</v>
      </c>
      <c r="N18" s="4">
        <v>9.6999999999999993</v>
      </c>
      <c r="O18" s="4">
        <v>21.6</v>
      </c>
      <c r="P18" s="4">
        <v>1.9</v>
      </c>
      <c r="Q18" s="4">
        <v>0.9</v>
      </c>
      <c r="R18" s="4">
        <v>11.2</v>
      </c>
      <c r="S18" s="4">
        <v>22.5</v>
      </c>
      <c r="T18" s="4">
        <v>108</v>
      </c>
      <c r="U18" s="4">
        <v>107</v>
      </c>
      <c r="V18" s="4"/>
      <c r="W18" s="4">
        <v>1.5</v>
      </c>
      <c r="X18" s="4">
        <v>1.9</v>
      </c>
      <c r="Y18" s="4">
        <v>3.4</v>
      </c>
      <c r="Z18" s="4">
        <v>0.111</v>
      </c>
      <c r="AA18" s="13">
        <f>(I18/TOTAL_BASIC!$D$301)*100</f>
        <v>91.736404324909373</v>
      </c>
      <c r="AB18" s="5">
        <f t="shared" si="3"/>
        <v>1.08</v>
      </c>
      <c r="AC18" s="3">
        <f t="shared" si="1"/>
        <v>1</v>
      </c>
      <c r="AD18" s="9">
        <f t="shared" si="4"/>
        <v>1.028</v>
      </c>
      <c r="AE18" s="16">
        <f t="shared" si="5"/>
        <v>0.96000000000000008</v>
      </c>
      <c r="AF18" s="16">
        <f t="shared" si="6"/>
        <v>1.9285714285714288</v>
      </c>
      <c r="AG18" s="9"/>
      <c r="AH18" s="9"/>
      <c r="AI18" s="12">
        <f t="shared" si="7"/>
        <v>72.899999999999991</v>
      </c>
      <c r="AJ18" s="12">
        <f t="shared" si="8"/>
        <v>91.7</v>
      </c>
      <c r="AK18" s="12">
        <f t="shared" si="2"/>
        <v>66.2</v>
      </c>
      <c r="AL18" s="12">
        <f t="shared" si="2"/>
        <v>30.3</v>
      </c>
      <c r="AM18" s="12">
        <f t="shared" si="2"/>
        <v>42.5</v>
      </c>
      <c r="AN18" s="12">
        <f t="shared" si="2"/>
        <v>20.9</v>
      </c>
      <c r="AO18" s="12">
        <f t="shared" si="2"/>
        <v>4.3999999999999995</v>
      </c>
      <c r="AP18" s="12">
        <f t="shared" si="2"/>
        <v>39.700000000000003</v>
      </c>
      <c r="AQ18" s="12">
        <f t="shared" si="2"/>
        <v>57.4</v>
      </c>
      <c r="AR18" s="12">
        <f t="shared" si="2"/>
        <v>80.100000000000009</v>
      </c>
      <c r="AS18" s="12">
        <f t="shared" si="2"/>
        <v>57.999999999999993</v>
      </c>
      <c r="AT18" s="12">
        <f t="shared" si="2"/>
        <v>35.9</v>
      </c>
      <c r="AU18" s="12">
        <f t="shared" si="9"/>
        <v>80.2</v>
      </c>
      <c r="AV18" s="12">
        <f t="shared" si="2"/>
        <v>73.400000000000006</v>
      </c>
      <c r="AW18" s="12">
        <f t="shared" si="2"/>
        <v>54.1</v>
      </c>
      <c r="AX18" s="12">
        <f t="shared" si="10"/>
        <v>77.400000000000006</v>
      </c>
      <c r="AY18" s="9"/>
      <c r="AZ18" s="12">
        <f t="shared" si="2"/>
        <v>75.599999999999994</v>
      </c>
      <c r="BA18" s="12">
        <f t="shared" si="13"/>
        <v>88.3</v>
      </c>
      <c r="BB18" s="12">
        <f t="shared" si="11"/>
        <v>83.899999999999991</v>
      </c>
      <c r="BC18" s="12">
        <f t="shared" si="11"/>
        <v>69</v>
      </c>
      <c r="BD18" s="12">
        <f t="shared" si="11"/>
        <v>30.3</v>
      </c>
      <c r="BE18" s="12">
        <f t="shared" si="11"/>
        <v>54.1</v>
      </c>
      <c r="BF18" s="12">
        <f t="shared" si="12"/>
        <v>61.8</v>
      </c>
      <c r="BG18" s="12">
        <f t="shared" si="12"/>
        <v>30.3</v>
      </c>
      <c r="BH18" s="12">
        <f t="shared" si="12"/>
        <v>69</v>
      </c>
      <c r="BI18" s="12">
        <f t="shared" si="12"/>
        <v>91.7</v>
      </c>
    </row>
    <row r="19" spans="1:61" ht="13.8">
      <c r="A19" s="1" t="s">
        <v>101</v>
      </c>
      <c r="B19" s="3" t="s">
        <v>99</v>
      </c>
      <c r="C19" s="4" t="s">
        <v>8</v>
      </c>
      <c r="D19" s="4">
        <v>41</v>
      </c>
      <c r="E19" s="4">
        <v>1219</v>
      </c>
      <c r="F19" s="4">
        <v>41</v>
      </c>
      <c r="G19" s="4">
        <v>1219</v>
      </c>
      <c r="H19" s="4">
        <v>15.3</v>
      </c>
      <c r="I19" s="4">
        <v>0.53800000000000003</v>
      </c>
      <c r="J19" s="4">
        <v>0.47099999999999997</v>
      </c>
      <c r="K19" s="4">
        <v>0.434</v>
      </c>
      <c r="L19" s="4">
        <v>0.32100000000000001</v>
      </c>
      <c r="M19" s="4">
        <v>3.3</v>
      </c>
      <c r="N19" s="4">
        <v>6.2</v>
      </c>
      <c r="O19" s="4">
        <v>16.3</v>
      </c>
      <c r="P19" s="4">
        <v>1.7</v>
      </c>
      <c r="Q19" s="4">
        <v>0.1</v>
      </c>
      <c r="R19" s="4">
        <v>10.3</v>
      </c>
      <c r="S19" s="4">
        <v>23.5</v>
      </c>
      <c r="T19" s="4">
        <v>110</v>
      </c>
      <c r="U19" s="4">
        <v>111</v>
      </c>
      <c r="V19" s="4"/>
      <c r="W19" s="4">
        <v>2</v>
      </c>
      <c r="X19" s="4">
        <v>1.2</v>
      </c>
      <c r="Y19" s="4">
        <v>3.2</v>
      </c>
      <c r="Z19" s="4">
        <v>0.104</v>
      </c>
      <c r="AA19" s="13">
        <f>(I19/TOTAL_BASIC!$D$301)*100</f>
        <v>96.019816200002424</v>
      </c>
      <c r="AB19" s="5">
        <f t="shared" si="3"/>
        <v>1.1000000000000001</v>
      </c>
      <c r="AC19" s="3">
        <f t="shared" si="1"/>
        <v>-1</v>
      </c>
      <c r="AD19" s="9">
        <f t="shared" si="4"/>
        <v>1.0760000000000001</v>
      </c>
      <c r="AE19" s="16">
        <f t="shared" si="5"/>
        <v>0.69361702127659575</v>
      </c>
      <c r="AF19" s="16">
        <f t="shared" si="6"/>
        <v>1.5825242718446602</v>
      </c>
      <c r="AG19" s="9"/>
      <c r="AH19" s="9"/>
      <c r="AI19" s="12">
        <f t="shared" si="7"/>
        <v>85.6</v>
      </c>
      <c r="AJ19" s="12">
        <f t="shared" si="8"/>
        <v>91.100000000000009</v>
      </c>
      <c r="AK19" s="12">
        <f t="shared" si="8"/>
        <v>63.5</v>
      </c>
      <c r="AL19" s="12">
        <f t="shared" si="8"/>
        <v>40.300000000000004</v>
      </c>
      <c r="AM19" s="12">
        <f t="shared" si="8"/>
        <v>30.3</v>
      </c>
      <c r="AN19" s="12">
        <f t="shared" si="8"/>
        <v>56.3</v>
      </c>
      <c r="AO19" s="12">
        <f t="shared" ref="AO19:AR82" si="14">(PERCENTRANK(L$3:L$298,L19))*100</f>
        <v>60.699999999999996</v>
      </c>
      <c r="AP19" s="12">
        <f t="shared" si="14"/>
        <v>38.1</v>
      </c>
      <c r="AQ19" s="12">
        <f t="shared" si="14"/>
        <v>22.6</v>
      </c>
      <c r="AR19" s="12">
        <f t="shared" si="14"/>
        <v>62.4</v>
      </c>
      <c r="AS19" s="12">
        <f t="shared" ref="AS19:AV82" si="15">(PERCENTRANK(P$3:P$298,P19))*100</f>
        <v>44.1</v>
      </c>
      <c r="AT19" s="12">
        <f t="shared" si="15"/>
        <v>6.6000000000000005</v>
      </c>
      <c r="AU19" s="12">
        <f t="shared" si="9"/>
        <v>87.3</v>
      </c>
      <c r="AV19" s="12">
        <f t="shared" si="15"/>
        <v>78.400000000000006</v>
      </c>
      <c r="AW19" s="12">
        <f t="shared" ref="AW19:AW82" si="16">(PERCENTRANK(T$3:T$298,T19))*100</f>
        <v>60.699999999999996</v>
      </c>
      <c r="AX19" s="12">
        <f t="shared" si="10"/>
        <v>48.699999999999996</v>
      </c>
      <c r="AY19" s="9"/>
      <c r="AZ19" s="12">
        <f t="shared" ref="AZ19:BD82" si="17">(PERCENTRANK(W$3:W$298,W19))*100</f>
        <v>83.399999999999991</v>
      </c>
      <c r="BA19" s="12">
        <f t="shared" si="13"/>
        <v>75.099999999999994</v>
      </c>
      <c r="BB19" s="12">
        <f t="shared" si="11"/>
        <v>81.2</v>
      </c>
      <c r="BC19" s="12">
        <f t="shared" si="11"/>
        <v>65.7</v>
      </c>
      <c r="BD19" s="12">
        <f t="shared" si="11"/>
        <v>40.300000000000004</v>
      </c>
      <c r="BE19" s="12">
        <f t="shared" si="11"/>
        <v>60.699999999999996</v>
      </c>
      <c r="BF19" s="12">
        <f t="shared" si="12"/>
        <v>57.999999999999993</v>
      </c>
      <c r="BG19" s="12">
        <f t="shared" si="12"/>
        <v>40.300000000000004</v>
      </c>
      <c r="BH19" s="12">
        <f t="shared" si="12"/>
        <v>46.400000000000006</v>
      </c>
      <c r="BI19" s="12">
        <f t="shared" si="12"/>
        <v>82.3</v>
      </c>
    </row>
    <row r="20" spans="1:61" ht="13.8">
      <c r="A20" s="1" t="s">
        <v>132</v>
      </c>
      <c r="B20" s="3" t="s">
        <v>117</v>
      </c>
      <c r="C20" s="4" t="s">
        <v>88</v>
      </c>
      <c r="D20" s="4">
        <v>38</v>
      </c>
      <c r="E20" s="4">
        <v>1214</v>
      </c>
      <c r="F20" s="4">
        <v>38</v>
      </c>
      <c r="G20" s="4">
        <v>1214</v>
      </c>
      <c r="H20" s="4">
        <v>32.299999999999997</v>
      </c>
      <c r="I20" s="4">
        <v>0.625</v>
      </c>
      <c r="J20" s="4">
        <v>0.55400000000000005</v>
      </c>
      <c r="K20" s="4">
        <v>0.13500000000000001</v>
      </c>
      <c r="L20" s="4">
        <v>0.45400000000000001</v>
      </c>
      <c r="M20" s="4">
        <v>6.9</v>
      </c>
      <c r="N20" s="4">
        <v>17.600000000000001</v>
      </c>
      <c r="O20" s="4">
        <v>18.8</v>
      </c>
      <c r="P20" s="4">
        <v>2.2000000000000002</v>
      </c>
      <c r="Q20" s="4">
        <v>5.6</v>
      </c>
      <c r="R20" s="4">
        <v>10.3</v>
      </c>
      <c r="S20" s="4">
        <v>32.9</v>
      </c>
      <c r="T20" s="4">
        <v>122</v>
      </c>
      <c r="U20" s="4">
        <v>101</v>
      </c>
      <c r="V20" s="4"/>
      <c r="W20" s="4">
        <v>5.7</v>
      </c>
      <c r="X20" s="4">
        <v>2.9</v>
      </c>
      <c r="Y20" s="4">
        <v>8.6</v>
      </c>
      <c r="Z20" s="4">
        <v>0.28299999999999997</v>
      </c>
      <c r="AA20" s="13">
        <f>(I20/TOTAL_BASIC!$D$301)*100</f>
        <v>111.5471842472147</v>
      </c>
      <c r="AB20" s="5">
        <f t="shared" si="3"/>
        <v>1.22</v>
      </c>
      <c r="AC20" s="3">
        <f t="shared" si="1"/>
        <v>21</v>
      </c>
      <c r="AD20" s="9">
        <f t="shared" si="4"/>
        <v>1.25</v>
      </c>
      <c r="AE20" s="16">
        <f t="shared" si="5"/>
        <v>0.57142857142857151</v>
      </c>
      <c r="AF20" s="16">
        <f t="shared" si="6"/>
        <v>1.8252427184466018</v>
      </c>
      <c r="AG20" s="9"/>
      <c r="AH20" s="9"/>
      <c r="AI20" s="12">
        <f t="shared" si="7"/>
        <v>59.599999999999994</v>
      </c>
      <c r="AJ20" s="12">
        <f t="shared" si="8"/>
        <v>90.600000000000009</v>
      </c>
      <c r="AK20" s="12">
        <f t="shared" si="8"/>
        <v>100</v>
      </c>
      <c r="AL20" s="12">
        <f t="shared" si="8"/>
        <v>90.600000000000009</v>
      </c>
      <c r="AM20" s="12">
        <f t="shared" si="8"/>
        <v>74</v>
      </c>
      <c r="AN20" s="12">
        <f t="shared" si="8"/>
        <v>12.7</v>
      </c>
      <c r="AO20" s="12">
        <f t="shared" si="14"/>
        <v>87.2</v>
      </c>
      <c r="AP20" s="12">
        <f t="shared" si="14"/>
        <v>70.7</v>
      </c>
      <c r="AQ20" s="12">
        <f t="shared" si="14"/>
        <v>93.300000000000011</v>
      </c>
      <c r="AR20" s="12">
        <f t="shared" si="14"/>
        <v>72.899999999999991</v>
      </c>
      <c r="AS20" s="12">
        <f t="shared" si="15"/>
        <v>75.099999999999994</v>
      </c>
      <c r="AT20" s="12">
        <f t="shared" si="15"/>
        <v>95.5</v>
      </c>
      <c r="AU20" s="12">
        <f t="shared" si="9"/>
        <v>87.3</v>
      </c>
      <c r="AV20" s="12">
        <f t="shared" si="15"/>
        <v>100</v>
      </c>
      <c r="AW20" s="12">
        <f t="shared" si="16"/>
        <v>88.9</v>
      </c>
      <c r="AX20" s="12">
        <f t="shared" si="10"/>
        <v>98.4</v>
      </c>
      <c r="AY20" s="9"/>
      <c r="AZ20" s="12">
        <f t="shared" si="17"/>
        <v>99.4</v>
      </c>
      <c r="BA20" s="12">
        <f t="shared" si="13"/>
        <v>98.3</v>
      </c>
      <c r="BB20" s="12">
        <f t="shared" si="11"/>
        <v>100</v>
      </c>
      <c r="BC20" s="12">
        <f t="shared" si="11"/>
        <v>100</v>
      </c>
      <c r="BD20" s="12">
        <f t="shared" si="11"/>
        <v>90.600000000000009</v>
      </c>
      <c r="BE20" s="12">
        <f t="shared" si="11"/>
        <v>88.9</v>
      </c>
      <c r="BF20" s="12">
        <f t="shared" si="12"/>
        <v>98.3</v>
      </c>
      <c r="BG20" s="12">
        <f t="shared" si="12"/>
        <v>90.600000000000009</v>
      </c>
      <c r="BH20" s="12">
        <f t="shared" si="12"/>
        <v>29.2</v>
      </c>
      <c r="BI20" s="12">
        <f t="shared" si="12"/>
        <v>90</v>
      </c>
    </row>
    <row r="21" spans="1:61" ht="15.75" customHeight="1">
      <c r="A21" s="1" t="s">
        <v>104</v>
      </c>
      <c r="B21" s="3" t="s">
        <v>96</v>
      </c>
      <c r="C21" s="4" t="s">
        <v>8</v>
      </c>
      <c r="D21" s="4">
        <v>39</v>
      </c>
      <c r="E21" s="4">
        <v>1209</v>
      </c>
      <c r="F21" s="4">
        <v>39</v>
      </c>
      <c r="G21" s="4">
        <v>1209</v>
      </c>
      <c r="H21" s="4">
        <v>22.4</v>
      </c>
      <c r="I21" s="4">
        <v>0.60099999999999998</v>
      </c>
      <c r="J21" s="4">
        <v>0.54500000000000004</v>
      </c>
      <c r="K21" s="4">
        <v>0.29099999999999998</v>
      </c>
      <c r="L21" s="4">
        <v>0.33600000000000002</v>
      </c>
      <c r="M21" s="4">
        <v>2.2999999999999998</v>
      </c>
      <c r="N21" s="4">
        <v>9</v>
      </c>
      <c r="O21" s="4">
        <v>30.9</v>
      </c>
      <c r="P21" s="4">
        <v>2.1</v>
      </c>
      <c r="Q21" s="4">
        <v>2</v>
      </c>
      <c r="R21" s="4">
        <v>16</v>
      </c>
      <c r="S21" s="4">
        <v>27.7</v>
      </c>
      <c r="T21" s="4">
        <v>116</v>
      </c>
      <c r="U21" s="4">
        <v>106</v>
      </c>
      <c r="V21" s="4"/>
      <c r="W21" s="4">
        <v>3.8</v>
      </c>
      <c r="X21" s="4">
        <v>2</v>
      </c>
      <c r="Y21" s="4">
        <v>5.8</v>
      </c>
      <c r="Z21" s="4">
        <v>0.193</v>
      </c>
      <c r="AA21" s="13">
        <f>(I21/TOTAL_BASIC!$D$301)*100</f>
        <v>107.26377237212164</v>
      </c>
      <c r="AB21" s="5">
        <f t="shared" si="3"/>
        <v>1.1599999999999999</v>
      </c>
      <c r="AC21" s="3">
        <f t="shared" si="1"/>
        <v>10</v>
      </c>
      <c r="AD21" s="9">
        <f t="shared" si="4"/>
        <v>1.202</v>
      </c>
      <c r="AE21" s="16">
        <f t="shared" si="5"/>
        <v>1.1155234657039712</v>
      </c>
      <c r="AF21" s="16">
        <f t="shared" si="6"/>
        <v>1.9312499999999999</v>
      </c>
      <c r="AG21" s="9"/>
      <c r="AH21" s="9"/>
      <c r="AI21" s="12">
        <f t="shared" si="7"/>
        <v>64.600000000000009</v>
      </c>
      <c r="AJ21" s="12">
        <f t="shared" si="8"/>
        <v>90</v>
      </c>
      <c r="AK21" s="12">
        <f t="shared" si="8"/>
        <v>94.399999999999991</v>
      </c>
      <c r="AL21" s="12">
        <f t="shared" si="8"/>
        <v>76.7</v>
      </c>
      <c r="AM21" s="12">
        <f t="shared" si="8"/>
        <v>68.5</v>
      </c>
      <c r="AN21" s="12">
        <f t="shared" si="8"/>
        <v>28.7</v>
      </c>
      <c r="AO21" s="12">
        <f t="shared" si="14"/>
        <v>62.9</v>
      </c>
      <c r="AP21" s="12">
        <f t="shared" si="14"/>
        <v>22</v>
      </c>
      <c r="AQ21" s="12">
        <f t="shared" si="14"/>
        <v>49.1</v>
      </c>
      <c r="AR21" s="12">
        <f t="shared" si="14"/>
        <v>94.399999999999991</v>
      </c>
      <c r="AS21" s="12">
        <f t="shared" si="15"/>
        <v>70.7</v>
      </c>
      <c r="AT21" s="12">
        <f t="shared" si="15"/>
        <v>65.7</v>
      </c>
      <c r="AU21" s="12">
        <f t="shared" si="9"/>
        <v>41.5</v>
      </c>
      <c r="AV21" s="12">
        <f t="shared" si="15"/>
        <v>92.800000000000011</v>
      </c>
      <c r="AW21" s="12">
        <f t="shared" si="16"/>
        <v>76.2</v>
      </c>
      <c r="AX21" s="12">
        <f t="shared" si="10"/>
        <v>82.9</v>
      </c>
      <c r="AY21" s="9"/>
      <c r="AZ21" s="12">
        <f t="shared" si="17"/>
        <v>93.899999999999991</v>
      </c>
      <c r="BA21" s="12">
        <f t="shared" si="13"/>
        <v>90</v>
      </c>
      <c r="BB21" s="12">
        <f t="shared" si="11"/>
        <v>93.899999999999991</v>
      </c>
      <c r="BC21" s="12">
        <f t="shared" si="11"/>
        <v>91.7</v>
      </c>
      <c r="BD21" s="12">
        <f t="shared" si="11"/>
        <v>76.7</v>
      </c>
      <c r="BE21" s="12">
        <f t="shared" si="11"/>
        <v>76.2</v>
      </c>
      <c r="BF21" s="12">
        <f t="shared" si="12"/>
        <v>79.5</v>
      </c>
      <c r="BG21" s="12">
        <f t="shared" si="12"/>
        <v>76.7</v>
      </c>
      <c r="BH21" s="12">
        <f t="shared" si="12"/>
        <v>79</v>
      </c>
      <c r="BI21" s="12">
        <f t="shared" si="12"/>
        <v>92.2</v>
      </c>
    </row>
    <row r="22" spans="1:61" ht="15.75" customHeight="1">
      <c r="A22" s="1" t="s">
        <v>115</v>
      </c>
      <c r="B22" s="3" t="s">
        <v>96</v>
      </c>
      <c r="C22" s="4" t="s">
        <v>85</v>
      </c>
      <c r="D22" s="4">
        <v>41</v>
      </c>
      <c r="E22" s="4">
        <v>1196</v>
      </c>
      <c r="F22" s="4">
        <v>41</v>
      </c>
      <c r="G22" s="4">
        <v>1196</v>
      </c>
      <c r="H22" s="4">
        <v>23</v>
      </c>
      <c r="I22" s="4">
        <v>0.624</v>
      </c>
      <c r="J22" s="4">
        <v>0.59299999999999997</v>
      </c>
      <c r="K22" s="4">
        <v>3.7999999999999999E-2</v>
      </c>
      <c r="L22" s="4">
        <v>0.36</v>
      </c>
      <c r="M22" s="4">
        <v>13.9</v>
      </c>
      <c r="N22" s="4">
        <v>15.5</v>
      </c>
      <c r="O22" s="4">
        <v>17.899999999999999</v>
      </c>
      <c r="P22" s="4">
        <v>2.9</v>
      </c>
      <c r="Q22" s="4">
        <v>3.3</v>
      </c>
      <c r="R22" s="4">
        <v>17.600000000000001</v>
      </c>
      <c r="S22" s="4">
        <v>21.7</v>
      </c>
      <c r="T22" s="4">
        <v>120</v>
      </c>
      <c r="U22" s="4">
        <v>103</v>
      </c>
      <c r="V22" s="4"/>
      <c r="W22" s="4">
        <v>3.7</v>
      </c>
      <c r="X22" s="4">
        <v>2.6</v>
      </c>
      <c r="Y22" s="4">
        <v>6.3</v>
      </c>
      <c r="Z22" s="4">
        <v>0.21099999999999999</v>
      </c>
      <c r="AA22" s="13">
        <f>(I22/TOTAL_BASIC!$D$301)*100</f>
        <v>111.36870875241915</v>
      </c>
      <c r="AB22" s="5">
        <f t="shared" si="3"/>
        <v>1.2</v>
      </c>
      <c r="AC22" s="3">
        <f t="shared" si="1"/>
        <v>17</v>
      </c>
      <c r="AD22" s="9">
        <f t="shared" si="4"/>
        <v>1.248</v>
      </c>
      <c r="AE22" s="16">
        <f t="shared" si="5"/>
        <v>0.82488479262672809</v>
      </c>
      <c r="AF22" s="16">
        <f t="shared" si="6"/>
        <v>1.0170454545454544</v>
      </c>
      <c r="AG22" s="9"/>
      <c r="AH22" s="9"/>
      <c r="AI22" s="12">
        <f t="shared" si="7"/>
        <v>85.6</v>
      </c>
      <c r="AJ22" s="12">
        <f t="shared" si="8"/>
        <v>89.5</v>
      </c>
      <c r="AK22" s="12">
        <f t="shared" si="8"/>
        <v>96.6</v>
      </c>
      <c r="AL22" s="12">
        <f t="shared" si="8"/>
        <v>90</v>
      </c>
      <c r="AM22" s="12">
        <f t="shared" si="8"/>
        <v>91.100000000000009</v>
      </c>
      <c r="AN22" s="12">
        <f t="shared" si="8"/>
        <v>6.6000000000000005</v>
      </c>
      <c r="AO22" s="12">
        <f t="shared" si="14"/>
        <v>67.900000000000006</v>
      </c>
      <c r="AP22" s="12">
        <f t="shared" si="14"/>
        <v>98.3</v>
      </c>
      <c r="AQ22" s="12">
        <f t="shared" si="14"/>
        <v>85.6</v>
      </c>
      <c r="AR22" s="12">
        <f t="shared" si="14"/>
        <v>70.099999999999994</v>
      </c>
      <c r="AS22" s="12">
        <f t="shared" si="15"/>
        <v>93.899999999999991</v>
      </c>
      <c r="AT22" s="12">
        <f t="shared" si="15"/>
        <v>82.3</v>
      </c>
      <c r="AU22" s="12">
        <f t="shared" si="9"/>
        <v>28.799999999999997</v>
      </c>
      <c r="AV22" s="12">
        <f t="shared" si="15"/>
        <v>70.7</v>
      </c>
      <c r="AW22" s="12">
        <f t="shared" si="16"/>
        <v>86.1</v>
      </c>
      <c r="AX22" s="12">
        <f t="shared" si="10"/>
        <v>93.4</v>
      </c>
      <c r="AY22" s="9"/>
      <c r="AZ22" s="12">
        <f t="shared" si="17"/>
        <v>93.300000000000011</v>
      </c>
      <c r="BA22" s="12">
        <f t="shared" si="13"/>
        <v>96.6</v>
      </c>
      <c r="BB22" s="12">
        <f t="shared" si="11"/>
        <v>95.5</v>
      </c>
      <c r="BC22" s="12">
        <f t="shared" si="11"/>
        <v>96.1</v>
      </c>
      <c r="BD22" s="12">
        <f t="shared" si="11"/>
        <v>90</v>
      </c>
      <c r="BE22" s="12">
        <f t="shared" si="11"/>
        <v>86.1</v>
      </c>
      <c r="BF22" s="12">
        <f t="shared" si="12"/>
        <v>94.399999999999991</v>
      </c>
      <c r="BG22" s="12">
        <f t="shared" si="12"/>
        <v>90</v>
      </c>
      <c r="BH22" s="12">
        <f t="shared" si="12"/>
        <v>61.3</v>
      </c>
      <c r="BI22" s="12">
        <f t="shared" si="12"/>
        <v>53</v>
      </c>
    </row>
    <row r="23" spans="1:61" ht="15.75" customHeight="1">
      <c r="A23" s="1" t="s">
        <v>109</v>
      </c>
      <c r="B23" s="3" t="s">
        <v>232</v>
      </c>
      <c r="C23" s="4" t="s">
        <v>85</v>
      </c>
      <c r="D23" s="4">
        <v>39</v>
      </c>
      <c r="E23" s="4">
        <v>1195</v>
      </c>
      <c r="F23" s="4">
        <v>39</v>
      </c>
      <c r="G23" s="4">
        <v>1195</v>
      </c>
      <c r="H23" s="4">
        <v>15.9</v>
      </c>
      <c r="I23" s="4">
        <v>0.55700000000000005</v>
      </c>
      <c r="J23" s="4">
        <v>0.52</v>
      </c>
      <c r="K23" s="4">
        <v>0.626</v>
      </c>
      <c r="L23" s="4">
        <v>0.19600000000000001</v>
      </c>
      <c r="M23" s="4">
        <v>2.9</v>
      </c>
      <c r="N23" s="4">
        <v>9.1999999999999993</v>
      </c>
      <c r="O23" s="4">
        <v>11.7</v>
      </c>
      <c r="P23" s="4">
        <v>2.6</v>
      </c>
      <c r="Q23" s="4">
        <v>1.4</v>
      </c>
      <c r="R23" s="4">
        <v>8.6</v>
      </c>
      <c r="S23" s="4">
        <v>20.5</v>
      </c>
      <c r="T23" s="4">
        <v>112</v>
      </c>
      <c r="U23" s="4">
        <v>113</v>
      </c>
      <c r="V23" s="4"/>
      <c r="W23" s="4">
        <v>1.8</v>
      </c>
      <c r="X23" s="4">
        <v>0.8</v>
      </c>
      <c r="Y23" s="4">
        <v>2.6</v>
      </c>
      <c r="Z23" s="4">
        <v>8.8999999999999996E-2</v>
      </c>
      <c r="AA23" s="13">
        <f>(I23/TOTAL_BASIC!$D$301)*100</f>
        <v>99.410850601117744</v>
      </c>
      <c r="AB23" s="5">
        <f t="shared" si="3"/>
        <v>1.1200000000000001</v>
      </c>
      <c r="AC23" s="3">
        <f t="shared" si="1"/>
        <v>-1</v>
      </c>
      <c r="AD23" s="9">
        <f t="shared" si="4"/>
        <v>1.1140000000000001</v>
      </c>
      <c r="AE23" s="16">
        <f t="shared" si="5"/>
        <v>0.57073170731707312</v>
      </c>
      <c r="AF23" s="16">
        <f t="shared" si="6"/>
        <v>1.3604651162790697</v>
      </c>
      <c r="AG23" s="9"/>
      <c r="AH23" s="9"/>
      <c r="AI23" s="12">
        <f t="shared" si="7"/>
        <v>64.600000000000009</v>
      </c>
      <c r="AJ23" s="12">
        <f t="shared" si="8"/>
        <v>88.9</v>
      </c>
      <c r="AK23" s="12">
        <f t="shared" si="8"/>
        <v>66.2</v>
      </c>
      <c r="AL23" s="12">
        <f t="shared" si="8"/>
        <v>48.6</v>
      </c>
      <c r="AM23" s="12">
        <f t="shared" si="8"/>
        <v>55.2</v>
      </c>
      <c r="AN23" s="12">
        <f t="shared" si="8"/>
        <v>86.7</v>
      </c>
      <c r="AO23" s="12">
        <f t="shared" si="14"/>
        <v>24.3</v>
      </c>
      <c r="AP23" s="12">
        <f t="shared" si="14"/>
        <v>31.4</v>
      </c>
      <c r="AQ23" s="12">
        <f t="shared" si="14"/>
        <v>53</v>
      </c>
      <c r="AR23" s="12">
        <f t="shared" si="14"/>
        <v>38.1</v>
      </c>
      <c r="AS23" s="12">
        <f t="shared" si="15"/>
        <v>88.3</v>
      </c>
      <c r="AT23" s="12">
        <f t="shared" si="15"/>
        <v>55.800000000000004</v>
      </c>
      <c r="AU23" s="12">
        <f t="shared" si="9"/>
        <v>91.8</v>
      </c>
      <c r="AV23" s="12">
        <f t="shared" si="15"/>
        <v>64</v>
      </c>
      <c r="AW23" s="12">
        <f t="shared" si="16"/>
        <v>67.400000000000006</v>
      </c>
      <c r="AX23" s="12">
        <f t="shared" si="10"/>
        <v>30.400000000000006</v>
      </c>
      <c r="AY23" s="9"/>
      <c r="AZ23" s="12">
        <f t="shared" si="17"/>
        <v>80.600000000000009</v>
      </c>
      <c r="BA23" s="12">
        <f t="shared" si="13"/>
        <v>58.5</v>
      </c>
      <c r="BB23" s="12">
        <f t="shared" si="11"/>
        <v>75.599999999999994</v>
      </c>
      <c r="BC23" s="12">
        <f t="shared" si="11"/>
        <v>59.599999999999994</v>
      </c>
      <c r="BD23" s="12">
        <f t="shared" si="11"/>
        <v>48.6</v>
      </c>
      <c r="BE23" s="12">
        <f t="shared" si="11"/>
        <v>67.400000000000006</v>
      </c>
      <c r="BF23" s="12">
        <f t="shared" si="12"/>
        <v>57.999999999999993</v>
      </c>
      <c r="BG23" s="12">
        <f t="shared" si="12"/>
        <v>48.6</v>
      </c>
      <c r="BH23" s="12">
        <f t="shared" si="12"/>
        <v>28.7</v>
      </c>
      <c r="BI23" s="12">
        <f t="shared" si="12"/>
        <v>74</v>
      </c>
    </row>
    <row r="24" spans="1:61" ht="15.75" customHeight="1">
      <c r="A24" s="1" t="s">
        <v>158</v>
      </c>
      <c r="B24" s="3" t="s">
        <v>140</v>
      </c>
      <c r="C24" s="4" t="s">
        <v>88</v>
      </c>
      <c r="D24" s="4">
        <v>40</v>
      </c>
      <c r="E24" s="4">
        <v>1182</v>
      </c>
      <c r="F24" s="4">
        <v>40</v>
      </c>
      <c r="G24" s="4">
        <v>1182</v>
      </c>
      <c r="H24" s="4">
        <v>20.399999999999999</v>
      </c>
      <c r="I24" s="4">
        <v>0.55900000000000005</v>
      </c>
      <c r="J24" s="4">
        <v>0.50700000000000001</v>
      </c>
      <c r="K24" s="4">
        <v>0.10100000000000001</v>
      </c>
      <c r="L24" s="4">
        <v>0.45800000000000002</v>
      </c>
      <c r="M24" s="4">
        <v>7.9</v>
      </c>
      <c r="N24" s="4">
        <v>19.100000000000001</v>
      </c>
      <c r="O24" s="4">
        <v>16.399999999999999</v>
      </c>
      <c r="P24" s="4">
        <v>1.2</v>
      </c>
      <c r="Q24" s="4">
        <v>4.2</v>
      </c>
      <c r="R24" s="4">
        <v>16</v>
      </c>
      <c r="S24" s="4">
        <v>27.2</v>
      </c>
      <c r="T24" s="4">
        <v>106</v>
      </c>
      <c r="U24" s="4">
        <v>101</v>
      </c>
      <c r="V24" s="4"/>
      <c r="W24" s="4">
        <v>1.2</v>
      </c>
      <c r="X24" s="4">
        <v>2.9</v>
      </c>
      <c r="Y24" s="4">
        <v>4.2</v>
      </c>
      <c r="Z24" s="4">
        <v>0.14099999999999999</v>
      </c>
      <c r="AA24" s="13">
        <f>(I24/TOTAL_BASIC!$D$301)*100</f>
        <v>99.767801590708828</v>
      </c>
      <c r="AB24" s="5">
        <f t="shared" si="3"/>
        <v>1.06</v>
      </c>
      <c r="AC24" s="3">
        <f t="shared" si="1"/>
        <v>5</v>
      </c>
      <c r="AD24" s="9">
        <f t="shared" si="4"/>
        <v>1.1180000000000001</v>
      </c>
      <c r="AE24" s="16">
        <f t="shared" si="5"/>
        <v>0.6029411764705882</v>
      </c>
      <c r="AF24" s="16">
        <f t="shared" si="6"/>
        <v>1.0249999999999999</v>
      </c>
      <c r="AG24" s="9"/>
      <c r="AH24" s="9"/>
      <c r="AI24" s="12">
        <f t="shared" si="7"/>
        <v>72.899999999999991</v>
      </c>
      <c r="AJ24" s="12">
        <f t="shared" si="8"/>
        <v>88.3</v>
      </c>
      <c r="AK24" s="12">
        <f t="shared" si="8"/>
        <v>88.3</v>
      </c>
      <c r="AL24" s="12">
        <f t="shared" si="8"/>
        <v>51.300000000000004</v>
      </c>
      <c r="AM24" s="12">
        <f t="shared" si="8"/>
        <v>49.7</v>
      </c>
      <c r="AN24" s="12">
        <f t="shared" si="8"/>
        <v>11</v>
      </c>
      <c r="AO24" s="12">
        <f t="shared" si="14"/>
        <v>87.8</v>
      </c>
      <c r="AP24" s="12">
        <f t="shared" si="14"/>
        <v>77.3</v>
      </c>
      <c r="AQ24" s="12">
        <f t="shared" si="14"/>
        <v>95.5</v>
      </c>
      <c r="AR24" s="12">
        <f t="shared" si="14"/>
        <v>62.9</v>
      </c>
      <c r="AS24" s="12">
        <f t="shared" si="15"/>
        <v>19.8</v>
      </c>
      <c r="AT24" s="12">
        <f t="shared" si="15"/>
        <v>90.600000000000009</v>
      </c>
      <c r="AU24" s="12">
        <f t="shared" si="9"/>
        <v>41.5</v>
      </c>
      <c r="AV24" s="12">
        <f t="shared" si="15"/>
        <v>90.600000000000009</v>
      </c>
      <c r="AW24" s="12">
        <f t="shared" si="16"/>
        <v>44.7</v>
      </c>
      <c r="AX24" s="12">
        <f t="shared" si="10"/>
        <v>98.4</v>
      </c>
      <c r="AY24" s="9"/>
      <c r="AZ24" s="12">
        <f t="shared" si="17"/>
        <v>71.8</v>
      </c>
      <c r="BA24" s="12">
        <f t="shared" si="13"/>
        <v>98.3</v>
      </c>
      <c r="BB24" s="12">
        <f t="shared" si="11"/>
        <v>87.2</v>
      </c>
      <c r="BC24" s="12">
        <f t="shared" si="11"/>
        <v>77.900000000000006</v>
      </c>
      <c r="BD24" s="12">
        <f t="shared" si="11"/>
        <v>51.300000000000004</v>
      </c>
      <c r="BE24" s="12">
        <f t="shared" si="11"/>
        <v>44.7</v>
      </c>
      <c r="BF24" s="12">
        <f t="shared" si="12"/>
        <v>71.8</v>
      </c>
      <c r="BG24" s="12">
        <f t="shared" si="12"/>
        <v>51.300000000000004</v>
      </c>
      <c r="BH24" s="12">
        <f t="shared" si="12"/>
        <v>35.299999999999997</v>
      </c>
      <c r="BI24" s="12">
        <f t="shared" si="12"/>
        <v>54.1</v>
      </c>
    </row>
    <row r="25" spans="1:61" ht="15.75" customHeight="1">
      <c r="A25" s="1" t="s">
        <v>169</v>
      </c>
      <c r="B25" s="3" t="s">
        <v>137</v>
      </c>
      <c r="C25" s="4" t="s">
        <v>85</v>
      </c>
      <c r="D25" s="4">
        <v>41</v>
      </c>
      <c r="E25" s="4">
        <v>1174</v>
      </c>
      <c r="F25" s="4">
        <v>41</v>
      </c>
      <c r="G25" s="4">
        <v>1174</v>
      </c>
      <c r="H25" s="4">
        <v>19.2</v>
      </c>
      <c r="I25" s="4">
        <v>0.59799999999999998</v>
      </c>
      <c r="J25" s="4">
        <v>0.56299999999999994</v>
      </c>
      <c r="K25" s="4">
        <v>9.1999999999999998E-2</v>
      </c>
      <c r="L25" s="4">
        <v>0.45</v>
      </c>
      <c r="M25" s="4">
        <v>7.9</v>
      </c>
      <c r="N25" s="4">
        <v>14.6</v>
      </c>
      <c r="O25" s="4">
        <v>14.2</v>
      </c>
      <c r="P25" s="4">
        <v>2.5</v>
      </c>
      <c r="Q25" s="4">
        <v>1.3</v>
      </c>
      <c r="R25" s="4">
        <v>13.5</v>
      </c>
      <c r="S25" s="4">
        <v>21.4</v>
      </c>
      <c r="T25" s="4">
        <v>114</v>
      </c>
      <c r="U25" s="4">
        <v>110</v>
      </c>
      <c r="V25" s="4"/>
      <c r="W25" s="4">
        <v>2.2999999999999998</v>
      </c>
      <c r="X25" s="4">
        <v>1.4</v>
      </c>
      <c r="Y25" s="4">
        <v>3.8</v>
      </c>
      <c r="Z25" s="4">
        <v>0.128</v>
      </c>
      <c r="AA25" s="13">
        <f>(I25/TOTAL_BASIC!$D$301)*100</f>
        <v>106.728345887735</v>
      </c>
      <c r="AB25" s="5">
        <f t="shared" si="3"/>
        <v>1.1399999999999999</v>
      </c>
      <c r="AC25" s="3">
        <f t="shared" si="1"/>
        <v>4</v>
      </c>
      <c r="AD25" s="9">
        <f t="shared" si="4"/>
        <v>1.196</v>
      </c>
      <c r="AE25" s="16">
        <f t="shared" si="5"/>
        <v>0.66355140186915884</v>
      </c>
      <c r="AF25" s="16">
        <f t="shared" si="6"/>
        <v>1.0518518518518518</v>
      </c>
      <c r="AG25" s="9"/>
      <c r="AH25" s="9"/>
      <c r="AI25" s="12">
        <f t="shared" si="7"/>
        <v>85.6</v>
      </c>
      <c r="AJ25" s="12">
        <f t="shared" si="8"/>
        <v>87.8</v>
      </c>
      <c r="AK25" s="12">
        <f t="shared" si="8"/>
        <v>81.2</v>
      </c>
      <c r="AL25" s="12">
        <f t="shared" si="8"/>
        <v>75.099999999999994</v>
      </c>
      <c r="AM25" s="12">
        <f t="shared" si="8"/>
        <v>80.600000000000009</v>
      </c>
      <c r="AN25" s="12">
        <f t="shared" si="8"/>
        <v>9.3000000000000007</v>
      </c>
      <c r="AO25" s="12">
        <f t="shared" si="14"/>
        <v>84.5</v>
      </c>
      <c r="AP25" s="12">
        <f t="shared" si="14"/>
        <v>77.3</v>
      </c>
      <c r="AQ25" s="12">
        <f t="shared" si="14"/>
        <v>82.3</v>
      </c>
      <c r="AR25" s="12">
        <f t="shared" si="14"/>
        <v>51.9</v>
      </c>
      <c r="AS25" s="12">
        <f t="shared" si="15"/>
        <v>83.399999999999991</v>
      </c>
      <c r="AT25" s="12">
        <f t="shared" si="15"/>
        <v>49.7</v>
      </c>
      <c r="AU25" s="12">
        <f t="shared" si="9"/>
        <v>63.6</v>
      </c>
      <c r="AV25" s="12">
        <f t="shared" si="15"/>
        <v>68.5</v>
      </c>
      <c r="AW25" s="12">
        <f t="shared" si="16"/>
        <v>72.3</v>
      </c>
      <c r="AX25" s="12">
        <f t="shared" si="10"/>
        <v>58.6</v>
      </c>
      <c r="AY25" s="9"/>
      <c r="AZ25" s="12">
        <f t="shared" si="17"/>
        <v>85.6</v>
      </c>
      <c r="BA25" s="12">
        <f t="shared" si="13"/>
        <v>79.5</v>
      </c>
      <c r="BB25" s="12">
        <f t="shared" si="11"/>
        <v>86.1</v>
      </c>
      <c r="BC25" s="12">
        <f t="shared" si="11"/>
        <v>75.099999999999994</v>
      </c>
      <c r="BD25" s="12">
        <f t="shared" si="11"/>
        <v>75.099999999999994</v>
      </c>
      <c r="BE25" s="12">
        <f t="shared" si="11"/>
        <v>72.3</v>
      </c>
      <c r="BF25" s="12">
        <f t="shared" si="12"/>
        <v>69.599999999999994</v>
      </c>
      <c r="BG25" s="12">
        <f t="shared" si="12"/>
        <v>75.099999999999994</v>
      </c>
      <c r="BH25" s="12">
        <f t="shared" si="12"/>
        <v>43</v>
      </c>
      <c r="BI25" s="12">
        <f t="shared" si="12"/>
        <v>57.4</v>
      </c>
    </row>
    <row r="26" spans="1:61" ht="15.75" customHeight="1">
      <c r="A26" s="1" t="s">
        <v>144</v>
      </c>
      <c r="B26" s="3" t="s">
        <v>128</v>
      </c>
      <c r="C26" s="4" t="s">
        <v>85</v>
      </c>
      <c r="D26" s="4">
        <v>40</v>
      </c>
      <c r="E26" s="4">
        <v>1167</v>
      </c>
      <c r="F26" s="4">
        <v>40</v>
      </c>
      <c r="G26" s="4">
        <v>1167</v>
      </c>
      <c r="H26" s="4">
        <v>10.7</v>
      </c>
      <c r="I26" s="4">
        <v>0.57599999999999996</v>
      </c>
      <c r="J26" s="4">
        <v>0.54900000000000004</v>
      </c>
      <c r="K26" s="4">
        <v>0.52500000000000002</v>
      </c>
      <c r="L26" s="4">
        <v>0.16900000000000001</v>
      </c>
      <c r="M26" s="4">
        <v>5.9</v>
      </c>
      <c r="N26" s="4">
        <v>9.6</v>
      </c>
      <c r="O26" s="4">
        <v>7.8</v>
      </c>
      <c r="P26" s="4">
        <v>1</v>
      </c>
      <c r="Q26" s="4">
        <v>1.3</v>
      </c>
      <c r="R26" s="4">
        <v>15</v>
      </c>
      <c r="S26" s="4">
        <v>13.5</v>
      </c>
      <c r="T26" s="4">
        <v>111</v>
      </c>
      <c r="U26" s="4">
        <v>109</v>
      </c>
      <c r="V26" s="4"/>
      <c r="W26" s="4">
        <v>1.2</v>
      </c>
      <c r="X26" s="4">
        <v>1.5</v>
      </c>
      <c r="Y26" s="4">
        <v>2.7</v>
      </c>
      <c r="Z26" s="4">
        <v>9.2999999999999999E-2</v>
      </c>
      <c r="AA26" s="13">
        <f>(I26/TOTAL_BASIC!$D$301)*100</f>
        <v>102.80188500223306</v>
      </c>
      <c r="AB26" s="5">
        <f t="shared" si="3"/>
        <v>1.1100000000000001</v>
      </c>
      <c r="AC26" s="3">
        <f t="shared" si="1"/>
        <v>2</v>
      </c>
      <c r="AD26" s="9">
        <f t="shared" si="4"/>
        <v>1.1519999999999999</v>
      </c>
      <c r="AE26" s="16">
        <f t="shared" si="5"/>
        <v>0.57777777777777772</v>
      </c>
      <c r="AF26" s="16">
        <f t="shared" si="6"/>
        <v>0.52</v>
      </c>
      <c r="AG26" s="9"/>
      <c r="AH26" s="9"/>
      <c r="AI26" s="12">
        <f t="shared" si="7"/>
        <v>72.899999999999991</v>
      </c>
      <c r="AJ26" s="12">
        <f t="shared" si="8"/>
        <v>87.2</v>
      </c>
      <c r="AK26" s="12">
        <f t="shared" si="8"/>
        <v>34.799999999999997</v>
      </c>
      <c r="AL26" s="12">
        <f t="shared" si="8"/>
        <v>64</v>
      </c>
      <c r="AM26" s="12">
        <f t="shared" si="8"/>
        <v>72.3</v>
      </c>
      <c r="AN26" s="12">
        <f t="shared" si="8"/>
        <v>75.599999999999994</v>
      </c>
      <c r="AO26" s="12">
        <f t="shared" si="14"/>
        <v>17.599999999999998</v>
      </c>
      <c r="AP26" s="12">
        <f t="shared" si="14"/>
        <v>64</v>
      </c>
      <c r="AQ26" s="12">
        <f t="shared" si="14"/>
        <v>55.800000000000004</v>
      </c>
      <c r="AR26" s="12">
        <f t="shared" si="14"/>
        <v>14.299999999999999</v>
      </c>
      <c r="AS26" s="12">
        <f t="shared" si="15"/>
        <v>11</v>
      </c>
      <c r="AT26" s="12">
        <f t="shared" si="15"/>
        <v>49.7</v>
      </c>
      <c r="AU26" s="12">
        <f t="shared" si="9"/>
        <v>46.5</v>
      </c>
      <c r="AV26" s="12">
        <f t="shared" si="15"/>
        <v>14.899999999999999</v>
      </c>
      <c r="AW26" s="12">
        <f t="shared" si="16"/>
        <v>64.600000000000009</v>
      </c>
      <c r="AX26" s="12">
        <f t="shared" si="10"/>
        <v>64.7</v>
      </c>
      <c r="AY26" s="9"/>
      <c r="AZ26" s="12">
        <f t="shared" si="17"/>
        <v>71.8</v>
      </c>
      <c r="BA26" s="12">
        <f t="shared" si="13"/>
        <v>81.2</v>
      </c>
      <c r="BB26" s="12">
        <f t="shared" si="11"/>
        <v>76.7</v>
      </c>
      <c r="BC26" s="12">
        <f t="shared" si="11"/>
        <v>61.8</v>
      </c>
      <c r="BD26" s="12">
        <f t="shared" si="11"/>
        <v>64</v>
      </c>
      <c r="BE26" s="12">
        <f t="shared" si="11"/>
        <v>64.600000000000009</v>
      </c>
      <c r="BF26" s="12">
        <f t="shared" si="12"/>
        <v>67.400000000000006</v>
      </c>
      <c r="BG26" s="12">
        <f t="shared" si="12"/>
        <v>64</v>
      </c>
      <c r="BH26" s="12">
        <f t="shared" si="12"/>
        <v>30.3</v>
      </c>
      <c r="BI26" s="12">
        <f t="shared" si="12"/>
        <v>13.8</v>
      </c>
    </row>
    <row r="27" spans="1:61" ht="15.75" customHeight="1">
      <c r="A27" s="1" t="s">
        <v>90</v>
      </c>
      <c r="B27" s="3" t="s">
        <v>91</v>
      </c>
      <c r="C27" s="4" t="s">
        <v>8</v>
      </c>
      <c r="D27" s="4">
        <v>41</v>
      </c>
      <c r="E27" s="4">
        <v>1163</v>
      </c>
      <c r="F27" s="4">
        <v>41</v>
      </c>
      <c r="G27" s="4">
        <v>1163</v>
      </c>
      <c r="H27" s="4">
        <v>20.6</v>
      </c>
      <c r="I27" s="4">
        <v>0.56599999999999995</v>
      </c>
      <c r="J27" s="4">
        <v>0.504</v>
      </c>
      <c r="K27" s="4">
        <v>0.42299999999999999</v>
      </c>
      <c r="L27" s="4">
        <v>0.38</v>
      </c>
      <c r="M27" s="4">
        <v>4.8</v>
      </c>
      <c r="N27" s="4">
        <v>7.7</v>
      </c>
      <c r="O27" s="4">
        <v>34.6</v>
      </c>
      <c r="P27" s="4">
        <v>3</v>
      </c>
      <c r="Q27" s="4">
        <v>1.5</v>
      </c>
      <c r="R27" s="4">
        <v>11.8</v>
      </c>
      <c r="S27" s="4">
        <v>19.8</v>
      </c>
      <c r="T27" s="4">
        <v>124</v>
      </c>
      <c r="U27" s="4">
        <v>101</v>
      </c>
      <c r="V27" s="4"/>
      <c r="W27" s="4">
        <v>4.2</v>
      </c>
      <c r="X27" s="4">
        <v>2.8</v>
      </c>
      <c r="Y27" s="4">
        <v>7</v>
      </c>
      <c r="Z27" s="4">
        <v>0.24199999999999999</v>
      </c>
      <c r="AA27" s="13">
        <f>(I27/TOTAL_BASIC!$D$301)*100</f>
        <v>101.01713005427762</v>
      </c>
      <c r="AB27" s="5">
        <f t="shared" si="3"/>
        <v>1.24</v>
      </c>
      <c r="AC27" s="3">
        <f t="shared" si="1"/>
        <v>23</v>
      </c>
      <c r="AD27" s="9">
        <f t="shared" si="4"/>
        <v>1.1319999999999999</v>
      </c>
      <c r="AE27" s="16">
        <f t="shared" si="5"/>
        <v>1.7474747474747474</v>
      </c>
      <c r="AF27" s="16">
        <f t="shared" si="6"/>
        <v>2.9322033898305082</v>
      </c>
      <c r="AG27" s="9"/>
      <c r="AH27" s="9"/>
      <c r="AI27" s="12">
        <f t="shared" si="7"/>
        <v>85.6</v>
      </c>
      <c r="AJ27" s="12">
        <f t="shared" si="8"/>
        <v>86.7</v>
      </c>
      <c r="AK27" s="12">
        <f t="shared" si="8"/>
        <v>88.9</v>
      </c>
      <c r="AL27" s="12">
        <f t="shared" si="8"/>
        <v>58.5</v>
      </c>
      <c r="AM27" s="12">
        <f t="shared" si="8"/>
        <v>47.5</v>
      </c>
      <c r="AN27" s="12">
        <f t="shared" si="8"/>
        <v>55.2</v>
      </c>
      <c r="AO27" s="12">
        <f t="shared" si="14"/>
        <v>74.5</v>
      </c>
      <c r="AP27" s="12">
        <f t="shared" si="14"/>
        <v>53.5</v>
      </c>
      <c r="AQ27" s="12">
        <f t="shared" si="14"/>
        <v>39.700000000000003</v>
      </c>
      <c r="AR27" s="12">
        <f t="shared" si="14"/>
        <v>96.1</v>
      </c>
      <c r="AS27" s="12">
        <f t="shared" si="15"/>
        <v>94.399999999999991</v>
      </c>
      <c r="AT27" s="12">
        <f t="shared" si="15"/>
        <v>57.999999999999993</v>
      </c>
      <c r="AU27" s="12">
        <f t="shared" si="9"/>
        <v>75.7</v>
      </c>
      <c r="AV27" s="12">
        <f t="shared" si="15"/>
        <v>60.699999999999996</v>
      </c>
      <c r="AW27" s="12">
        <f t="shared" si="16"/>
        <v>93.300000000000011</v>
      </c>
      <c r="AX27" s="12">
        <f t="shared" si="10"/>
        <v>98.4</v>
      </c>
      <c r="AY27" s="9"/>
      <c r="AZ27" s="12">
        <f t="shared" si="17"/>
        <v>96.6</v>
      </c>
      <c r="BA27" s="12">
        <f t="shared" si="13"/>
        <v>97.7</v>
      </c>
      <c r="BB27" s="12">
        <f t="shared" si="11"/>
        <v>98.8</v>
      </c>
      <c r="BC27" s="12">
        <f t="shared" si="11"/>
        <v>99.4</v>
      </c>
      <c r="BD27" s="12">
        <f t="shared" si="11"/>
        <v>58.5</v>
      </c>
      <c r="BE27" s="12">
        <f t="shared" si="11"/>
        <v>93.300000000000011</v>
      </c>
      <c r="BF27" s="12">
        <f t="shared" si="12"/>
        <v>99.4</v>
      </c>
      <c r="BG27" s="12">
        <f t="shared" si="12"/>
        <v>58.5</v>
      </c>
      <c r="BH27" s="12">
        <f t="shared" si="12"/>
        <v>97.2</v>
      </c>
      <c r="BI27" s="12">
        <f t="shared" si="12"/>
        <v>100</v>
      </c>
    </row>
    <row r="28" spans="1:61" ht="15.75" customHeight="1">
      <c r="A28" s="1" t="s">
        <v>156</v>
      </c>
      <c r="B28" s="3" t="s">
        <v>157</v>
      </c>
      <c r="C28" s="4" t="s">
        <v>8</v>
      </c>
      <c r="D28" s="4">
        <v>37</v>
      </c>
      <c r="E28" s="4">
        <v>1160</v>
      </c>
      <c r="F28" s="4">
        <v>37</v>
      </c>
      <c r="G28" s="4">
        <v>1160</v>
      </c>
      <c r="H28" s="4">
        <v>23</v>
      </c>
      <c r="I28" s="4">
        <v>0.61</v>
      </c>
      <c r="J28" s="4">
        <v>0.54900000000000004</v>
      </c>
      <c r="K28" s="4">
        <v>0.501</v>
      </c>
      <c r="L28" s="4">
        <v>0.40100000000000002</v>
      </c>
      <c r="M28" s="4">
        <v>0.9</v>
      </c>
      <c r="N28" s="4">
        <v>7.8</v>
      </c>
      <c r="O28" s="4">
        <v>44.3</v>
      </c>
      <c r="P28" s="4">
        <v>1.5</v>
      </c>
      <c r="Q28" s="4">
        <v>1.3</v>
      </c>
      <c r="R28" s="4">
        <v>20</v>
      </c>
      <c r="S28" s="4">
        <v>32.4</v>
      </c>
      <c r="T28" s="4">
        <v>114</v>
      </c>
      <c r="U28" s="4">
        <v>112</v>
      </c>
      <c r="V28" s="4"/>
      <c r="W28" s="4">
        <v>3.9</v>
      </c>
      <c r="X28" s="4">
        <v>1</v>
      </c>
      <c r="Y28" s="4">
        <v>5</v>
      </c>
      <c r="Z28" s="4">
        <v>0.17100000000000001</v>
      </c>
      <c r="AA28" s="13">
        <f>(I28/TOTAL_BASIC!$D$301)*100</f>
        <v>108.87005182528154</v>
      </c>
      <c r="AB28" s="5">
        <f t="shared" si="3"/>
        <v>1.1399999999999999</v>
      </c>
      <c r="AC28" s="3">
        <f t="shared" si="1"/>
        <v>2</v>
      </c>
      <c r="AD28" s="9">
        <f t="shared" si="4"/>
        <v>1.22</v>
      </c>
      <c r="AE28" s="16">
        <f t="shared" si="5"/>
        <v>1.367283950617284</v>
      </c>
      <c r="AF28" s="16">
        <f t="shared" si="6"/>
        <v>2.2149999999999999</v>
      </c>
      <c r="AG28" s="9"/>
      <c r="AH28" s="9"/>
      <c r="AI28" s="12">
        <f t="shared" si="7"/>
        <v>51.300000000000004</v>
      </c>
      <c r="AJ28" s="12">
        <f t="shared" si="8"/>
        <v>86.1</v>
      </c>
      <c r="AK28" s="12">
        <f t="shared" si="8"/>
        <v>96.6</v>
      </c>
      <c r="AL28" s="12">
        <f t="shared" si="8"/>
        <v>81.699999999999989</v>
      </c>
      <c r="AM28" s="12">
        <f t="shared" si="8"/>
        <v>72.3</v>
      </c>
      <c r="AN28" s="12">
        <f t="shared" si="8"/>
        <v>69.599999999999994</v>
      </c>
      <c r="AO28" s="12">
        <f t="shared" si="14"/>
        <v>76.7</v>
      </c>
      <c r="AP28" s="12">
        <f t="shared" si="14"/>
        <v>3.3000000000000003</v>
      </c>
      <c r="AQ28" s="12">
        <f t="shared" si="14"/>
        <v>41.9</v>
      </c>
      <c r="AR28" s="12">
        <f t="shared" si="14"/>
        <v>98.8</v>
      </c>
      <c r="AS28" s="12">
        <f t="shared" si="15"/>
        <v>34.200000000000003</v>
      </c>
      <c r="AT28" s="12">
        <f t="shared" si="15"/>
        <v>49.7</v>
      </c>
      <c r="AU28" s="12">
        <f t="shared" si="9"/>
        <v>13.900000000000006</v>
      </c>
      <c r="AV28" s="12">
        <f t="shared" si="15"/>
        <v>99.4</v>
      </c>
      <c r="AW28" s="12">
        <f t="shared" si="16"/>
        <v>72.3</v>
      </c>
      <c r="AX28" s="12">
        <f t="shared" si="10"/>
        <v>38.700000000000003</v>
      </c>
      <c r="AY28" s="9"/>
      <c r="AZ28" s="12">
        <f t="shared" si="17"/>
        <v>95</v>
      </c>
      <c r="BA28" s="12">
        <f t="shared" si="13"/>
        <v>68.5</v>
      </c>
      <c r="BB28" s="12">
        <f t="shared" si="11"/>
        <v>91.7</v>
      </c>
      <c r="BC28" s="12">
        <f t="shared" si="11"/>
        <v>86.7</v>
      </c>
      <c r="BD28" s="12">
        <f t="shared" si="11"/>
        <v>81.699999999999989</v>
      </c>
      <c r="BE28" s="12">
        <f t="shared" si="11"/>
        <v>72.3</v>
      </c>
      <c r="BF28" s="12">
        <f t="shared" si="12"/>
        <v>67.400000000000006</v>
      </c>
      <c r="BG28" s="12">
        <f t="shared" si="12"/>
        <v>81.699999999999989</v>
      </c>
      <c r="BH28" s="12">
        <f t="shared" si="12"/>
        <v>89.5</v>
      </c>
      <c r="BI28" s="12">
        <f t="shared" si="12"/>
        <v>96.6</v>
      </c>
    </row>
    <row r="29" spans="1:61" ht="15.75" customHeight="1">
      <c r="A29" s="1" t="s">
        <v>168</v>
      </c>
      <c r="B29" s="4" t="s">
        <v>137</v>
      </c>
      <c r="C29" s="4" t="s">
        <v>94</v>
      </c>
      <c r="D29" s="4">
        <v>40</v>
      </c>
      <c r="E29" s="4">
        <v>1153</v>
      </c>
      <c r="F29" s="4">
        <v>40</v>
      </c>
      <c r="G29" s="4">
        <v>1153</v>
      </c>
      <c r="H29" s="4">
        <v>13.9</v>
      </c>
      <c r="I29" s="4">
        <v>0.57899999999999996</v>
      </c>
      <c r="J29" s="4">
        <v>0.53100000000000003</v>
      </c>
      <c r="K29" s="4">
        <v>0.38600000000000001</v>
      </c>
      <c r="L29" s="4">
        <v>0.32600000000000001</v>
      </c>
      <c r="M29" s="4">
        <v>2.4</v>
      </c>
      <c r="N29" s="4">
        <v>4.9000000000000004</v>
      </c>
      <c r="O29" s="4">
        <v>14.7</v>
      </c>
      <c r="P29" s="4">
        <v>1.4</v>
      </c>
      <c r="Q29" s="4">
        <v>1.9</v>
      </c>
      <c r="R29" s="4">
        <v>16.2</v>
      </c>
      <c r="S29" s="4">
        <v>22.7</v>
      </c>
      <c r="T29" s="4">
        <v>104</v>
      </c>
      <c r="U29" s="4">
        <v>116</v>
      </c>
      <c r="V29" s="4"/>
      <c r="W29" s="4">
        <v>0.5</v>
      </c>
      <c r="X29" s="4">
        <v>0.4</v>
      </c>
      <c r="Y29" s="4">
        <v>0.9</v>
      </c>
      <c r="Z29" s="4">
        <v>3.2000000000000001E-2</v>
      </c>
      <c r="AA29" s="13">
        <f>(I29/TOTAL_BASIC!$D$301)*100</f>
        <v>103.33731148661968</v>
      </c>
      <c r="AB29" s="5">
        <f t="shared" si="3"/>
        <v>1.04</v>
      </c>
      <c r="AC29" s="3">
        <f t="shared" si="1"/>
        <v>-12</v>
      </c>
      <c r="AD29" s="9">
        <f t="shared" si="4"/>
        <v>1.1579999999999999</v>
      </c>
      <c r="AE29" s="16">
        <f t="shared" si="5"/>
        <v>0.64757709251101325</v>
      </c>
      <c r="AF29" s="16">
        <f t="shared" si="6"/>
        <v>0.90740740740740744</v>
      </c>
      <c r="AG29" s="9"/>
      <c r="AH29" s="9"/>
      <c r="AI29" s="12">
        <f t="shared" si="7"/>
        <v>72.899999999999991</v>
      </c>
      <c r="AJ29" s="12">
        <f t="shared" si="8"/>
        <v>85.6</v>
      </c>
      <c r="AK29" s="12">
        <f t="shared" si="8"/>
        <v>55.800000000000004</v>
      </c>
      <c r="AL29" s="12">
        <f t="shared" si="8"/>
        <v>65.7</v>
      </c>
      <c r="AM29" s="12">
        <f t="shared" si="8"/>
        <v>63.5</v>
      </c>
      <c r="AN29" s="12">
        <f t="shared" si="8"/>
        <v>44.7</v>
      </c>
      <c r="AO29" s="12">
        <f t="shared" si="14"/>
        <v>61.3</v>
      </c>
      <c r="AP29" s="12">
        <f t="shared" si="14"/>
        <v>24.8</v>
      </c>
      <c r="AQ29" s="12">
        <f t="shared" si="14"/>
        <v>11</v>
      </c>
      <c r="AR29" s="12">
        <f t="shared" si="14"/>
        <v>56.3</v>
      </c>
      <c r="AS29" s="12">
        <f t="shared" si="15"/>
        <v>28.1</v>
      </c>
      <c r="AT29" s="12">
        <f t="shared" si="15"/>
        <v>64</v>
      </c>
      <c r="AU29" s="12">
        <f t="shared" si="9"/>
        <v>39.300000000000004</v>
      </c>
      <c r="AV29" s="12">
        <f t="shared" si="15"/>
        <v>74</v>
      </c>
      <c r="AW29" s="12">
        <f t="shared" si="16"/>
        <v>38.6</v>
      </c>
      <c r="AX29" s="12">
        <f t="shared" si="10"/>
        <v>14.400000000000006</v>
      </c>
      <c r="AY29" s="9"/>
      <c r="AZ29" s="12">
        <f t="shared" si="17"/>
        <v>52.400000000000006</v>
      </c>
      <c r="BA29" s="12">
        <f t="shared" si="13"/>
        <v>33.700000000000003</v>
      </c>
      <c r="BB29" s="12">
        <f t="shared" si="11"/>
        <v>45.800000000000004</v>
      </c>
      <c r="BC29" s="12">
        <f t="shared" si="11"/>
        <v>25.900000000000002</v>
      </c>
      <c r="BD29" s="12">
        <f t="shared" si="11"/>
        <v>65.7</v>
      </c>
      <c r="BE29" s="12">
        <f t="shared" si="11"/>
        <v>38.6</v>
      </c>
      <c r="BF29" s="12">
        <f t="shared" si="12"/>
        <v>25.4</v>
      </c>
      <c r="BG29" s="12">
        <f t="shared" si="12"/>
        <v>65.7</v>
      </c>
      <c r="BH29" s="12">
        <f t="shared" si="12"/>
        <v>40.300000000000004</v>
      </c>
      <c r="BI29" s="12">
        <f t="shared" si="12"/>
        <v>42.5</v>
      </c>
    </row>
    <row r="30" spans="1:61" ht="15.75" customHeight="1">
      <c r="A30" s="1" t="s">
        <v>87</v>
      </c>
      <c r="B30" s="4" t="s">
        <v>84</v>
      </c>
      <c r="C30" s="4" t="s">
        <v>88</v>
      </c>
      <c r="D30" s="4">
        <v>40</v>
      </c>
      <c r="E30" s="4">
        <v>1139</v>
      </c>
      <c r="F30" s="4">
        <v>40</v>
      </c>
      <c r="G30" s="4">
        <v>1139</v>
      </c>
      <c r="H30" s="4">
        <v>20.9</v>
      </c>
      <c r="I30" s="4">
        <v>0.63100000000000001</v>
      </c>
      <c r="J30" s="4">
        <v>0.58399999999999996</v>
      </c>
      <c r="K30" s="4">
        <v>0.45900000000000002</v>
      </c>
      <c r="L30" s="4">
        <v>0.34499999999999997</v>
      </c>
      <c r="M30" s="4">
        <v>9.1999999999999993</v>
      </c>
      <c r="N30" s="4">
        <v>19.100000000000001</v>
      </c>
      <c r="O30" s="4">
        <v>15.3</v>
      </c>
      <c r="P30" s="4">
        <v>1.1000000000000001</v>
      </c>
      <c r="Q30" s="4">
        <v>3.6</v>
      </c>
      <c r="R30" s="4">
        <v>15.5</v>
      </c>
      <c r="S30" s="4">
        <v>21.5</v>
      </c>
      <c r="T30" s="4">
        <v>119</v>
      </c>
      <c r="U30" s="4">
        <v>106</v>
      </c>
      <c r="V30" s="4"/>
      <c r="W30" s="4">
        <v>3.3</v>
      </c>
      <c r="X30" s="4">
        <v>2</v>
      </c>
      <c r="Y30" s="4">
        <v>5.3</v>
      </c>
      <c r="Z30" s="4">
        <v>0.185</v>
      </c>
      <c r="AA30" s="13">
        <f>(I30/TOTAL_BASIC!$D$301)*100</f>
        <v>112.61803721598795</v>
      </c>
      <c r="AB30" s="5">
        <f t="shared" si="3"/>
        <v>1.19</v>
      </c>
      <c r="AC30" s="3">
        <f t="shared" si="1"/>
        <v>13</v>
      </c>
      <c r="AD30" s="9">
        <f t="shared" si="4"/>
        <v>1.262</v>
      </c>
      <c r="AE30" s="16">
        <f t="shared" si="5"/>
        <v>0.71162790697674427</v>
      </c>
      <c r="AF30" s="16">
        <f t="shared" si="6"/>
        <v>0.98709677419354847</v>
      </c>
      <c r="AG30" s="9"/>
      <c r="AH30" s="9"/>
      <c r="AI30" s="12">
        <f t="shared" si="7"/>
        <v>72.899999999999991</v>
      </c>
      <c r="AJ30" s="12">
        <f t="shared" si="8"/>
        <v>85</v>
      </c>
      <c r="AK30" s="12">
        <f t="shared" si="8"/>
        <v>90</v>
      </c>
      <c r="AL30" s="12">
        <f t="shared" si="8"/>
        <v>92.2</v>
      </c>
      <c r="AM30" s="12">
        <f t="shared" si="8"/>
        <v>88.9</v>
      </c>
      <c r="AN30" s="12">
        <f t="shared" si="8"/>
        <v>61.3</v>
      </c>
      <c r="AO30" s="12">
        <f t="shared" si="14"/>
        <v>65.100000000000009</v>
      </c>
      <c r="AP30" s="12">
        <f t="shared" si="14"/>
        <v>87.2</v>
      </c>
      <c r="AQ30" s="12">
        <f t="shared" si="14"/>
        <v>95.5</v>
      </c>
      <c r="AR30" s="12">
        <f t="shared" si="14"/>
        <v>59.099999999999994</v>
      </c>
      <c r="AS30" s="12">
        <f t="shared" si="15"/>
        <v>16.5</v>
      </c>
      <c r="AT30" s="12">
        <f t="shared" si="15"/>
        <v>85</v>
      </c>
      <c r="AU30" s="12">
        <f t="shared" si="9"/>
        <v>42.6</v>
      </c>
      <c r="AV30" s="12">
        <f t="shared" si="15"/>
        <v>69.599999999999994</v>
      </c>
      <c r="AW30" s="12">
        <f t="shared" si="16"/>
        <v>82.3</v>
      </c>
      <c r="AX30" s="12">
        <f t="shared" si="10"/>
        <v>82.9</v>
      </c>
      <c r="AY30" s="9"/>
      <c r="AZ30" s="12">
        <f t="shared" si="17"/>
        <v>92.2</v>
      </c>
      <c r="BA30" s="12">
        <f t="shared" si="13"/>
        <v>90</v>
      </c>
      <c r="BB30" s="12">
        <f t="shared" si="11"/>
        <v>92.800000000000011</v>
      </c>
      <c r="BC30" s="12">
        <f t="shared" si="11"/>
        <v>90</v>
      </c>
      <c r="BD30" s="12">
        <f t="shared" si="11"/>
        <v>92.2</v>
      </c>
      <c r="BE30" s="12">
        <f t="shared" si="11"/>
        <v>82.3</v>
      </c>
      <c r="BF30" s="12">
        <f t="shared" si="12"/>
        <v>86.7</v>
      </c>
      <c r="BG30" s="12">
        <f t="shared" si="12"/>
        <v>92.2</v>
      </c>
      <c r="BH30" s="12">
        <f t="shared" si="12"/>
        <v>50.8</v>
      </c>
      <c r="BI30" s="12">
        <f t="shared" si="12"/>
        <v>47.5</v>
      </c>
    </row>
    <row r="31" spans="1:61" ht="15.75" customHeight="1">
      <c r="A31" s="1" t="s">
        <v>224</v>
      </c>
      <c r="B31" s="3" t="s">
        <v>131</v>
      </c>
      <c r="C31" s="4" t="s">
        <v>8</v>
      </c>
      <c r="D31" s="4">
        <v>40</v>
      </c>
      <c r="E31" s="4">
        <v>1127</v>
      </c>
      <c r="F31" s="4">
        <v>40</v>
      </c>
      <c r="G31" s="4">
        <v>1127</v>
      </c>
      <c r="H31" s="4">
        <v>14.8</v>
      </c>
      <c r="I31" s="4">
        <v>0.622</v>
      </c>
      <c r="J31" s="4">
        <v>0.56399999999999995</v>
      </c>
      <c r="K31" s="4">
        <v>0.41199999999999998</v>
      </c>
      <c r="L31" s="4">
        <v>0.38200000000000001</v>
      </c>
      <c r="M31" s="4">
        <v>1.1000000000000001</v>
      </c>
      <c r="N31" s="4">
        <v>6.9</v>
      </c>
      <c r="O31" s="4">
        <v>27.1</v>
      </c>
      <c r="P31" s="4">
        <v>1.8</v>
      </c>
      <c r="Q31" s="4">
        <v>1</v>
      </c>
      <c r="R31" s="4">
        <v>19.399999999999999</v>
      </c>
      <c r="S31" s="4">
        <v>17.100000000000001</v>
      </c>
      <c r="T31" s="4">
        <v>113</v>
      </c>
      <c r="U31" s="4">
        <v>111</v>
      </c>
      <c r="V31" s="4"/>
      <c r="W31" s="4">
        <v>1.8</v>
      </c>
      <c r="X31" s="4">
        <v>1.1000000000000001</v>
      </c>
      <c r="Y31" s="4">
        <v>2.9</v>
      </c>
      <c r="Z31" s="4">
        <v>0.104</v>
      </c>
      <c r="AA31" s="13">
        <f>(I31/TOTAL_BASIC!$D$301)*100</f>
        <v>111.01175776282805</v>
      </c>
      <c r="AB31" s="5">
        <f t="shared" si="3"/>
        <v>1.1299999999999999</v>
      </c>
      <c r="AC31" s="3">
        <f t="shared" si="1"/>
        <v>2</v>
      </c>
      <c r="AD31" s="9">
        <f t="shared" si="4"/>
        <v>1.244</v>
      </c>
      <c r="AE31" s="16">
        <f t="shared" si="5"/>
        <v>1.5847953216374269</v>
      </c>
      <c r="AF31" s="16">
        <f t="shared" si="6"/>
        <v>1.3969072164948455</v>
      </c>
      <c r="AG31" s="9"/>
      <c r="AH31" s="9"/>
      <c r="AI31" s="12">
        <f t="shared" si="7"/>
        <v>72.899999999999991</v>
      </c>
      <c r="AJ31" s="12">
        <f t="shared" si="8"/>
        <v>84.5</v>
      </c>
      <c r="AK31" s="12">
        <f t="shared" si="8"/>
        <v>59.599999999999994</v>
      </c>
      <c r="AL31" s="12">
        <f t="shared" si="8"/>
        <v>88.9</v>
      </c>
      <c r="AM31" s="12">
        <f t="shared" si="8"/>
        <v>81.2</v>
      </c>
      <c r="AN31" s="12">
        <f t="shared" si="8"/>
        <v>51.9</v>
      </c>
      <c r="AO31" s="12">
        <f t="shared" si="14"/>
        <v>75.099999999999994</v>
      </c>
      <c r="AP31" s="12">
        <f t="shared" si="14"/>
        <v>7.7</v>
      </c>
      <c r="AQ31" s="12">
        <f t="shared" si="14"/>
        <v>33.700000000000003</v>
      </c>
      <c r="AR31" s="12">
        <f t="shared" si="14"/>
        <v>88.3</v>
      </c>
      <c r="AS31" s="12">
        <f t="shared" si="15"/>
        <v>51.300000000000004</v>
      </c>
      <c r="AT31" s="12">
        <f t="shared" si="15"/>
        <v>39.700000000000003</v>
      </c>
      <c r="AU31" s="12">
        <f t="shared" si="9"/>
        <v>17.200000000000003</v>
      </c>
      <c r="AV31" s="12">
        <f t="shared" si="15"/>
        <v>36.4</v>
      </c>
      <c r="AW31" s="12">
        <f t="shared" si="16"/>
        <v>71.2</v>
      </c>
      <c r="AX31" s="12">
        <f t="shared" si="10"/>
        <v>48.699999999999996</v>
      </c>
      <c r="AY31" s="9"/>
      <c r="AZ31" s="12">
        <f t="shared" si="17"/>
        <v>80.600000000000009</v>
      </c>
      <c r="BA31" s="12">
        <f t="shared" si="13"/>
        <v>72.899999999999991</v>
      </c>
      <c r="BB31" s="12">
        <f t="shared" si="11"/>
        <v>79</v>
      </c>
      <c r="BC31" s="12">
        <f t="shared" si="11"/>
        <v>65.7</v>
      </c>
      <c r="BD31" s="12">
        <f t="shared" si="11"/>
        <v>88.9</v>
      </c>
      <c r="BE31" s="12">
        <f t="shared" si="11"/>
        <v>71.2</v>
      </c>
      <c r="BF31" s="12">
        <f t="shared" si="12"/>
        <v>67.400000000000006</v>
      </c>
      <c r="BG31" s="12">
        <f t="shared" si="12"/>
        <v>88.9</v>
      </c>
      <c r="BH31" s="12">
        <f t="shared" si="12"/>
        <v>94.399999999999991</v>
      </c>
      <c r="BI31" s="12">
        <f t="shared" si="12"/>
        <v>74.5</v>
      </c>
    </row>
    <row r="32" spans="1:61" ht="15.75" customHeight="1">
      <c r="A32" s="1" t="s">
        <v>138</v>
      </c>
      <c r="B32" s="3" t="s">
        <v>114</v>
      </c>
      <c r="C32" s="4" t="s">
        <v>8</v>
      </c>
      <c r="D32" s="4">
        <v>37</v>
      </c>
      <c r="E32" s="4">
        <v>1104</v>
      </c>
      <c r="F32" s="4">
        <v>37</v>
      </c>
      <c r="G32" s="4">
        <v>1104</v>
      </c>
      <c r="H32" s="4">
        <v>16.2</v>
      </c>
      <c r="I32" s="4">
        <v>0.55900000000000005</v>
      </c>
      <c r="J32" s="4">
        <v>0.51500000000000001</v>
      </c>
      <c r="K32" s="4">
        <v>0.44900000000000001</v>
      </c>
      <c r="L32" s="4">
        <v>0.23699999999999999</v>
      </c>
      <c r="M32" s="4">
        <v>0.9</v>
      </c>
      <c r="N32" s="4">
        <v>5.0999999999999996</v>
      </c>
      <c r="O32" s="4">
        <v>29.2</v>
      </c>
      <c r="P32" s="4">
        <v>1.8</v>
      </c>
      <c r="Q32" s="4">
        <v>0.4</v>
      </c>
      <c r="R32" s="4">
        <v>14.1</v>
      </c>
      <c r="S32" s="4">
        <v>23.3</v>
      </c>
      <c r="T32" s="4">
        <v>109</v>
      </c>
      <c r="U32" s="4">
        <v>114</v>
      </c>
      <c r="V32" s="4"/>
      <c r="W32" s="4">
        <v>1.5</v>
      </c>
      <c r="X32" s="4">
        <v>0.7</v>
      </c>
      <c r="Y32" s="4">
        <v>2.2000000000000002</v>
      </c>
      <c r="Z32" s="4">
        <v>7.8E-2</v>
      </c>
      <c r="AA32" s="13">
        <f>(I32/TOTAL_BASIC!$D$301)*100</f>
        <v>99.767801590708828</v>
      </c>
      <c r="AB32" s="5">
        <f t="shared" si="3"/>
        <v>1.0900000000000001</v>
      </c>
      <c r="AC32" s="3">
        <f t="shared" si="1"/>
        <v>-5</v>
      </c>
      <c r="AD32" s="9">
        <f t="shared" si="4"/>
        <v>1.1180000000000001</v>
      </c>
      <c r="AE32" s="16">
        <f t="shared" si="5"/>
        <v>1.2532188841201717</v>
      </c>
      <c r="AF32" s="16">
        <f t="shared" si="6"/>
        <v>2.0709219858156027</v>
      </c>
      <c r="AG32" s="9"/>
      <c r="AH32" s="9"/>
      <c r="AI32" s="12">
        <f t="shared" si="7"/>
        <v>51.300000000000004</v>
      </c>
      <c r="AJ32" s="12">
        <f t="shared" si="8"/>
        <v>83.899999999999991</v>
      </c>
      <c r="AK32" s="12">
        <f t="shared" si="8"/>
        <v>70.099999999999994</v>
      </c>
      <c r="AL32" s="12">
        <f t="shared" si="8"/>
        <v>51.300000000000004</v>
      </c>
      <c r="AM32" s="12">
        <f t="shared" si="8"/>
        <v>52.400000000000006</v>
      </c>
      <c r="AN32" s="12">
        <f t="shared" si="8"/>
        <v>59.099999999999994</v>
      </c>
      <c r="AO32" s="12">
        <f t="shared" si="14"/>
        <v>37</v>
      </c>
      <c r="AP32" s="12">
        <f t="shared" si="14"/>
        <v>3.3000000000000003</v>
      </c>
      <c r="AQ32" s="12">
        <f t="shared" si="14"/>
        <v>14.299999999999999</v>
      </c>
      <c r="AR32" s="12">
        <f t="shared" si="14"/>
        <v>91.7</v>
      </c>
      <c r="AS32" s="12">
        <f t="shared" si="15"/>
        <v>51.300000000000004</v>
      </c>
      <c r="AT32" s="12">
        <f t="shared" si="15"/>
        <v>14.899999999999999</v>
      </c>
      <c r="AU32" s="12">
        <f t="shared" si="9"/>
        <v>57</v>
      </c>
      <c r="AV32" s="12">
        <f t="shared" si="15"/>
        <v>77.3</v>
      </c>
      <c r="AW32" s="12">
        <f t="shared" si="16"/>
        <v>57.999999999999993</v>
      </c>
      <c r="AX32" s="12">
        <f t="shared" si="10"/>
        <v>24.900000000000006</v>
      </c>
      <c r="AY32" s="9"/>
      <c r="AZ32" s="12">
        <f t="shared" si="17"/>
        <v>75.599999999999994</v>
      </c>
      <c r="BA32" s="12">
        <f t="shared" si="13"/>
        <v>54.1</v>
      </c>
      <c r="BB32" s="12">
        <f t="shared" si="11"/>
        <v>71.2</v>
      </c>
      <c r="BC32" s="12">
        <f t="shared" si="11"/>
        <v>54.1</v>
      </c>
      <c r="BD32" s="12">
        <f t="shared" si="11"/>
        <v>51.300000000000004</v>
      </c>
      <c r="BE32" s="12">
        <f t="shared" si="11"/>
        <v>57.999999999999993</v>
      </c>
      <c r="BF32" s="12">
        <f t="shared" si="12"/>
        <v>43</v>
      </c>
      <c r="BG32" s="12">
        <f t="shared" si="12"/>
        <v>51.300000000000004</v>
      </c>
      <c r="BH32" s="12">
        <f t="shared" si="12"/>
        <v>86.1</v>
      </c>
      <c r="BI32" s="12">
        <f t="shared" si="12"/>
        <v>93.899999999999991</v>
      </c>
    </row>
    <row r="33" spans="1:61" ht="15.75" customHeight="1">
      <c r="A33" s="1" t="s">
        <v>113</v>
      </c>
      <c r="B33" s="3" t="s">
        <v>114</v>
      </c>
      <c r="C33" s="4" t="s">
        <v>8</v>
      </c>
      <c r="D33" s="4">
        <v>39</v>
      </c>
      <c r="E33" s="4">
        <v>1103</v>
      </c>
      <c r="F33" s="4">
        <v>39</v>
      </c>
      <c r="G33" s="4">
        <v>1103</v>
      </c>
      <c r="H33" s="4">
        <v>14</v>
      </c>
      <c r="I33" s="4">
        <v>0.504</v>
      </c>
      <c r="J33" s="4">
        <v>0.45200000000000001</v>
      </c>
      <c r="K33" s="4">
        <v>0.373</v>
      </c>
      <c r="L33" s="4">
        <v>0.28399999999999997</v>
      </c>
      <c r="M33" s="4">
        <v>4.3</v>
      </c>
      <c r="N33" s="4">
        <v>9.6</v>
      </c>
      <c r="O33" s="4">
        <v>18</v>
      </c>
      <c r="P33" s="4">
        <v>2.2999999999999998</v>
      </c>
      <c r="Q33" s="4">
        <v>2.4</v>
      </c>
      <c r="R33" s="4">
        <v>15</v>
      </c>
      <c r="S33" s="4">
        <v>25.8</v>
      </c>
      <c r="T33" s="4">
        <v>97</v>
      </c>
      <c r="U33" s="4">
        <v>110</v>
      </c>
      <c r="V33" s="4"/>
      <c r="W33" s="4">
        <v>-0.7</v>
      </c>
      <c r="X33" s="4">
        <v>1.3</v>
      </c>
      <c r="Y33" s="4">
        <v>0.6</v>
      </c>
      <c r="Z33" s="4">
        <v>2.1999999999999999E-2</v>
      </c>
      <c r="AA33" s="13">
        <f>(I33/TOTAL_BASIC!$D$301)*100</f>
        <v>89.951649376953924</v>
      </c>
      <c r="AB33" s="5">
        <f t="shared" si="3"/>
        <v>0.97</v>
      </c>
      <c r="AC33" s="3">
        <f t="shared" si="1"/>
        <v>-13</v>
      </c>
      <c r="AD33" s="9">
        <f t="shared" si="4"/>
        <v>1.008</v>
      </c>
      <c r="AE33" s="16">
        <f t="shared" si="5"/>
        <v>0.69767441860465118</v>
      </c>
      <c r="AF33" s="16">
        <f t="shared" si="6"/>
        <v>1.2</v>
      </c>
      <c r="AG33" s="9"/>
      <c r="AH33" s="9"/>
      <c r="AI33" s="12">
        <f t="shared" si="7"/>
        <v>64.600000000000009</v>
      </c>
      <c r="AJ33" s="12">
        <f t="shared" si="8"/>
        <v>83.399999999999991</v>
      </c>
      <c r="AK33" s="12">
        <f t="shared" si="8"/>
        <v>56.3</v>
      </c>
      <c r="AL33" s="12">
        <f t="shared" si="8"/>
        <v>23.200000000000003</v>
      </c>
      <c r="AM33" s="12">
        <f t="shared" si="8"/>
        <v>21.5</v>
      </c>
      <c r="AN33" s="12">
        <f t="shared" si="8"/>
        <v>41.9</v>
      </c>
      <c r="AO33" s="12">
        <f t="shared" si="14"/>
        <v>49.1</v>
      </c>
      <c r="AP33" s="12">
        <f t="shared" si="14"/>
        <v>49.7</v>
      </c>
      <c r="AQ33" s="12">
        <f t="shared" si="14"/>
        <v>55.800000000000004</v>
      </c>
      <c r="AR33" s="12">
        <f t="shared" si="14"/>
        <v>70.7</v>
      </c>
      <c r="AS33" s="12">
        <f t="shared" si="15"/>
        <v>77.900000000000006</v>
      </c>
      <c r="AT33" s="12">
        <f t="shared" si="15"/>
        <v>71.8</v>
      </c>
      <c r="AU33" s="12">
        <f t="shared" si="9"/>
        <v>46.5</v>
      </c>
      <c r="AV33" s="12">
        <f t="shared" si="15"/>
        <v>87.8</v>
      </c>
      <c r="AW33" s="12">
        <f t="shared" si="16"/>
        <v>15.4</v>
      </c>
      <c r="AX33" s="12">
        <f t="shared" si="10"/>
        <v>58.6</v>
      </c>
      <c r="AY33" s="9"/>
      <c r="AZ33" s="12">
        <f t="shared" si="17"/>
        <v>3.8</v>
      </c>
      <c r="BA33" s="12">
        <f t="shared" si="13"/>
        <v>76.2</v>
      </c>
      <c r="BB33" s="12">
        <f t="shared" si="11"/>
        <v>33.1</v>
      </c>
      <c r="BC33" s="12">
        <f t="shared" si="11"/>
        <v>20.399999999999999</v>
      </c>
      <c r="BD33" s="12">
        <f t="shared" si="11"/>
        <v>23.200000000000003</v>
      </c>
      <c r="BE33" s="12">
        <f t="shared" si="11"/>
        <v>15.4</v>
      </c>
      <c r="BF33" s="12">
        <f t="shared" si="12"/>
        <v>22</v>
      </c>
      <c r="BG33" s="12">
        <f t="shared" si="12"/>
        <v>23.200000000000003</v>
      </c>
      <c r="BH33" s="12">
        <f t="shared" si="12"/>
        <v>47.5</v>
      </c>
      <c r="BI33" s="12">
        <f t="shared" si="12"/>
        <v>66.8</v>
      </c>
    </row>
    <row r="34" spans="1:61" ht="15.75" customHeight="1">
      <c r="A34" s="1" t="s">
        <v>173</v>
      </c>
      <c r="B34" s="3" t="s">
        <v>140</v>
      </c>
      <c r="C34" s="4" t="s">
        <v>85</v>
      </c>
      <c r="D34" s="4">
        <v>38</v>
      </c>
      <c r="E34" s="4">
        <v>1076</v>
      </c>
      <c r="F34" s="4">
        <v>38</v>
      </c>
      <c r="G34" s="4">
        <v>1076</v>
      </c>
      <c r="H34" s="4">
        <v>20.100000000000001</v>
      </c>
      <c r="I34" s="4">
        <v>0.56200000000000006</v>
      </c>
      <c r="J34" s="4">
        <v>0.52800000000000002</v>
      </c>
      <c r="K34" s="4">
        <v>9.2999999999999999E-2</v>
      </c>
      <c r="L34" s="4">
        <v>0.42099999999999999</v>
      </c>
      <c r="M34" s="4">
        <v>13.4</v>
      </c>
      <c r="N34" s="4">
        <v>20.2</v>
      </c>
      <c r="O34" s="4">
        <v>10.6</v>
      </c>
      <c r="P34" s="4">
        <v>1.2</v>
      </c>
      <c r="Q34" s="4">
        <v>1.3</v>
      </c>
      <c r="R34" s="4">
        <v>11.1</v>
      </c>
      <c r="S34" s="4">
        <v>24.3</v>
      </c>
      <c r="T34" s="4">
        <v>114</v>
      </c>
      <c r="U34" s="4">
        <v>103</v>
      </c>
      <c r="V34" s="4"/>
      <c r="W34" s="4">
        <v>2.2999999999999998</v>
      </c>
      <c r="X34" s="4">
        <v>2.2999999999999998</v>
      </c>
      <c r="Y34" s="4">
        <v>4.5999999999999996</v>
      </c>
      <c r="Z34" s="4">
        <v>0.17199999999999999</v>
      </c>
      <c r="AA34" s="13">
        <f>(I34/TOTAL_BASIC!$D$301)*100</f>
        <v>100.30322807509546</v>
      </c>
      <c r="AB34" s="5">
        <f t="shared" si="3"/>
        <v>1.1399999999999999</v>
      </c>
      <c r="AC34" s="3">
        <f t="shared" si="1"/>
        <v>11</v>
      </c>
      <c r="AD34" s="9">
        <f t="shared" si="4"/>
        <v>1.1240000000000001</v>
      </c>
      <c r="AE34" s="16">
        <f t="shared" si="5"/>
        <v>0.43621399176954728</v>
      </c>
      <c r="AF34" s="16">
        <f t="shared" si="6"/>
        <v>0.95495495495495497</v>
      </c>
      <c r="AG34" s="9"/>
      <c r="AH34" s="9"/>
      <c r="AI34" s="12">
        <f t="shared" si="7"/>
        <v>59.599999999999994</v>
      </c>
      <c r="AJ34" s="12">
        <f t="shared" si="8"/>
        <v>82.8</v>
      </c>
      <c r="AK34" s="12">
        <f t="shared" si="8"/>
        <v>86.7</v>
      </c>
      <c r="AL34" s="12">
        <f t="shared" si="8"/>
        <v>55.2</v>
      </c>
      <c r="AM34" s="12">
        <f t="shared" si="8"/>
        <v>60.699999999999996</v>
      </c>
      <c r="AN34" s="12">
        <f t="shared" si="8"/>
        <v>9.9</v>
      </c>
      <c r="AO34" s="12">
        <f t="shared" si="14"/>
        <v>80.600000000000009</v>
      </c>
      <c r="AP34" s="12">
        <f t="shared" si="14"/>
        <v>97.2</v>
      </c>
      <c r="AQ34" s="12">
        <f t="shared" si="14"/>
        <v>97.7</v>
      </c>
      <c r="AR34" s="12">
        <f t="shared" si="14"/>
        <v>30.9</v>
      </c>
      <c r="AS34" s="12">
        <f t="shared" si="15"/>
        <v>19.8</v>
      </c>
      <c r="AT34" s="12">
        <f t="shared" si="15"/>
        <v>49.7</v>
      </c>
      <c r="AU34" s="12">
        <f t="shared" si="9"/>
        <v>80.7</v>
      </c>
      <c r="AV34" s="12">
        <f t="shared" si="15"/>
        <v>80.600000000000009</v>
      </c>
      <c r="AW34" s="12">
        <f t="shared" si="16"/>
        <v>72.3</v>
      </c>
      <c r="AX34" s="12">
        <f t="shared" si="10"/>
        <v>93.4</v>
      </c>
      <c r="AY34" s="9"/>
      <c r="AZ34" s="12">
        <f t="shared" si="17"/>
        <v>85.6</v>
      </c>
      <c r="BA34" s="12">
        <f t="shared" si="13"/>
        <v>94.399999999999991</v>
      </c>
      <c r="BB34" s="12">
        <f t="shared" si="11"/>
        <v>89.5</v>
      </c>
      <c r="BC34" s="12">
        <f t="shared" si="11"/>
        <v>87.2</v>
      </c>
      <c r="BD34" s="12">
        <f t="shared" si="11"/>
        <v>55.2</v>
      </c>
      <c r="BE34" s="12">
        <f t="shared" si="11"/>
        <v>72.3</v>
      </c>
      <c r="BF34" s="12">
        <f t="shared" si="12"/>
        <v>81.699999999999989</v>
      </c>
      <c r="BG34" s="12">
        <f t="shared" si="12"/>
        <v>55.2</v>
      </c>
      <c r="BH34" s="12">
        <f t="shared" si="12"/>
        <v>12.7</v>
      </c>
      <c r="BI34" s="12">
        <f t="shared" si="12"/>
        <v>45.800000000000004</v>
      </c>
    </row>
    <row r="35" spans="1:61" ht="15.75" customHeight="1">
      <c r="A35" s="1" t="s">
        <v>198</v>
      </c>
      <c r="B35" s="3" t="s">
        <v>137</v>
      </c>
      <c r="C35" s="4" t="s">
        <v>8</v>
      </c>
      <c r="D35" s="4">
        <v>40</v>
      </c>
      <c r="E35" s="4">
        <v>1065</v>
      </c>
      <c r="F35" s="4">
        <v>40</v>
      </c>
      <c r="G35" s="4">
        <v>1065</v>
      </c>
      <c r="H35" s="4">
        <v>10.5</v>
      </c>
      <c r="I35" s="4">
        <v>0.51100000000000001</v>
      </c>
      <c r="J35" s="4">
        <v>0.48</v>
      </c>
      <c r="K35" s="4">
        <v>0.52600000000000002</v>
      </c>
      <c r="L35" s="4">
        <v>0.14399999999999999</v>
      </c>
      <c r="M35" s="4">
        <v>1</v>
      </c>
      <c r="N35" s="4">
        <v>4.3</v>
      </c>
      <c r="O35" s="4">
        <v>28.9</v>
      </c>
      <c r="P35" s="4">
        <v>1.7</v>
      </c>
      <c r="Q35" s="4">
        <v>0.3</v>
      </c>
      <c r="R35" s="4">
        <v>17.899999999999999</v>
      </c>
      <c r="S35" s="4">
        <v>17.399999999999999</v>
      </c>
      <c r="T35" s="4">
        <v>103</v>
      </c>
      <c r="U35" s="4">
        <v>116</v>
      </c>
      <c r="V35" s="4"/>
      <c r="W35" s="4">
        <v>0.3</v>
      </c>
      <c r="X35" s="4">
        <v>0.3</v>
      </c>
      <c r="Y35" s="4">
        <v>0.6</v>
      </c>
      <c r="Z35" s="4">
        <v>2.3E-2</v>
      </c>
      <c r="AA35" s="13">
        <f>(I35/TOTAL_BASIC!$D$301)*100</f>
        <v>91.200977840522739</v>
      </c>
      <c r="AB35" s="5">
        <f t="shared" si="3"/>
        <v>1.03</v>
      </c>
      <c r="AC35" s="3">
        <f t="shared" si="1"/>
        <v>-13</v>
      </c>
      <c r="AD35" s="9">
        <f t="shared" si="4"/>
        <v>1.022</v>
      </c>
      <c r="AE35" s="16">
        <f t="shared" si="5"/>
        <v>1.6609195402298851</v>
      </c>
      <c r="AF35" s="16">
        <f t="shared" si="6"/>
        <v>1.6145251396648046</v>
      </c>
      <c r="AG35" s="9"/>
      <c r="AH35" s="9"/>
      <c r="AI35" s="12">
        <f t="shared" si="7"/>
        <v>72.899999999999991</v>
      </c>
      <c r="AJ35" s="12">
        <f t="shared" si="8"/>
        <v>82.3</v>
      </c>
      <c r="AK35" s="12">
        <f t="shared" si="8"/>
        <v>31.4</v>
      </c>
      <c r="AL35" s="12">
        <f t="shared" si="8"/>
        <v>28.1</v>
      </c>
      <c r="AM35" s="12">
        <f t="shared" si="8"/>
        <v>35.9</v>
      </c>
      <c r="AN35" s="12">
        <f t="shared" si="8"/>
        <v>76.2</v>
      </c>
      <c r="AO35" s="12">
        <f t="shared" si="14"/>
        <v>13.8</v>
      </c>
      <c r="AP35" s="12">
        <f t="shared" si="14"/>
        <v>6</v>
      </c>
      <c r="AQ35" s="12">
        <f t="shared" si="14"/>
        <v>6.6000000000000005</v>
      </c>
      <c r="AR35" s="12">
        <f t="shared" si="14"/>
        <v>90.600000000000009</v>
      </c>
      <c r="AS35" s="12">
        <f t="shared" si="15"/>
        <v>44.1</v>
      </c>
      <c r="AT35" s="12">
        <f t="shared" si="15"/>
        <v>10.4</v>
      </c>
      <c r="AU35" s="12">
        <f t="shared" si="9"/>
        <v>26.599999999999994</v>
      </c>
      <c r="AV35" s="12">
        <f t="shared" si="15"/>
        <v>41.4</v>
      </c>
      <c r="AW35" s="12">
        <f t="shared" si="16"/>
        <v>33.700000000000003</v>
      </c>
      <c r="AX35" s="12">
        <f t="shared" si="10"/>
        <v>14.400000000000006</v>
      </c>
      <c r="AY35" s="9"/>
      <c r="AZ35" s="12">
        <f t="shared" si="17"/>
        <v>43</v>
      </c>
      <c r="BA35" s="12">
        <f t="shared" si="13"/>
        <v>28.1</v>
      </c>
      <c r="BB35" s="12">
        <f t="shared" si="11"/>
        <v>33.1</v>
      </c>
      <c r="BC35" s="12">
        <f t="shared" si="11"/>
        <v>21.5</v>
      </c>
      <c r="BD35" s="12">
        <f t="shared" si="11"/>
        <v>28.1</v>
      </c>
      <c r="BE35" s="12">
        <f t="shared" si="11"/>
        <v>33.700000000000003</v>
      </c>
      <c r="BF35" s="12">
        <f t="shared" si="12"/>
        <v>22</v>
      </c>
      <c r="BG35" s="12">
        <f t="shared" si="12"/>
        <v>28.1</v>
      </c>
      <c r="BH35" s="12">
        <f t="shared" si="12"/>
        <v>96.1</v>
      </c>
      <c r="BI35" s="12">
        <f t="shared" si="12"/>
        <v>83.899999999999991</v>
      </c>
    </row>
    <row r="36" spans="1:61" ht="15.75" customHeight="1">
      <c r="A36" s="1" t="s">
        <v>177</v>
      </c>
      <c r="B36" s="3" t="s">
        <v>131</v>
      </c>
      <c r="C36" s="4" t="s">
        <v>88</v>
      </c>
      <c r="D36" s="4">
        <v>40</v>
      </c>
      <c r="E36" s="4">
        <v>1063</v>
      </c>
      <c r="F36" s="4">
        <v>40</v>
      </c>
      <c r="G36" s="4">
        <v>1063</v>
      </c>
      <c r="H36" s="4">
        <v>22.3</v>
      </c>
      <c r="I36" s="4">
        <v>0.59599999999999997</v>
      </c>
      <c r="J36" s="4">
        <v>0.54500000000000004</v>
      </c>
      <c r="K36" s="4">
        <v>0</v>
      </c>
      <c r="L36" s="4">
        <v>0.45300000000000001</v>
      </c>
      <c r="M36" s="4">
        <v>11.9</v>
      </c>
      <c r="N36" s="4">
        <v>18.8</v>
      </c>
      <c r="O36" s="4">
        <v>16.7</v>
      </c>
      <c r="P36" s="4">
        <v>1.1000000000000001</v>
      </c>
      <c r="Q36" s="4">
        <v>4.8</v>
      </c>
      <c r="R36" s="4">
        <v>12.4</v>
      </c>
      <c r="S36" s="4">
        <v>23</v>
      </c>
      <c r="T36" s="4">
        <v>117</v>
      </c>
      <c r="U36" s="4">
        <v>106</v>
      </c>
      <c r="V36" s="4"/>
      <c r="W36" s="4">
        <v>2.9</v>
      </c>
      <c r="X36" s="4">
        <v>1.7</v>
      </c>
      <c r="Y36" s="4">
        <v>4.5999999999999996</v>
      </c>
      <c r="Z36" s="4">
        <v>0.17499999999999999</v>
      </c>
      <c r="AA36" s="13">
        <f>(I36/TOTAL_BASIC!$D$301)*100</f>
        <v>106.37139489814393</v>
      </c>
      <c r="AB36" s="5">
        <f t="shared" si="3"/>
        <v>1.17</v>
      </c>
      <c r="AC36" s="3">
        <f t="shared" si="1"/>
        <v>11</v>
      </c>
      <c r="AD36" s="9">
        <f t="shared" si="4"/>
        <v>1.1919999999999999</v>
      </c>
      <c r="AE36" s="16">
        <f t="shared" si="5"/>
        <v>0.72608695652173905</v>
      </c>
      <c r="AF36" s="16">
        <f t="shared" si="6"/>
        <v>1.346774193548387</v>
      </c>
      <c r="AG36" s="9"/>
      <c r="AH36" s="9"/>
      <c r="AI36" s="12">
        <f t="shared" si="7"/>
        <v>72.899999999999991</v>
      </c>
      <c r="AJ36" s="12">
        <f t="shared" si="8"/>
        <v>81.699999999999989</v>
      </c>
      <c r="AK36" s="12">
        <f t="shared" si="8"/>
        <v>93.899999999999991</v>
      </c>
      <c r="AL36" s="12">
        <f t="shared" si="8"/>
        <v>74</v>
      </c>
      <c r="AM36" s="12">
        <f t="shared" si="8"/>
        <v>68.5</v>
      </c>
      <c r="AN36" s="12">
        <f t="shared" si="8"/>
        <v>0</v>
      </c>
      <c r="AO36" s="12">
        <f t="shared" si="14"/>
        <v>86.1</v>
      </c>
      <c r="AP36" s="12">
        <f t="shared" si="14"/>
        <v>94.399999999999991</v>
      </c>
      <c r="AQ36" s="12">
        <f t="shared" si="14"/>
        <v>95</v>
      </c>
      <c r="AR36" s="12">
        <f t="shared" si="14"/>
        <v>64.600000000000009</v>
      </c>
      <c r="AS36" s="12">
        <f t="shared" si="15"/>
        <v>16.5</v>
      </c>
      <c r="AT36" s="12">
        <f t="shared" si="15"/>
        <v>92.800000000000011</v>
      </c>
      <c r="AU36" s="12">
        <f t="shared" si="9"/>
        <v>70.2</v>
      </c>
      <c r="AV36" s="12">
        <f t="shared" si="15"/>
        <v>75.599999999999994</v>
      </c>
      <c r="AW36" s="12">
        <f t="shared" si="16"/>
        <v>78.400000000000006</v>
      </c>
      <c r="AX36" s="12">
        <f t="shared" si="10"/>
        <v>82.9</v>
      </c>
      <c r="AY36" s="9"/>
      <c r="AZ36" s="12">
        <f t="shared" si="17"/>
        <v>88.9</v>
      </c>
      <c r="BA36" s="12">
        <f t="shared" si="13"/>
        <v>86.7</v>
      </c>
      <c r="BB36" s="12">
        <f t="shared" si="11"/>
        <v>89.5</v>
      </c>
      <c r="BC36" s="12">
        <f t="shared" si="11"/>
        <v>87.8</v>
      </c>
      <c r="BD36" s="12">
        <f t="shared" si="11"/>
        <v>74</v>
      </c>
      <c r="BE36" s="12">
        <f t="shared" si="11"/>
        <v>78.400000000000006</v>
      </c>
      <c r="BF36" s="12">
        <f t="shared" si="12"/>
        <v>81.699999999999989</v>
      </c>
      <c r="BG36" s="12">
        <f t="shared" si="12"/>
        <v>74</v>
      </c>
      <c r="BH36" s="12">
        <f t="shared" si="12"/>
        <v>52.400000000000006</v>
      </c>
      <c r="BI36" s="12">
        <f t="shared" si="12"/>
        <v>72.899999999999991</v>
      </c>
    </row>
    <row r="37" spans="1:61" ht="15.75" customHeight="1">
      <c r="A37" s="1" t="s">
        <v>185</v>
      </c>
      <c r="B37" s="3" t="s">
        <v>137</v>
      </c>
      <c r="C37" s="4" t="s">
        <v>8</v>
      </c>
      <c r="D37" s="4">
        <v>39</v>
      </c>
      <c r="E37" s="4">
        <v>1056</v>
      </c>
      <c r="F37" s="4">
        <v>39</v>
      </c>
      <c r="G37" s="4">
        <v>1056</v>
      </c>
      <c r="H37" s="4">
        <v>10.199999999999999</v>
      </c>
      <c r="I37" s="4">
        <v>0.49</v>
      </c>
      <c r="J37" s="4">
        <v>0.44500000000000001</v>
      </c>
      <c r="K37" s="4">
        <v>0.52100000000000002</v>
      </c>
      <c r="L37" s="4">
        <v>0.18099999999999999</v>
      </c>
      <c r="M37" s="4">
        <v>3</v>
      </c>
      <c r="N37" s="4">
        <v>6.4</v>
      </c>
      <c r="O37" s="4">
        <v>15.6</v>
      </c>
      <c r="P37" s="4">
        <v>3</v>
      </c>
      <c r="Q37" s="4">
        <v>1.3</v>
      </c>
      <c r="R37" s="4">
        <v>14.8</v>
      </c>
      <c r="S37" s="4">
        <v>16.3</v>
      </c>
      <c r="T37" s="4">
        <v>99</v>
      </c>
      <c r="U37" s="4">
        <v>112</v>
      </c>
      <c r="V37" s="4"/>
      <c r="W37" s="4">
        <v>-0.2</v>
      </c>
      <c r="X37" s="4">
        <v>0.9</v>
      </c>
      <c r="Y37" s="4">
        <v>0.7</v>
      </c>
      <c r="Z37" s="4">
        <v>2.7E-2</v>
      </c>
      <c r="AA37" s="13">
        <f>(I37/TOTAL_BASIC!$D$301)*100</f>
        <v>87.452992449816307</v>
      </c>
      <c r="AB37" s="5">
        <f t="shared" si="3"/>
        <v>0.99</v>
      </c>
      <c r="AC37" s="3">
        <f t="shared" si="1"/>
        <v>-13</v>
      </c>
      <c r="AD37" s="9">
        <f t="shared" si="4"/>
        <v>0.98</v>
      </c>
      <c r="AE37" s="16">
        <f t="shared" si="5"/>
        <v>0.9570552147239263</v>
      </c>
      <c r="AF37" s="16">
        <f t="shared" si="6"/>
        <v>1.0540540540540539</v>
      </c>
      <c r="AG37" s="9"/>
      <c r="AH37" s="9"/>
      <c r="AI37" s="12">
        <f t="shared" si="7"/>
        <v>64.600000000000009</v>
      </c>
      <c r="AJ37" s="12">
        <f t="shared" si="8"/>
        <v>81.2</v>
      </c>
      <c r="AK37" s="12">
        <f t="shared" si="8"/>
        <v>28.1</v>
      </c>
      <c r="AL37" s="12">
        <f t="shared" si="8"/>
        <v>17.100000000000001</v>
      </c>
      <c r="AM37" s="12">
        <f t="shared" si="8"/>
        <v>15.4</v>
      </c>
      <c r="AN37" s="12">
        <f t="shared" si="8"/>
        <v>75.099999999999994</v>
      </c>
      <c r="AO37" s="12">
        <f t="shared" si="14"/>
        <v>21.5</v>
      </c>
      <c r="AP37" s="12">
        <f t="shared" si="14"/>
        <v>33.700000000000003</v>
      </c>
      <c r="AQ37" s="12">
        <f t="shared" si="14"/>
        <v>25.900000000000002</v>
      </c>
      <c r="AR37" s="12">
        <f t="shared" si="14"/>
        <v>60.199999999999996</v>
      </c>
      <c r="AS37" s="12">
        <f t="shared" si="15"/>
        <v>94.399999999999991</v>
      </c>
      <c r="AT37" s="12">
        <f t="shared" si="15"/>
        <v>49.7</v>
      </c>
      <c r="AU37" s="12">
        <f t="shared" si="9"/>
        <v>49.8</v>
      </c>
      <c r="AV37" s="12">
        <f t="shared" si="15"/>
        <v>26.5</v>
      </c>
      <c r="AW37" s="12">
        <f t="shared" si="16"/>
        <v>22.6</v>
      </c>
      <c r="AX37" s="12">
        <f t="shared" si="10"/>
        <v>38.700000000000003</v>
      </c>
      <c r="AY37" s="9"/>
      <c r="AZ37" s="12">
        <f t="shared" si="17"/>
        <v>13.8</v>
      </c>
      <c r="BA37" s="12">
        <f t="shared" si="13"/>
        <v>62.9</v>
      </c>
      <c r="BB37" s="12">
        <f t="shared" si="11"/>
        <v>38.1</v>
      </c>
      <c r="BC37" s="12">
        <f t="shared" si="11"/>
        <v>23.7</v>
      </c>
      <c r="BD37" s="12">
        <f t="shared" si="11"/>
        <v>17.100000000000001</v>
      </c>
      <c r="BE37" s="12">
        <f t="shared" si="11"/>
        <v>22.6</v>
      </c>
      <c r="BF37" s="12">
        <f t="shared" si="12"/>
        <v>22</v>
      </c>
      <c r="BG37" s="12">
        <f t="shared" si="12"/>
        <v>17.100000000000001</v>
      </c>
      <c r="BH37" s="12">
        <f t="shared" si="12"/>
        <v>68.5</v>
      </c>
      <c r="BI37" s="12">
        <f t="shared" si="12"/>
        <v>57.999999999999993</v>
      </c>
    </row>
    <row r="38" spans="1:61" ht="15.75" customHeight="1">
      <c r="A38" s="1" t="s">
        <v>111</v>
      </c>
      <c r="B38" s="3" t="s">
        <v>240</v>
      </c>
      <c r="C38" s="4" t="s">
        <v>112</v>
      </c>
      <c r="D38" s="4">
        <v>39</v>
      </c>
      <c r="E38" s="4">
        <v>1049</v>
      </c>
      <c r="F38" s="4">
        <v>39</v>
      </c>
      <c r="G38" s="4">
        <v>1049</v>
      </c>
      <c r="H38" s="4">
        <v>14.9</v>
      </c>
      <c r="I38" s="4">
        <v>0.52300000000000002</v>
      </c>
      <c r="J38" s="4">
        <v>0.46300000000000002</v>
      </c>
      <c r="K38" s="4">
        <v>0.50900000000000001</v>
      </c>
      <c r="L38" s="4">
        <v>0.311</v>
      </c>
      <c r="M38" s="4">
        <v>3.8</v>
      </c>
      <c r="N38" s="4">
        <v>13.7</v>
      </c>
      <c r="O38" s="4">
        <v>9.5</v>
      </c>
      <c r="P38" s="4">
        <v>2.1</v>
      </c>
      <c r="Q38" s="4">
        <v>2.7</v>
      </c>
      <c r="R38" s="4">
        <v>7.5</v>
      </c>
      <c r="S38" s="4">
        <v>17.899999999999999</v>
      </c>
      <c r="T38" s="4">
        <v>107</v>
      </c>
      <c r="U38" s="4">
        <v>107</v>
      </c>
      <c r="V38" s="4"/>
      <c r="W38" s="4">
        <v>0.9</v>
      </c>
      <c r="X38" s="4">
        <v>1.6</v>
      </c>
      <c r="Y38" s="4">
        <v>2.4</v>
      </c>
      <c r="Z38" s="4">
        <v>9.2999999999999999E-2</v>
      </c>
      <c r="AA38" s="13">
        <f>(I38/TOTAL_BASIC!$D$301)*100</f>
        <v>93.342683778069258</v>
      </c>
      <c r="AB38" s="5">
        <f t="shared" si="3"/>
        <v>1.07</v>
      </c>
      <c r="AC38" s="3">
        <f t="shared" si="1"/>
        <v>0</v>
      </c>
      <c r="AD38" s="9">
        <f t="shared" si="4"/>
        <v>1.046</v>
      </c>
      <c r="AE38" s="16">
        <f t="shared" si="5"/>
        <v>0.53072625698324027</v>
      </c>
      <c r="AF38" s="16">
        <f t="shared" si="6"/>
        <v>1.2666666666666666</v>
      </c>
      <c r="AG38" s="9"/>
      <c r="AH38" s="9"/>
      <c r="AI38" s="12">
        <f t="shared" si="7"/>
        <v>64.600000000000009</v>
      </c>
      <c r="AJ38" s="12">
        <f t="shared" si="8"/>
        <v>80.600000000000009</v>
      </c>
      <c r="AK38" s="12">
        <f t="shared" si="8"/>
        <v>61.8</v>
      </c>
      <c r="AL38" s="12">
        <f t="shared" si="8"/>
        <v>34.799999999999997</v>
      </c>
      <c r="AM38" s="12">
        <f t="shared" si="8"/>
        <v>24.3</v>
      </c>
      <c r="AN38" s="12">
        <f t="shared" si="8"/>
        <v>71.8</v>
      </c>
      <c r="AO38" s="12">
        <f t="shared" si="14"/>
        <v>56.899999999999991</v>
      </c>
      <c r="AP38" s="12">
        <f t="shared" si="14"/>
        <v>42.5</v>
      </c>
      <c r="AQ38" s="12">
        <f t="shared" si="14"/>
        <v>78.400000000000006</v>
      </c>
      <c r="AR38" s="12">
        <f t="shared" si="14"/>
        <v>25.4</v>
      </c>
      <c r="AS38" s="12">
        <f t="shared" si="15"/>
        <v>70.7</v>
      </c>
      <c r="AT38" s="12">
        <f t="shared" si="15"/>
        <v>77.900000000000006</v>
      </c>
      <c r="AU38" s="12">
        <f t="shared" si="9"/>
        <v>96.2</v>
      </c>
      <c r="AV38" s="12">
        <f t="shared" si="15"/>
        <v>45.800000000000004</v>
      </c>
      <c r="AW38" s="12">
        <f t="shared" si="16"/>
        <v>50.2</v>
      </c>
      <c r="AX38" s="12">
        <f t="shared" si="10"/>
        <v>77.400000000000006</v>
      </c>
      <c r="AY38" s="9"/>
      <c r="AZ38" s="12">
        <f t="shared" si="17"/>
        <v>66.8</v>
      </c>
      <c r="BA38" s="12">
        <f t="shared" si="13"/>
        <v>84.5</v>
      </c>
      <c r="BB38" s="12">
        <f t="shared" si="11"/>
        <v>74.5</v>
      </c>
      <c r="BC38" s="12">
        <f t="shared" si="11"/>
        <v>61.8</v>
      </c>
      <c r="BD38" s="12">
        <f t="shared" si="11"/>
        <v>34.799999999999997</v>
      </c>
      <c r="BE38" s="12">
        <f t="shared" si="11"/>
        <v>50.2</v>
      </c>
      <c r="BF38" s="12">
        <f t="shared" si="12"/>
        <v>61.3</v>
      </c>
      <c r="BG38" s="12">
        <f t="shared" si="12"/>
        <v>34.799999999999997</v>
      </c>
      <c r="BH38" s="12">
        <f t="shared" si="12"/>
        <v>23.7</v>
      </c>
      <c r="BI38" s="12">
        <f t="shared" si="12"/>
        <v>71.2</v>
      </c>
    </row>
    <row r="39" spans="1:61" ht="15.75" customHeight="1">
      <c r="A39" s="1" t="s">
        <v>148</v>
      </c>
      <c r="B39" s="3" t="s">
        <v>232</v>
      </c>
      <c r="C39" s="4" t="s">
        <v>85</v>
      </c>
      <c r="D39" s="4">
        <v>42</v>
      </c>
      <c r="E39" s="4">
        <v>1030</v>
      </c>
      <c r="F39" s="4">
        <v>42</v>
      </c>
      <c r="G39" s="4">
        <v>1030</v>
      </c>
      <c r="H39" s="4">
        <v>16.899999999999999</v>
      </c>
      <c r="I39" s="4">
        <v>0.56999999999999995</v>
      </c>
      <c r="J39" s="4">
        <v>0.55100000000000005</v>
      </c>
      <c r="K39" s="4">
        <v>0.42299999999999999</v>
      </c>
      <c r="L39" s="4">
        <v>0.19800000000000001</v>
      </c>
      <c r="M39" s="4">
        <v>6.4</v>
      </c>
      <c r="N39" s="4">
        <v>14.5</v>
      </c>
      <c r="O39" s="4">
        <v>14.6</v>
      </c>
      <c r="P39" s="4">
        <v>3</v>
      </c>
      <c r="Q39" s="4">
        <v>5.8</v>
      </c>
      <c r="R39" s="4">
        <v>17.7</v>
      </c>
      <c r="S39" s="4">
        <v>19.7</v>
      </c>
      <c r="T39" s="4">
        <v>105</v>
      </c>
      <c r="U39" s="4">
        <v>108</v>
      </c>
      <c r="V39" s="4"/>
      <c r="W39" s="4">
        <v>0.6</v>
      </c>
      <c r="X39" s="4">
        <v>1.5</v>
      </c>
      <c r="Y39" s="4">
        <v>2.1</v>
      </c>
      <c r="Z39" s="4">
        <v>8.2000000000000003E-2</v>
      </c>
      <c r="AA39" s="13">
        <f>(I39/TOTAL_BASIC!$D$301)*100</f>
        <v>101.73103203345978</v>
      </c>
      <c r="AB39" s="5">
        <f t="shared" si="3"/>
        <v>1.05</v>
      </c>
      <c r="AC39" s="3">
        <f t="shared" si="1"/>
        <v>-3</v>
      </c>
      <c r="AD39" s="9">
        <f t="shared" si="4"/>
        <v>1.1399999999999999</v>
      </c>
      <c r="AE39" s="16">
        <f t="shared" si="5"/>
        <v>0.74111675126903553</v>
      </c>
      <c r="AF39" s="16">
        <f t="shared" si="6"/>
        <v>0.82485875706214695</v>
      </c>
      <c r="AG39" s="9"/>
      <c r="AH39" s="9"/>
      <c r="AI39" s="12">
        <f t="shared" si="7"/>
        <v>100</v>
      </c>
      <c r="AJ39" s="12">
        <f t="shared" si="8"/>
        <v>80.100000000000009</v>
      </c>
      <c r="AK39" s="12">
        <f t="shared" si="8"/>
        <v>72.3</v>
      </c>
      <c r="AL39" s="12">
        <f t="shared" si="8"/>
        <v>62.4</v>
      </c>
      <c r="AM39" s="12">
        <f t="shared" si="8"/>
        <v>73.400000000000006</v>
      </c>
      <c r="AN39" s="12">
        <f t="shared" si="8"/>
        <v>55.2</v>
      </c>
      <c r="AO39" s="12">
        <f t="shared" si="14"/>
        <v>24.8</v>
      </c>
      <c r="AP39" s="12">
        <f t="shared" si="14"/>
        <v>68.5</v>
      </c>
      <c r="AQ39" s="12">
        <f t="shared" si="14"/>
        <v>81.699999999999989</v>
      </c>
      <c r="AR39" s="12">
        <f t="shared" si="14"/>
        <v>55.800000000000004</v>
      </c>
      <c r="AS39" s="12">
        <f t="shared" si="15"/>
        <v>94.399999999999991</v>
      </c>
      <c r="AT39" s="12">
        <f t="shared" si="15"/>
        <v>96.6</v>
      </c>
      <c r="AU39" s="12">
        <f t="shared" si="9"/>
        <v>28.200000000000003</v>
      </c>
      <c r="AV39" s="12">
        <f t="shared" si="15"/>
        <v>59.099999999999994</v>
      </c>
      <c r="AW39" s="12">
        <f t="shared" si="16"/>
        <v>41.4</v>
      </c>
      <c r="AX39" s="12">
        <f t="shared" si="10"/>
        <v>71.3</v>
      </c>
      <c r="AY39" s="9"/>
      <c r="AZ39" s="12">
        <f t="shared" si="17"/>
        <v>56.3</v>
      </c>
      <c r="BA39" s="12">
        <f t="shared" si="13"/>
        <v>81.2</v>
      </c>
      <c r="BB39" s="12">
        <f t="shared" si="11"/>
        <v>70.099999999999994</v>
      </c>
      <c r="BC39" s="12">
        <f t="shared" si="11"/>
        <v>55.800000000000004</v>
      </c>
      <c r="BD39" s="12">
        <f t="shared" si="11"/>
        <v>62.4</v>
      </c>
      <c r="BE39" s="12">
        <f t="shared" si="11"/>
        <v>41.4</v>
      </c>
      <c r="BF39" s="12">
        <f t="shared" si="12"/>
        <v>50.8</v>
      </c>
      <c r="BG39" s="12">
        <f t="shared" si="12"/>
        <v>62.4</v>
      </c>
      <c r="BH39" s="12">
        <f t="shared" si="12"/>
        <v>54.6</v>
      </c>
      <c r="BI39" s="12">
        <f t="shared" si="12"/>
        <v>34.799999999999997</v>
      </c>
    </row>
    <row r="40" spans="1:61" ht="15.75" customHeight="1">
      <c r="A40" s="1" t="s">
        <v>219</v>
      </c>
      <c r="B40" s="3" t="s">
        <v>161</v>
      </c>
      <c r="C40" s="4" t="s">
        <v>85</v>
      </c>
      <c r="D40" s="4">
        <v>41</v>
      </c>
      <c r="E40" s="4">
        <v>1028</v>
      </c>
      <c r="F40" s="4">
        <v>41</v>
      </c>
      <c r="G40" s="4">
        <v>1028</v>
      </c>
      <c r="H40" s="4">
        <v>12.8</v>
      </c>
      <c r="I40" s="4">
        <v>0.57899999999999996</v>
      </c>
      <c r="J40" s="4">
        <v>0.53200000000000003</v>
      </c>
      <c r="K40" s="4">
        <v>0.39600000000000002</v>
      </c>
      <c r="L40" s="4">
        <v>0.32800000000000001</v>
      </c>
      <c r="M40" s="4">
        <v>5.4</v>
      </c>
      <c r="N40" s="4">
        <v>10.199999999999999</v>
      </c>
      <c r="O40" s="4">
        <v>11.5</v>
      </c>
      <c r="P40" s="4">
        <v>2.4</v>
      </c>
      <c r="Q40" s="4">
        <v>0.9</v>
      </c>
      <c r="R40" s="4">
        <v>18.399999999999999</v>
      </c>
      <c r="S40" s="4">
        <v>19.600000000000001</v>
      </c>
      <c r="T40" s="4">
        <v>104</v>
      </c>
      <c r="U40" s="4">
        <v>117</v>
      </c>
      <c r="V40" s="4"/>
      <c r="W40" s="4">
        <v>0.5</v>
      </c>
      <c r="X40" s="4">
        <v>0.2</v>
      </c>
      <c r="Y40" s="4">
        <v>0.7</v>
      </c>
      <c r="Z40" s="4">
        <v>2.7E-2</v>
      </c>
      <c r="AA40" s="13">
        <f>(I40/TOTAL_BASIC!$D$301)*100</f>
        <v>103.33731148661968</v>
      </c>
      <c r="AB40" s="5">
        <f t="shared" si="3"/>
        <v>1.04</v>
      </c>
      <c r="AC40" s="3">
        <f t="shared" si="1"/>
        <v>-13</v>
      </c>
      <c r="AD40" s="9">
        <f t="shared" si="4"/>
        <v>1.1579999999999999</v>
      </c>
      <c r="AE40" s="16">
        <f t="shared" si="5"/>
        <v>0.58673469387755095</v>
      </c>
      <c r="AF40" s="16">
        <f t="shared" si="6"/>
        <v>0.625</v>
      </c>
      <c r="AG40" s="9"/>
      <c r="AH40" s="9"/>
      <c r="AI40" s="12">
        <f t="shared" si="7"/>
        <v>85.6</v>
      </c>
      <c r="AJ40" s="12">
        <f t="shared" si="8"/>
        <v>79.5</v>
      </c>
      <c r="AK40" s="12">
        <f t="shared" si="8"/>
        <v>49.7</v>
      </c>
      <c r="AL40" s="12">
        <f t="shared" si="8"/>
        <v>65.7</v>
      </c>
      <c r="AM40" s="12">
        <f t="shared" si="8"/>
        <v>64</v>
      </c>
      <c r="AN40" s="12">
        <f t="shared" si="8"/>
        <v>46.400000000000006</v>
      </c>
      <c r="AO40" s="12">
        <f t="shared" si="14"/>
        <v>62.4</v>
      </c>
      <c r="AP40" s="12">
        <f t="shared" si="14"/>
        <v>60.199999999999996</v>
      </c>
      <c r="AQ40" s="12">
        <f t="shared" si="14"/>
        <v>61.3</v>
      </c>
      <c r="AR40" s="12">
        <f t="shared" si="14"/>
        <v>35.299999999999997</v>
      </c>
      <c r="AS40" s="12">
        <f t="shared" si="15"/>
        <v>81.2</v>
      </c>
      <c r="AT40" s="12">
        <f t="shared" si="15"/>
        <v>35.9</v>
      </c>
      <c r="AU40" s="12">
        <f t="shared" si="9"/>
        <v>22.700000000000003</v>
      </c>
      <c r="AV40" s="12">
        <f t="shared" si="15"/>
        <v>58.5</v>
      </c>
      <c r="AW40" s="12">
        <f t="shared" si="16"/>
        <v>38.6</v>
      </c>
      <c r="AX40" s="12">
        <f t="shared" si="10"/>
        <v>8.8999999999999915</v>
      </c>
      <c r="AY40" s="9"/>
      <c r="AZ40" s="12">
        <f t="shared" si="17"/>
        <v>52.400000000000006</v>
      </c>
      <c r="BA40" s="12">
        <f t="shared" si="13"/>
        <v>17.599999999999998</v>
      </c>
      <c r="BB40" s="12">
        <f t="shared" si="11"/>
        <v>38.1</v>
      </c>
      <c r="BC40" s="12">
        <f t="shared" si="11"/>
        <v>23.7</v>
      </c>
      <c r="BD40" s="12">
        <f t="shared" si="11"/>
        <v>65.7</v>
      </c>
      <c r="BE40" s="12">
        <f t="shared" si="11"/>
        <v>38.6</v>
      </c>
      <c r="BF40" s="12">
        <f t="shared" si="12"/>
        <v>22</v>
      </c>
      <c r="BG40" s="12">
        <f t="shared" si="12"/>
        <v>65.7</v>
      </c>
      <c r="BH40" s="12">
        <f t="shared" si="12"/>
        <v>32</v>
      </c>
      <c r="BI40" s="12">
        <f t="shared" si="12"/>
        <v>20.9</v>
      </c>
    </row>
    <row r="41" spans="1:61" ht="15.75" customHeight="1">
      <c r="A41" s="1" t="s">
        <v>182</v>
      </c>
      <c r="B41" s="3" t="s">
        <v>157</v>
      </c>
      <c r="C41" s="4" t="s">
        <v>183</v>
      </c>
      <c r="D41" s="4">
        <v>37</v>
      </c>
      <c r="E41" s="4">
        <v>1021</v>
      </c>
      <c r="F41" s="4">
        <v>37</v>
      </c>
      <c r="G41" s="4">
        <v>1021</v>
      </c>
      <c r="H41" s="4">
        <v>24.4</v>
      </c>
      <c r="I41" s="4">
        <v>0.61499999999999999</v>
      </c>
      <c r="J41" s="4">
        <v>0.57399999999999995</v>
      </c>
      <c r="K41" s="4">
        <v>0.224</v>
      </c>
      <c r="L41" s="4">
        <v>0.28499999999999998</v>
      </c>
      <c r="M41" s="4">
        <v>8.3000000000000007</v>
      </c>
      <c r="N41" s="4">
        <v>18.5</v>
      </c>
      <c r="O41" s="4">
        <v>17.7</v>
      </c>
      <c r="P41" s="4">
        <v>2.7</v>
      </c>
      <c r="Q41" s="4">
        <v>4</v>
      </c>
      <c r="R41" s="4">
        <v>14.8</v>
      </c>
      <c r="S41" s="4">
        <v>25.3</v>
      </c>
      <c r="T41" s="4">
        <v>117</v>
      </c>
      <c r="U41" s="4">
        <v>104</v>
      </c>
      <c r="V41" s="4"/>
      <c r="W41" s="4">
        <v>3</v>
      </c>
      <c r="X41" s="4">
        <v>2.1</v>
      </c>
      <c r="Y41" s="4">
        <v>5.0999999999999996</v>
      </c>
      <c r="Z41" s="4">
        <v>0.20100000000000001</v>
      </c>
      <c r="AA41" s="13">
        <f>(I41/TOTAL_BASIC!$D$301)*100</f>
        <v>109.76242929925925</v>
      </c>
      <c r="AB41" s="5">
        <f t="shared" si="3"/>
        <v>1.17</v>
      </c>
      <c r="AC41" s="3">
        <f t="shared" si="1"/>
        <v>13</v>
      </c>
      <c r="AD41" s="9">
        <f t="shared" si="4"/>
        <v>1.23</v>
      </c>
      <c r="AE41" s="16">
        <f t="shared" si="5"/>
        <v>0.69960474308300391</v>
      </c>
      <c r="AF41" s="16">
        <f t="shared" si="6"/>
        <v>1.1959459459459458</v>
      </c>
      <c r="AG41" s="9"/>
      <c r="AH41" s="9"/>
      <c r="AI41" s="12">
        <f t="shared" si="7"/>
        <v>51.300000000000004</v>
      </c>
      <c r="AJ41" s="12">
        <f t="shared" si="8"/>
        <v>79</v>
      </c>
      <c r="AK41" s="12">
        <f t="shared" si="8"/>
        <v>98.8</v>
      </c>
      <c r="AL41" s="12">
        <f t="shared" si="8"/>
        <v>85.6</v>
      </c>
      <c r="AM41" s="12">
        <f t="shared" si="8"/>
        <v>83.899999999999991</v>
      </c>
      <c r="AN41" s="12">
        <f t="shared" si="8"/>
        <v>18.2</v>
      </c>
      <c r="AO41" s="12">
        <f t="shared" si="14"/>
        <v>50.8</v>
      </c>
      <c r="AP41" s="12">
        <f t="shared" si="14"/>
        <v>79.5</v>
      </c>
      <c r="AQ41" s="12">
        <f t="shared" si="14"/>
        <v>93.899999999999991</v>
      </c>
      <c r="AR41" s="12">
        <f t="shared" si="14"/>
        <v>69</v>
      </c>
      <c r="AS41" s="12">
        <f t="shared" si="15"/>
        <v>91.100000000000009</v>
      </c>
      <c r="AT41" s="12">
        <f t="shared" si="15"/>
        <v>88.3</v>
      </c>
      <c r="AU41" s="12">
        <f t="shared" si="9"/>
        <v>49.8</v>
      </c>
      <c r="AV41" s="12">
        <f t="shared" si="15"/>
        <v>85.6</v>
      </c>
      <c r="AW41" s="12">
        <f t="shared" si="16"/>
        <v>78.400000000000006</v>
      </c>
      <c r="AX41" s="12">
        <f t="shared" si="10"/>
        <v>88.4</v>
      </c>
      <c r="AY41" s="9"/>
      <c r="AZ41" s="12">
        <f t="shared" si="17"/>
        <v>90.600000000000009</v>
      </c>
      <c r="BA41" s="12">
        <f t="shared" si="13"/>
        <v>92.800000000000011</v>
      </c>
      <c r="BB41" s="12">
        <f t="shared" si="11"/>
        <v>92.2</v>
      </c>
      <c r="BC41" s="12">
        <f t="shared" si="11"/>
        <v>95</v>
      </c>
      <c r="BD41" s="12">
        <f t="shared" si="11"/>
        <v>85.6</v>
      </c>
      <c r="BE41" s="12">
        <f t="shared" si="11"/>
        <v>78.400000000000006</v>
      </c>
      <c r="BF41" s="12">
        <f t="shared" si="12"/>
        <v>86.7</v>
      </c>
      <c r="BG41" s="12">
        <f t="shared" si="12"/>
        <v>85.6</v>
      </c>
      <c r="BH41" s="12">
        <f t="shared" si="12"/>
        <v>49.1</v>
      </c>
      <c r="BI41" s="12">
        <f t="shared" si="12"/>
        <v>65.7</v>
      </c>
    </row>
    <row r="42" spans="1:61" ht="15.75" customHeight="1">
      <c r="A42" s="1" t="s">
        <v>125</v>
      </c>
      <c r="B42" s="3" t="s">
        <v>117</v>
      </c>
      <c r="C42" s="4" t="s">
        <v>8</v>
      </c>
      <c r="D42" s="4">
        <v>39</v>
      </c>
      <c r="E42" s="4">
        <v>1020</v>
      </c>
      <c r="F42" s="4">
        <v>39</v>
      </c>
      <c r="G42" s="4">
        <v>1020</v>
      </c>
      <c r="H42" s="4">
        <v>8.3000000000000007</v>
      </c>
      <c r="I42" s="4">
        <v>0.502</v>
      </c>
      <c r="J42" s="4">
        <v>0.46899999999999997</v>
      </c>
      <c r="K42" s="4">
        <v>0.71499999999999997</v>
      </c>
      <c r="L42" s="4">
        <v>0.17699999999999999</v>
      </c>
      <c r="M42" s="4">
        <v>2.2999999999999998</v>
      </c>
      <c r="N42" s="4">
        <v>5.3</v>
      </c>
      <c r="O42" s="4">
        <v>7.7</v>
      </c>
      <c r="P42" s="4">
        <v>2.1</v>
      </c>
      <c r="Q42" s="4">
        <v>0.4</v>
      </c>
      <c r="R42" s="4">
        <v>10.8</v>
      </c>
      <c r="S42" s="4">
        <v>14.8</v>
      </c>
      <c r="T42" s="4">
        <v>101</v>
      </c>
      <c r="U42" s="4">
        <v>111</v>
      </c>
      <c r="V42" s="4"/>
      <c r="W42" s="4">
        <v>0</v>
      </c>
      <c r="X42" s="4">
        <v>1.1000000000000001</v>
      </c>
      <c r="Y42" s="4">
        <v>1.1000000000000001</v>
      </c>
      <c r="Z42" s="4">
        <v>4.2999999999999997E-2</v>
      </c>
      <c r="AA42" s="13">
        <f>(I42/TOTAL_BASIC!$D$301)*100</f>
        <v>89.59469838736284</v>
      </c>
      <c r="AB42" s="5">
        <f t="shared" si="3"/>
        <v>1.01</v>
      </c>
      <c r="AC42" s="3">
        <f t="shared" si="1"/>
        <v>-10</v>
      </c>
      <c r="AD42" s="9">
        <f t="shared" si="4"/>
        <v>1.004</v>
      </c>
      <c r="AE42" s="16">
        <f t="shared" si="5"/>
        <v>0.52027027027027029</v>
      </c>
      <c r="AF42" s="16">
        <f t="shared" si="6"/>
        <v>0.71296296296296291</v>
      </c>
      <c r="AG42" s="9"/>
      <c r="AH42" s="9"/>
      <c r="AI42" s="12">
        <f t="shared" si="7"/>
        <v>64.600000000000009</v>
      </c>
      <c r="AJ42" s="12">
        <f t="shared" si="8"/>
        <v>78.400000000000006</v>
      </c>
      <c r="AK42" s="12">
        <f t="shared" si="8"/>
        <v>14.299999999999999</v>
      </c>
      <c r="AL42" s="12">
        <f t="shared" si="8"/>
        <v>22.6</v>
      </c>
      <c r="AM42" s="12">
        <f t="shared" si="8"/>
        <v>28.7</v>
      </c>
      <c r="AN42" s="12">
        <f t="shared" si="8"/>
        <v>93.899999999999991</v>
      </c>
      <c r="AO42" s="12">
        <f t="shared" si="14"/>
        <v>20.399999999999999</v>
      </c>
      <c r="AP42" s="12">
        <f t="shared" si="14"/>
        <v>22</v>
      </c>
      <c r="AQ42" s="12">
        <f t="shared" si="14"/>
        <v>17.100000000000001</v>
      </c>
      <c r="AR42" s="12">
        <f t="shared" si="14"/>
        <v>13.8</v>
      </c>
      <c r="AS42" s="12">
        <f t="shared" si="15"/>
        <v>70.7</v>
      </c>
      <c r="AT42" s="12">
        <f t="shared" si="15"/>
        <v>14.899999999999999</v>
      </c>
      <c r="AU42" s="12">
        <f t="shared" si="9"/>
        <v>82.9</v>
      </c>
      <c r="AV42" s="12">
        <f t="shared" si="15"/>
        <v>17.599999999999998</v>
      </c>
      <c r="AW42" s="12">
        <f t="shared" si="16"/>
        <v>28.7</v>
      </c>
      <c r="AX42" s="12">
        <f t="shared" si="10"/>
        <v>48.699999999999996</v>
      </c>
      <c r="AY42" s="9"/>
      <c r="AZ42" s="12">
        <f t="shared" si="17"/>
        <v>24.8</v>
      </c>
      <c r="BA42" s="12">
        <f t="shared" si="13"/>
        <v>72.899999999999991</v>
      </c>
      <c r="BB42" s="12">
        <f t="shared" si="11"/>
        <v>53.5</v>
      </c>
      <c r="BC42" s="12">
        <f t="shared" si="11"/>
        <v>32</v>
      </c>
      <c r="BD42" s="12">
        <f t="shared" si="11"/>
        <v>22.6</v>
      </c>
      <c r="BE42" s="12">
        <f t="shared" si="11"/>
        <v>28.7</v>
      </c>
      <c r="BF42" s="12">
        <f t="shared" si="12"/>
        <v>30.3</v>
      </c>
      <c r="BG42" s="12">
        <f t="shared" si="12"/>
        <v>22.6</v>
      </c>
      <c r="BH42" s="12">
        <f t="shared" si="12"/>
        <v>22</v>
      </c>
      <c r="BI42" s="12">
        <f t="shared" si="12"/>
        <v>27.6</v>
      </c>
    </row>
    <row r="43" spans="1:61" ht="15.75" customHeight="1">
      <c r="A43" s="1" t="s">
        <v>105</v>
      </c>
      <c r="B43" s="3" t="s">
        <v>91</v>
      </c>
      <c r="C43" s="4" t="s">
        <v>85</v>
      </c>
      <c r="D43" s="4">
        <v>41</v>
      </c>
      <c r="E43" s="4">
        <v>988</v>
      </c>
      <c r="F43" s="4">
        <v>41</v>
      </c>
      <c r="G43" s="4">
        <v>988</v>
      </c>
      <c r="H43" s="4">
        <v>11.4</v>
      </c>
      <c r="I43" s="4">
        <v>0.52600000000000002</v>
      </c>
      <c r="J43" s="4">
        <v>0.48099999999999998</v>
      </c>
      <c r="K43" s="4">
        <v>0.628</v>
      </c>
      <c r="L43" s="4">
        <v>0.2</v>
      </c>
      <c r="M43" s="4">
        <v>6.4</v>
      </c>
      <c r="N43" s="4">
        <v>11.3</v>
      </c>
      <c r="O43" s="4">
        <v>4.8</v>
      </c>
      <c r="P43" s="4">
        <v>1.3</v>
      </c>
      <c r="Q43" s="4">
        <v>1</v>
      </c>
      <c r="R43" s="4">
        <v>7.7</v>
      </c>
      <c r="S43" s="4">
        <v>15.7</v>
      </c>
      <c r="T43" s="4">
        <v>111</v>
      </c>
      <c r="U43" s="4">
        <v>103</v>
      </c>
      <c r="V43" s="4"/>
      <c r="W43" s="4">
        <v>1.1000000000000001</v>
      </c>
      <c r="X43" s="4">
        <v>2</v>
      </c>
      <c r="Y43" s="4">
        <v>3.2</v>
      </c>
      <c r="Z43" s="4">
        <v>0.128</v>
      </c>
      <c r="AA43" s="13">
        <f>(I43/TOTAL_BASIC!$D$301)*100</f>
        <v>93.878110262455891</v>
      </c>
      <c r="AB43" s="5">
        <f t="shared" si="3"/>
        <v>1.1100000000000001</v>
      </c>
      <c r="AC43" s="3">
        <f t="shared" si="1"/>
        <v>8</v>
      </c>
      <c r="AD43" s="9">
        <f t="shared" si="4"/>
        <v>1.052</v>
      </c>
      <c r="AE43" s="16">
        <f t="shared" si="5"/>
        <v>0.30573248407643311</v>
      </c>
      <c r="AF43" s="16">
        <f t="shared" si="6"/>
        <v>0.62337662337662336</v>
      </c>
      <c r="AG43" s="9"/>
      <c r="AH43" s="9"/>
      <c r="AI43" s="12">
        <f t="shared" si="7"/>
        <v>85.6</v>
      </c>
      <c r="AJ43" s="12">
        <f t="shared" si="8"/>
        <v>77.900000000000006</v>
      </c>
      <c r="AK43" s="12">
        <f t="shared" si="8"/>
        <v>40.300000000000004</v>
      </c>
      <c r="AL43" s="12">
        <f t="shared" si="8"/>
        <v>36.4</v>
      </c>
      <c r="AM43" s="12">
        <f t="shared" si="8"/>
        <v>37</v>
      </c>
      <c r="AN43" s="12">
        <f t="shared" si="8"/>
        <v>87.2</v>
      </c>
      <c r="AO43" s="12">
        <f t="shared" si="14"/>
        <v>25.4</v>
      </c>
      <c r="AP43" s="12">
        <f t="shared" si="14"/>
        <v>68.5</v>
      </c>
      <c r="AQ43" s="12">
        <f t="shared" si="14"/>
        <v>67.400000000000006</v>
      </c>
      <c r="AR43" s="12">
        <f t="shared" si="14"/>
        <v>1.0999999999999999</v>
      </c>
      <c r="AS43" s="12">
        <f t="shared" si="15"/>
        <v>23.7</v>
      </c>
      <c r="AT43" s="12">
        <f t="shared" si="15"/>
        <v>39.700000000000003</v>
      </c>
      <c r="AU43" s="12">
        <f t="shared" si="9"/>
        <v>95.1</v>
      </c>
      <c r="AV43" s="12">
        <f t="shared" si="15"/>
        <v>22.6</v>
      </c>
      <c r="AW43" s="12">
        <f t="shared" si="16"/>
        <v>64.600000000000009</v>
      </c>
      <c r="AX43" s="12">
        <f t="shared" si="10"/>
        <v>93.4</v>
      </c>
      <c r="AY43" s="9"/>
      <c r="AZ43" s="12">
        <f t="shared" si="17"/>
        <v>69</v>
      </c>
      <c r="BA43" s="12">
        <f t="shared" si="13"/>
        <v>90</v>
      </c>
      <c r="BB43" s="12">
        <f t="shared" si="11"/>
        <v>81.2</v>
      </c>
      <c r="BC43" s="12">
        <f t="shared" si="11"/>
        <v>75.099999999999994</v>
      </c>
      <c r="BD43" s="12">
        <f t="shared" si="11"/>
        <v>36.4</v>
      </c>
      <c r="BE43" s="12">
        <f t="shared" si="11"/>
        <v>64.600000000000009</v>
      </c>
      <c r="BF43" s="12">
        <f t="shared" si="12"/>
        <v>75.599999999999994</v>
      </c>
      <c r="BG43" s="12">
        <f t="shared" si="12"/>
        <v>36.4</v>
      </c>
      <c r="BH43" s="12">
        <f t="shared" si="12"/>
        <v>1.6</v>
      </c>
      <c r="BI43" s="12">
        <f t="shared" si="12"/>
        <v>20.399999999999999</v>
      </c>
    </row>
    <row r="44" spans="1:61" ht="15.75" customHeight="1">
      <c r="A44" s="1" t="s">
        <v>145</v>
      </c>
      <c r="B44" s="3" t="s">
        <v>114</v>
      </c>
      <c r="C44" s="4" t="s">
        <v>8</v>
      </c>
      <c r="D44" s="4">
        <v>39</v>
      </c>
      <c r="E44" s="4">
        <v>978</v>
      </c>
      <c r="F44" s="4">
        <v>39</v>
      </c>
      <c r="G44" s="4">
        <v>978</v>
      </c>
      <c r="H44" s="4">
        <v>12.6</v>
      </c>
      <c r="I44" s="4">
        <v>0.56100000000000005</v>
      </c>
      <c r="J44" s="4">
        <v>0.498</v>
      </c>
      <c r="K44" s="4">
        <v>0.36699999999999999</v>
      </c>
      <c r="L44" s="4">
        <v>0.439</v>
      </c>
      <c r="M44" s="4">
        <v>1.9</v>
      </c>
      <c r="N44" s="4">
        <v>4.9000000000000004</v>
      </c>
      <c r="O44" s="4">
        <v>25.4</v>
      </c>
      <c r="P44" s="4">
        <v>1.9</v>
      </c>
      <c r="Q44" s="4">
        <v>0.8</v>
      </c>
      <c r="R44" s="4">
        <v>17.399999999999999</v>
      </c>
      <c r="S44" s="4">
        <v>17.899999999999999</v>
      </c>
      <c r="T44" s="4">
        <v>109</v>
      </c>
      <c r="U44" s="4">
        <v>114</v>
      </c>
      <c r="V44" s="4"/>
      <c r="W44" s="4">
        <v>1.1000000000000001</v>
      </c>
      <c r="X44" s="4">
        <v>0.6</v>
      </c>
      <c r="Y44" s="4">
        <v>1.7</v>
      </c>
      <c r="Z44" s="4">
        <v>6.8000000000000005E-2</v>
      </c>
      <c r="AA44" s="13">
        <f>(I44/TOTAL_BASIC!$D$301)*100</f>
        <v>100.12475258029991</v>
      </c>
      <c r="AB44" s="5">
        <f t="shared" si="3"/>
        <v>1.0900000000000001</v>
      </c>
      <c r="AC44" s="3">
        <f t="shared" si="1"/>
        <v>-5</v>
      </c>
      <c r="AD44" s="9">
        <f t="shared" si="4"/>
        <v>1.1220000000000001</v>
      </c>
      <c r="AE44" s="16">
        <f t="shared" si="5"/>
        <v>1.4189944134078212</v>
      </c>
      <c r="AF44" s="16">
        <f t="shared" si="6"/>
        <v>1.4597701149425288</v>
      </c>
      <c r="AG44" s="9"/>
      <c r="AH44" s="9"/>
      <c r="AI44" s="12">
        <f t="shared" si="7"/>
        <v>64.600000000000009</v>
      </c>
      <c r="AJ44" s="12">
        <f t="shared" si="8"/>
        <v>77.3</v>
      </c>
      <c r="AK44" s="12">
        <f t="shared" si="8"/>
        <v>49.1</v>
      </c>
      <c r="AL44" s="12">
        <f t="shared" si="8"/>
        <v>54.1</v>
      </c>
      <c r="AM44" s="12">
        <f t="shared" si="8"/>
        <v>43.6</v>
      </c>
      <c r="AN44" s="12">
        <f t="shared" si="8"/>
        <v>41.4</v>
      </c>
      <c r="AO44" s="12">
        <f t="shared" si="14"/>
        <v>82.3</v>
      </c>
      <c r="AP44" s="12">
        <f t="shared" si="14"/>
        <v>12.7</v>
      </c>
      <c r="AQ44" s="12">
        <f t="shared" si="14"/>
        <v>11</v>
      </c>
      <c r="AR44" s="12">
        <f t="shared" si="14"/>
        <v>86.7</v>
      </c>
      <c r="AS44" s="12">
        <f t="shared" si="15"/>
        <v>57.999999999999993</v>
      </c>
      <c r="AT44" s="12">
        <f t="shared" si="15"/>
        <v>30.3</v>
      </c>
      <c r="AU44" s="12">
        <f t="shared" si="9"/>
        <v>30.400000000000006</v>
      </c>
      <c r="AV44" s="12">
        <f t="shared" si="15"/>
        <v>45.800000000000004</v>
      </c>
      <c r="AW44" s="12">
        <f t="shared" si="16"/>
        <v>57.999999999999993</v>
      </c>
      <c r="AX44" s="12">
        <f t="shared" si="10"/>
        <v>24.900000000000006</v>
      </c>
      <c r="AY44" s="9"/>
      <c r="AZ44" s="12">
        <f t="shared" si="17"/>
        <v>69</v>
      </c>
      <c r="BA44" s="12">
        <f t="shared" si="13"/>
        <v>47.5</v>
      </c>
      <c r="BB44" s="12">
        <f t="shared" si="11"/>
        <v>65.7</v>
      </c>
      <c r="BC44" s="12">
        <f t="shared" si="11"/>
        <v>44.1</v>
      </c>
      <c r="BD44" s="12">
        <f t="shared" si="11"/>
        <v>54.1</v>
      </c>
      <c r="BE44" s="12">
        <f t="shared" si="11"/>
        <v>57.999999999999993</v>
      </c>
      <c r="BF44" s="12">
        <f t="shared" si="12"/>
        <v>43</v>
      </c>
      <c r="BG44" s="12">
        <f t="shared" si="12"/>
        <v>54.1</v>
      </c>
      <c r="BH44" s="12">
        <f t="shared" si="12"/>
        <v>91.100000000000009</v>
      </c>
      <c r="BI44" s="12">
        <f t="shared" si="12"/>
        <v>77.900000000000006</v>
      </c>
    </row>
    <row r="45" spans="1:61" ht="15.75" customHeight="1">
      <c r="A45" s="1" t="s">
        <v>170</v>
      </c>
      <c r="B45" s="3" t="s">
        <v>107</v>
      </c>
      <c r="C45" s="4" t="s">
        <v>8</v>
      </c>
      <c r="D45" s="4">
        <v>41</v>
      </c>
      <c r="E45" s="4">
        <v>968</v>
      </c>
      <c r="F45" s="4">
        <v>41</v>
      </c>
      <c r="G45" s="4">
        <v>968</v>
      </c>
      <c r="H45" s="4">
        <v>9</v>
      </c>
      <c r="I45" s="4">
        <v>0.48299999999999998</v>
      </c>
      <c r="J45" s="4">
        <v>0.44600000000000001</v>
      </c>
      <c r="K45" s="4">
        <v>0.435</v>
      </c>
      <c r="L45" s="4">
        <v>0.20899999999999999</v>
      </c>
      <c r="M45" s="4">
        <v>1.5</v>
      </c>
      <c r="N45" s="4">
        <v>6.1</v>
      </c>
      <c r="O45" s="4">
        <v>25.1</v>
      </c>
      <c r="P45" s="4">
        <v>1.7</v>
      </c>
      <c r="Q45" s="4">
        <v>1</v>
      </c>
      <c r="R45" s="4">
        <v>19.600000000000001</v>
      </c>
      <c r="S45" s="4">
        <v>17.100000000000001</v>
      </c>
      <c r="T45" s="4">
        <v>94</v>
      </c>
      <c r="U45" s="4">
        <v>114</v>
      </c>
      <c r="V45" s="4"/>
      <c r="W45" s="4">
        <v>-0.8</v>
      </c>
      <c r="X45" s="4">
        <v>0.6</v>
      </c>
      <c r="Y45" s="4">
        <v>-0.2</v>
      </c>
      <c r="Z45" s="4">
        <v>-8.0000000000000002E-3</v>
      </c>
      <c r="AA45" s="13">
        <f>(I45/TOTAL_BASIC!$D$301)*100</f>
        <v>86.20366398624752</v>
      </c>
      <c r="AB45" s="5">
        <f t="shared" si="3"/>
        <v>0.94</v>
      </c>
      <c r="AC45" s="3">
        <f t="shared" si="1"/>
        <v>-20</v>
      </c>
      <c r="AD45" s="9">
        <f t="shared" si="4"/>
        <v>0.96599999999999997</v>
      </c>
      <c r="AE45" s="16">
        <f t="shared" si="5"/>
        <v>1.4678362573099415</v>
      </c>
      <c r="AF45" s="16">
        <f t="shared" si="6"/>
        <v>1.2806122448979591</v>
      </c>
      <c r="AG45" s="9"/>
      <c r="AH45" s="9"/>
      <c r="AI45" s="12">
        <f t="shared" si="7"/>
        <v>85.6</v>
      </c>
      <c r="AJ45" s="12">
        <f t="shared" si="8"/>
        <v>76.7</v>
      </c>
      <c r="AK45" s="12">
        <f t="shared" si="8"/>
        <v>18.7</v>
      </c>
      <c r="AL45" s="12">
        <f t="shared" si="8"/>
        <v>12.7</v>
      </c>
      <c r="AM45" s="12">
        <f t="shared" si="8"/>
        <v>16.5</v>
      </c>
      <c r="AN45" s="12">
        <f t="shared" si="8"/>
        <v>56.899999999999991</v>
      </c>
      <c r="AO45" s="12">
        <f t="shared" si="14"/>
        <v>28.1</v>
      </c>
      <c r="AP45" s="12">
        <f t="shared" si="14"/>
        <v>9.9</v>
      </c>
      <c r="AQ45" s="12">
        <f t="shared" si="14"/>
        <v>22</v>
      </c>
      <c r="AR45" s="12">
        <f t="shared" si="14"/>
        <v>85</v>
      </c>
      <c r="AS45" s="12">
        <f t="shared" si="15"/>
        <v>44.1</v>
      </c>
      <c r="AT45" s="12">
        <f t="shared" si="15"/>
        <v>39.700000000000003</v>
      </c>
      <c r="AU45" s="12">
        <f t="shared" si="9"/>
        <v>14.400000000000006</v>
      </c>
      <c r="AV45" s="12">
        <f t="shared" si="15"/>
        <v>36.4</v>
      </c>
      <c r="AW45" s="12">
        <f t="shared" si="16"/>
        <v>8.7999999999999989</v>
      </c>
      <c r="AX45" s="12">
        <f t="shared" si="10"/>
        <v>24.900000000000006</v>
      </c>
      <c r="AY45" s="9"/>
      <c r="AZ45" s="12">
        <f t="shared" si="17"/>
        <v>2.1999999999999997</v>
      </c>
      <c r="BA45" s="12">
        <f t="shared" si="13"/>
        <v>47.5</v>
      </c>
      <c r="BB45" s="12">
        <f t="shared" si="11"/>
        <v>6</v>
      </c>
      <c r="BC45" s="12">
        <f t="shared" si="11"/>
        <v>8.7999999999999989</v>
      </c>
      <c r="BD45" s="12">
        <f t="shared" si="11"/>
        <v>12.7</v>
      </c>
      <c r="BE45" s="12">
        <f t="shared" si="11"/>
        <v>8.7999999999999989</v>
      </c>
      <c r="BF45" s="12">
        <f t="shared" si="12"/>
        <v>6.6000000000000005</v>
      </c>
      <c r="BG45" s="12">
        <f t="shared" si="12"/>
        <v>12.7</v>
      </c>
      <c r="BH45" s="12">
        <f t="shared" si="12"/>
        <v>92.2</v>
      </c>
      <c r="BI45" s="12">
        <f t="shared" si="12"/>
        <v>71.8</v>
      </c>
    </row>
    <row r="46" spans="1:61" ht="15.75" customHeight="1">
      <c r="A46" s="1" t="s">
        <v>89</v>
      </c>
      <c r="B46" s="3" t="s">
        <v>84</v>
      </c>
      <c r="C46" s="4" t="s">
        <v>8</v>
      </c>
      <c r="D46" s="4">
        <v>41</v>
      </c>
      <c r="E46" s="4">
        <v>960</v>
      </c>
      <c r="F46" s="4">
        <v>41</v>
      </c>
      <c r="G46" s="4">
        <v>960</v>
      </c>
      <c r="H46" s="4">
        <v>14.8</v>
      </c>
      <c r="I46" s="4">
        <v>0.63700000000000001</v>
      </c>
      <c r="J46" s="4">
        <v>0.57899999999999996</v>
      </c>
      <c r="K46" s="4">
        <v>0.19400000000000001</v>
      </c>
      <c r="L46" s="4">
        <v>0.35699999999999998</v>
      </c>
      <c r="M46" s="4">
        <v>3.2</v>
      </c>
      <c r="N46" s="4">
        <v>6.5</v>
      </c>
      <c r="O46" s="4">
        <v>23</v>
      </c>
      <c r="P46" s="4">
        <v>1.8</v>
      </c>
      <c r="Q46" s="4">
        <v>0.6</v>
      </c>
      <c r="R46" s="4">
        <v>18.8</v>
      </c>
      <c r="S46" s="4">
        <v>17.100000000000001</v>
      </c>
      <c r="T46" s="4">
        <v>119</v>
      </c>
      <c r="U46" s="4">
        <v>111</v>
      </c>
      <c r="V46" s="4"/>
      <c r="W46" s="4">
        <v>2.2999999999999998</v>
      </c>
      <c r="X46" s="4">
        <v>0.9</v>
      </c>
      <c r="Y46" s="4">
        <v>3.2</v>
      </c>
      <c r="Z46" s="4">
        <v>0.13500000000000001</v>
      </c>
      <c r="AA46" s="13">
        <f>(I46/TOTAL_BASIC!$D$301)*100</f>
        <v>113.68889018476122</v>
      </c>
      <c r="AB46" s="5">
        <f t="shared" si="3"/>
        <v>1.19</v>
      </c>
      <c r="AC46" s="3">
        <f t="shared" si="1"/>
        <v>8</v>
      </c>
      <c r="AD46" s="9">
        <f t="shared" si="4"/>
        <v>1.274</v>
      </c>
      <c r="AE46" s="16">
        <f t="shared" si="5"/>
        <v>1.3450292397660817</v>
      </c>
      <c r="AF46" s="16">
        <f t="shared" si="6"/>
        <v>1.2234042553191489</v>
      </c>
      <c r="AG46" s="9"/>
      <c r="AH46" s="9"/>
      <c r="AI46" s="12">
        <f t="shared" si="7"/>
        <v>85.6</v>
      </c>
      <c r="AJ46" s="12">
        <f t="shared" si="8"/>
        <v>75.599999999999994</v>
      </c>
      <c r="AK46" s="12">
        <f t="shared" si="8"/>
        <v>59.599999999999994</v>
      </c>
      <c r="AL46" s="12">
        <f t="shared" si="8"/>
        <v>92.800000000000011</v>
      </c>
      <c r="AM46" s="12">
        <f t="shared" si="8"/>
        <v>87.8</v>
      </c>
      <c r="AN46" s="12">
        <f t="shared" si="8"/>
        <v>14.899999999999999</v>
      </c>
      <c r="AO46" s="12">
        <f t="shared" si="14"/>
        <v>67.400000000000006</v>
      </c>
      <c r="AP46" s="12">
        <f t="shared" si="14"/>
        <v>36.4</v>
      </c>
      <c r="AQ46" s="12">
        <f t="shared" si="14"/>
        <v>28.7</v>
      </c>
      <c r="AR46" s="12">
        <f t="shared" si="14"/>
        <v>82.3</v>
      </c>
      <c r="AS46" s="12">
        <f t="shared" si="15"/>
        <v>51.300000000000004</v>
      </c>
      <c r="AT46" s="12">
        <f t="shared" si="15"/>
        <v>19.8</v>
      </c>
      <c r="AU46" s="12">
        <f t="shared" si="9"/>
        <v>19.399999999999991</v>
      </c>
      <c r="AV46" s="12">
        <f t="shared" si="15"/>
        <v>36.4</v>
      </c>
      <c r="AW46" s="12">
        <f t="shared" si="16"/>
        <v>82.3</v>
      </c>
      <c r="AX46" s="12">
        <f t="shared" si="10"/>
        <v>48.699999999999996</v>
      </c>
      <c r="AY46" s="9"/>
      <c r="AZ46" s="12">
        <f t="shared" si="17"/>
        <v>85.6</v>
      </c>
      <c r="BA46" s="12">
        <f t="shared" si="13"/>
        <v>62.9</v>
      </c>
      <c r="BB46" s="12">
        <f t="shared" si="11"/>
        <v>81.2</v>
      </c>
      <c r="BC46" s="12">
        <f t="shared" si="11"/>
        <v>76.7</v>
      </c>
      <c r="BD46" s="12">
        <f t="shared" si="11"/>
        <v>92.800000000000011</v>
      </c>
      <c r="BE46" s="12">
        <f t="shared" si="11"/>
        <v>82.3</v>
      </c>
      <c r="BF46" s="12">
        <f t="shared" si="12"/>
        <v>75.599999999999994</v>
      </c>
      <c r="BG46" s="12">
        <f t="shared" si="12"/>
        <v>92.800000000000011</v>
      </c>
      <c r="BH46" s="12">
        <f t="shared" si="12"/>
        <v>88.9</v>
      </c>
      <c r="BI46" s="12">
        <f t="shared" si="12"/>
        <v>70.099999999999994</v>
      </c>
    </row>
    <row r="47" spans="1:61" ht="15.75" customHeight="1">
      <c r="A47" s="1" t="s">
        <v>175</v>
      </c>
      <c r="B47" s="4" t="s">
        <v>232</v>
      </c>
      <c r="C47" s="4" t="s">
        <v>8</v>
      </c>
      <c r="D47" s="4">
        <v>37</v>
      </c>
      <c r="E47" s="4">
        <v>960</v>
      </c>
      <c r="F47" s="4">
        <v>37</v>
      </c>
      <c r="G47" s="4">
        <v>960</v>
      </c>
      <c r="H47" s="4">
        <v>19.8</v>
      </c>
      <c r="I47" s="4">
        <v>0.60299999999999998</v>
      </c>
      <c r="J47" s="4">
        <v>0.503</v>
      </c>
      <c r="K47" s="4">
        <v>0.22900000000000001</v>
      </c>
      <c r="L47" s="4">
        <v>0.59199999999999997</v>
      </c>
      <c r="M47" s="4">
        <v>3</v>
      </c>
      <c r="N47" s="4">
        <v>5.0999999999999996</v>
      </c>
      <c r="O47" s="4">
        <v>42.7</v>
      </c>
      <c r="P47" s="4">
        <v>1.3</v>
      </c>
      <c r="Q47" s="4">
        <v>0.2</v>
      </c>
      <c r="R47" s="4">
        <v>20.2</v>
      </c>
      <c r="S47" s="4">
        <v>28.5</v>
      </c>
      <c r="T47" s="4">
        <v>115</v>
      </c>
      <c r="U47" s="4">
        <v>119</v>
      </c>
      <c r="V47" s="4"/>
      <c r="W47" s="4">
        <v>2.9</v>
      </c>
      <c r="X47" s="4">
        <v>-0.2</v>
      </c>
      <c r="Y47" s="4">
        <v>2.8</v>
      </c>
      <c r="Z47" s="4">
        <v>0.115</v>
      </c>
      <c r="AA47" s="13">
        <f>(I47/TOTAL_BASIC!$D$301)*100</f>
        <v>107.62072336171273</v>
      </c>
      <c r="AB47" s="5">
        <f t="shared" si="3"/>
        <v>1.1499999999999999</v>
      </c>
      <c r="AC47" s="3">
        <f t="shared" si="1"/>
        <v>-4</v>
      </c>
      <c r="AD47" s="9">
        <f t="shared" si="4"/>
        <v>1.206</v>
      </c>
      <c r="AE47" s="16">
        <f t="shared" si="5"/>
        <v>1.4982456140350877</v>
      </c>
      <c r="AF47" s="16">
        <f t="shared" si="6"/>
        <v>2.113861386138614</v>
      </c>
      <c r="AG47" s="9"/>
      <c r="AH47" s="9"/>
      <c r="AI47" s="12">
        <f t="shared" si="7"/>
        <v>51.300000000000004</v>
      </c>
      <c r="AJ47" s="12">
        <f t="shared" si="8"/>
        <v>75.599999999999994</v>
      </c>
      <c r="AK47" s="12">
        <f t="shared" si="8"/>
        <v>84.5</v>
      </c>
      <c r="AL47" s="12">
        <f t="shared" si="8"/>
        <v>77.900000000000006</v>
      </c>
      <c r="AM47" s="12">
        <f t="shared" si="8"/>
        <v>46.400000000000006</v>
      </c>
      <c r="AN47" s="12">
        <f t="shared" si="8"/>
        <v>19.8</v>
      </c>
      <c r="AO47" s="12">
        <f t="shared" si="14"/>
        <v>97.2</v>
      </c>
      <c r="AP47" s="12">
        <f t="shared" si="14"/>
        <v>33.700000000000003</v>
      </c>
      <c r="AQ47" s="12">
        <f t="shared" si="14"/>
        <v>14.299999999999999</v>
      </c>
      <c r="AR47" s="12">
        <f t="shared" si="14"/>
        <v>98.3</v>
      </c>
      <c r="AS47" s="12">
        <f t="shared" si="15"/>
        <v>23.7</v>
      </c>
      <c r="AT47" s="12">
        <f t="shared" si="15"/>
        <v>7.1</v>
      </c>
      <c r="AU47" s="12">
        <f t="shared" si="9"/>
        <v>12.799999999999997</v>
      </c>
      <c r="AV47" s="12">
        <f t="shared" si="15"/>
        <v>94.399999999999991</v>
      </c>
      <c r="AW47" s="12">
        <f t="shared" si="16"/>
        <v>74.5</v>
      </c>
      <c r="AX47" s="12">
        <f t="shared" si="10"/>
        <v>4.5</v>
      </c>
      <c r="AY47" s="9"/>
      <c r="AZ47" s="12">
        <f t="shared" si="17"/>
        <v>88.9</v>
      </c>
      <c r="BA47" s="12">
        <f t="shared" si="13"/>
        <v>1.0999999999999999</v>
      </c>
      <c r="BB47" s="12">
        <f t="shared" si="11"/>
        <v>77.900000000000006</v>
      </c>
      <c r="BC47" s="12">
        <f t="shared" si="11"/>
        <v>69.599999999999994</v>
      </c>
      <c r="BD47" s="12">
        <f t="shared" si="11"/>
        <v>77.900000000000006</v>
      </c>
      <c r="BE47" s="12">
        <f t="shared" si="11"/>
        <v>74.5</v>
      </c>
      <c r="BF47" s="12">
        <f t="shared" si="12"/>
        <v>48.6</v>
      </c>
      <c r="BG47" s="12">
        <f t="shared" si="12"/>
        <v>77.900000000000006</v>
      </c>
      <c r="BH47" s="12">
        <f t="shared" si="12"/>
        <v>93.899999999999991</v>
      </c>
      <c r="BI47" s="12">
        <f t="shared" si="12"/>
        <v>95</v>
      </c>
    </row>
    <row r="48" spans="1:61" ht="15.75" customHeight="1">
      <c r="A48" s="1" t="s">
        <v>200</v>
      </c>
      <c r="B48" s="3" t="s">
        <v>99</v>
      </c>
      <c r="C48" s="4" t="s">
        <v>8</v>
      </c>
      <c r="D48" s="4">
        <v>30</v>
      </c>
      <c r="E48" s="4">
        <v>950</v>
      </c>
      <c r="F48" s="4">
        <v>30</v>
      </c>
      <c r="G48" s="4">
        <v>950</v>
      </c>
      <c r="H48" s="4">
        <v>14</v>
      </c>
      <c r="I48" s="4">
        <v>0.55800000000000005</v>
      </c>
      <c r="J48" s="4">
        <v>0.54700000000000004</v>
      </c>
      <c r="K48" s="4">
        <v>0.45600000000000002</v>
      </c>
      <c r="L48" s="4">
        <v>6.7000000000000004E-2</v>
      </c>
      <c r="M48" s="4">
        <v>2</v>
      </c>
      <c r="N48" s="4">
        <v>3.2</v>
      </c>
      <c r="O48" s="4">
        <v>8.6999999999999993</v>
      </c>
      <c r="P48" s="4">
        <v>2.8</v>
      </c>
      <c r="Q48" s="4">
        <v>2.4</v>
      </c>
      <c r="R48" s="4">
        <v>8.6</v>
      </c>
      <c r="S48" s="4">
        <v>18.100000000000001</v>
      </c>
      <c r="T48" s="4">
        <v>109</v>
      </c>
      <c r="U48" s="4">
        <v>108</v>
      </c>
      <c r="V48" s="4"/>
      <c r="W48" s="4">
        <v>0.9</v>
      </c>
      <c r="X48" s="4">
        <v>1.3</v>
      </c>
      <c r="Y48" s="4">
        <v>2.2000000000000002</v>
      </c>
      <c r="Z48" s="4">
        <v>9.1999999999999998E-2</v>
      </c>
      <c r="AA48" s="13">
        <f>(I48/TOTAL_BASIC!$D$301)*100</f>
        <v>99.589326095913293</v>
      </c>
      <c r="AB48" s="5">
        <f t="shared" si="3"/>
        <v>1.0900000000000001</v>
      </c>
      <c r="AC48" s="3">
        <f t="shared" si="1"/>
        <v>1</v>
      </c>
      <c r="AD48" s="9">
        <f t="shared" si="4"/>
        <v>1.1160000000000001</v>
      </c>
      <c r="AE48" s="16">
        <f t="shared" si="5"/>
        <v>0.4806629834254143</v>
      </c>
      <c r="AF48" s="16">
        <f t="shared" si="6"/>
        <v>1.0116279069767442</v>
      </c>
      <c r="AG48" s="9"/>
      <c r="AH48" s="9"/>
      <c r="AI48" s="12">
        <f t="shared" si="7"/>
        <v>32</v>
      </c>
      <c r="AJ48" s="12">
        <f t="shared" si="8"/>
        <v>75.099999999999994</v>
      </c>
      <c r="AK48" s="12">
        <f t="shared" si="8"/>
        <v>56.3</v>
      </c>
      <c r="AL48" s="12">
        <f t="shared" si="8"/>
        <v>50.2</v>
      </c>
      <c r="AM48" s="12">
        <f t="shared" si="8"/>
        <v>70.7</v>
      </c>
      <c r="AN48" s="12">
        <f t="shared" si="8"/>
        <v>60.699999999999996</v>
      </c>
      <c r="AO48" s="12">
        <f t="shared" si="14"/>
        <v>2.1999999999999997</v>
      </c>
      <c r="AP48" s="12">
        <f t="shared" si="14"/>
        <v>14.899999999999999</v>
      </c>
      <c r="AQ48" s="12">
        <f t="shared" si="14"/>
        <v>0.5</v>
      </c>
      <c r="AR48" s="12">
        <f t="shared" si="14"/>
        <v>22</v>
      </c>
      <c r="AS48" s="12">
        <f t="shared" si="15"/>
        <v>92.2</v>
      </c>
      <c r="AT48" s="12">
        <f t="shared" si="15"/>
        <v>71.8</v>
      </c>
      <c r="AU48" s="12">
        <f t="shared" si="9"/>
        <v>91.8</v>
      </c>
      <c r="AV48" s="12">
        <f t="shared" si="15"/>
        <v>48</v>
      </c>
      <c r="AW48" s="12">
        <f t="shared" si="16"/>
        <v>57.999999999999993</v>
      </c>
      <c r="AX48" s="12">
        <f t="shared" si="10"/>
        <v>71.3</v>
      </c>
      <c r="AY48" s="9"/>
      <c r="AZ48" s="12">
        <f t="shared" si="17"/>
        <v>66.8</v>
      </c>
      <c r="BA48" s="12">
        <f t="shared" si="13"/>
        <v>76.2</v>
      </c>
      <c r="BB48" s="12">
        <f t="shared" si="11"/>
        <v>71.2</v>
      </c>
      <c r="BC48" s="12">
        <f t="shared" si="11"/>
        <v>60.699999999999996</v>
      </c>
      <c r="BD48" s="12">
        <f t="shared" si="11"/>
        <v>50.2</v>
      </c>
      <c r="BE48" s="12">
        <f t="shared" si="11"/>
        <v>57.999999999999993</v>
      </c>
      <c r="BF48" s="12">
        <f t="shared" si="12"/>
        <v>61.8</v>
      </c>
      <c r="BG48" s="12">
        <f t="shared" si="12"/>
        <v>50.2</v>
      </c>
      <c r="BH48" s="12">
        <f t="shared" si="12"/>
        <v>17.100000000000001</v>
      </c>
      <c r="BI48" s="12">
        <f t="shared" si="12"/>
        <v>51.9</v>
      </c>
    </row>
    <row r="49" spans="1:61" ht="15.75" customHeight="1">
      <c r="A49" s="1" t="s">
        <v>165</v>
      </c>
      <c r="B49" s="3" t="s">
        <v>161</v>
      </c>
      <c r="C49" s="4" t="s">
        <v>8</v>
      </c>
      <c r="D49" s="4">
        <v>32</v>
      </c>
      <c r="E49" s="4">
        <v>944</v>
      </c>
      <c r="F49" s="4">
        <v>32</v>
      </c>
      <c r="G49" s="4">
        <v>944</v>
      </c>
      <c r="H49" s="4">
        <v>19.7</v>
      </c>
      <c r="I49" s="4">
        <v>0.59899999999999998</v>
      </c>
      <c r="J49" s="4">
        <v>0.54800000000000004</v>
      </c>
      <c r="K49" s="4">
        <v>0.55300000000000005</v>
      </c>
      <c r="L49" s="4">
        <v>0.28899999999999998</v>
      </c>
      <c r="M49" s="4">
        <v>2.2000000000000002</v>
      </c>
      <c r="N49" s="4">
        <v>6.7</v>
      </c>
      <c r="O49" s="4">
        <v>24.4</v>
      </c>
      <c r="P49" s="4">
        <v>1.5</v>
      </c>
      <c r="Q49" s="4">
        <v>1.2</v>
      </c>
      <c r="R49" s="4">
        <v>15.1</v>
      </c>
      <c r="S49" s="4">
        <v>30.7</v>
      </c>
      <c r="T49" s="4">
        <v>110</v>
      </c>
      <c r="U49" s="4">
        <v>120</v>
      </c>
      <c r="V49" s="4"/>
      <c r="W49" s="4">
        <v>1.8</v>
      </c>
      <c r="X49" s="4">
        <v>-0.2</v>
      </c>
      <c r="Y49" s="4">
        <v>1.6</v>
      </c>
      <c r="Z49" s="4">
        <v>6.7000000000000004E-2</v>
      </c>
      <c r="AA49" s="13">
        <f>(I49/TOTAL_BASIC!$D$301)*100</f>
        <v>106.90682138253055</v>
      </c>
      <c r="AB49" s="5">
        <f t="shared" si="3"/>
        <v>1.1000000000000001</v>
      </c>
      <c r="AC49" s="3">
        <f t="shared" si="1"/>
        <v>-10</v>
      </c>
      <c r="AD49" s="9">
        <f t="shared" si="4"/>
        <v>1.198</v>
      </c>
      <c r="AE49" s="16">
        <f t="shared" si="5"/>
        <v>0.7947882736156352</v>
      </c>
      <c r="AF49" s="16">
        <f t="shared" si="6"/>
        <v>1.6158940397350994</v>
      </c>
      <c r="AG49" s="9"/>
      <c r="AH49" s="9"/>
      <c r="AI49" s="12">
        <f t="shared" si="7"/>
        <v>35.299999999999997</v>
      </c>
      <c r="AJ49" s="12">
        <f t="shared" si="8"/>
        <v>74.5</v>
      </c>
      <c r="AK49" s="12">
        <f t="shared" si="8"/>
        <v>83.899999999999991</v>
      </c>
      <c r="AL49" s="12">
        <f t="shared" si="8"/>
        <v>76.2</v>
      </c>
      <c r="AM49" s="12">
        <f t="shared" si="8"/>
        <v>71.2</v>
      </c>
      <c r="AN49" s="12">
        <f t="shared" si="8"/>
        <v>80.600000000000009</v>
      </c>
      <c r="AO49" s="12">
        <f t="shared" si="14"/>
        <v>53</v>
      </c>
      <c r="AP49" s="12">
        <f t="shared" si="14"/>
        <v>20.399999999999999</v>
      </c>
      <c r="AQ49" s="12">
        <f t="shared" si="14"/>
        <v>30.3</v>
      </c>
      <c r="AR49" s="12">
        <f t="shared" si="14"/>
        <v>84.5</v>
      </c>
      <c r="AS49" s="12">
        <f t="shared" si="15"/>
        <v>34.200000000000003</v>
      </c>
      <c r="AT49" s="12">
        <f t="shared" si="15"/>
        <v>46.9</v>
      </c>
      <c r="AU49" s="12">
        <f t="shared" si="9"/>
        <v>45.4</v>
      </c>
      <c r="AV49" s="12">
        <f t="shared" si="15"/>
        <v>98.8</v>
      </c>
      <c r="AW49" s="12">
        <f t="shared" si="16"/>
        <v>60.699999999999996</v>
      </c>
      <c r="AX49" s="12">
        <f t="shared" si="10"/>
        <v>2.7999999999999972</v>
      </c>
      <c r="AY49" s="9"/>
      <c r="AZ49" s="12">
        <f t="shared" si="17"/>
        <v>80.600000000000009</v>
      </c>
      <c r="BA49" s="12">
        <f t="shared" si="13"/>
        <v>1.0999999999999999</v>
      </c>
      <c r="BB49" s="12">
        <f t="shared" si="11"/>
        <v>63.5</v>
      </c>
      <c r="BC49" s="12">
        <f t="shared" si="11"/>
        <v>43</v>
      </c>
      <c r="BD49" s="12">
        <f t="shared" si="11"/>
        <v>76.2</v>
      </c>
      <c r="BE49" s="12">
        <f t="shared" si="11"/>
        <v>60.699999999999996</v>
      </c>
      <c r="BF49" s="12">
        <f t="shared" si="12"/>
        <v>30.3</v>
      </c>
      <c r="BG49" s="12">
        <f t="shared" si="12"/>
        <v>76.2</v>
      </c>
      <c r="BH49" s="12">
        <f t="shared" si="12"/>
        <v>58.5</v>
      </c>
      <c r="BI49" s="12">
        <f t="shared" si="12"/>
        <v>84.5</v>
      </c>
    </row>
    <row r="50" spans="1:61" ht="15.75" customHeight="1">
      <c r="A50" s="1" t="s">
        <v>194</v>
      </c>
      <c r="B50" s="3" t="s">
        <v>140</v>
      </c>
      <c r="C50" s="4" t="s">
        <v>8</v>
      </c>
      <c r="D50" s="4">
        <v>41</v>
      </c>
      <c r="E50" s="4">
        <v>943</v>
      </c>
      <c r="F50" s="4">
        <v>41</v>
      </c>
      <c r="G50" s="4">
        <v>943</v>
      </c>
      <c r="H50" s="4">
        <v>6.6</v>
      </c>
      <c r="I50" s="4">
        <v>0.51500000000000001</v>
      </c>
      <c r="J50" s="4">
        <v>0.48199999999999998</v>
      </c>
      <c r="K50" s="4">
        <v>0.71899999999999997</v>
      </c>
      <c r="L50" s="4">
        <v>0.16500000000000001</v>
      </c>
      <c r="M50" s="4">
        <v>1.5</v>
      </c>
      <c r="N50" s="4">
        <v>3.7</v>
      </c>
      <c r="O50" s="4">
        <v>24.1</v>
      </c>
      <c r="P50" s="4">
        <v>0.7</v>
      </c>
      <c r="Q50" s="4">
        <v>0.5</v>
      </c>
      <c r="R50" s="4">
        <v>23.9</v>
      </c>
      <c r="S50" s="4">
        <v>16.600000000000001</v>
      </c>
      <c r="T50" s="4">
        <v>97</v>
      </c>
      <c r="U50" s="4">
        <v>110</v>
      </c>
      <c r="V50" s="4"/>
      <c r="W50" s="4">
        <v>-0.4</v>
      </c>
      <c r="X50" s="4">
        <v>1</v>
      </c>
      <c r="Y50" s="4">
        <v>0.6</v>
      </c>
      <c r="Z50" s="4">
        <v>2.5000000000000001E-2</v>
      </c>
      <c r="AA50" s="13">
        <f>(I50/TOTAL_BASIC!$D$301)*100</f>
        <v>91.914879819704908</v>
      </c>
      <c r="AB50" s="5">
        <f t="shared" si="3"/>
        <v>0.97</v>
      </c>
      <c r="AC50" s="3">
        <f t="shared" si="1"/>
        <v>-13</v>
      </c>
      <c r="AD50" s="9">
        <f t="shared" si="4"/>
        <v>1.03</v>
      </c>
      <c r="AE50" s="16">
        <f t="shared" si="5"/>
        <v>1.4518072289156627</v>
      </c>
      <c r="AF50" s="16">
        <f t="shared" si="6"/>
        <v>1.0083682008368202</v>
      </c>
      <c r="AG50" s="9"/>
      <c r="AH50" s="9"/>
      <c r="AI50" s="12">
        <f t="shared" si="7"/>
        <v>85.6</v>
      </c>
      <c r="AJ50" s="12">
        <f t="shared" si="8"/>
        <v>74</v>
      </c>
      <c r="AK50" s="12">
        <f t="shared" si="8"/>
        <v>6</v>
      </c>
      <c r="AL50" s="12">
        <f t="shared" si="8"/>
        <v>30.9</v>
      </c>
      <c r="AM50" s="12">
        <f t="shared" si="8"/>
        <v>37.5</v>
      </c>
      <c r="AN50" s="12">
        <f t="shared" si="8"/>
        <v>94.399999999999991</v>
      </c>
      <c r="AO50" s="12">
        <f t="shared" si="14"/>
        <v>17.100000000000001</v>
      </c>
      <c r="AP50" s="12">
        <f t="shared" si="14"/>
        <v>9.9</v>
      </c>
      <c r="AQ50" s="12">
        <f t="shared" si="14"/>
        <v>2.1999999999999997</v>
      </c>
      <c r="AR50" s="12">
        <f t="shared" si="14"/>
        <v>83.399999999999991</v>
      </c>
      <c r="AS50" s="12">
        <f t="shared" si="15"/>
        <v>3.3000000000000003</v>
      </c>
      <c r="AT50" s="12">
        <f t="shared" si="15"/>
        <v>16.5</v>
      </c>
      <c r="AU50" s="12">
        <f t="shared" si="9"/>
        <v>5</v>
      </c>
      <c r="AV50" s="12">
        <f t="shared" si="15"/>
        <v>29.799999999999997</v>
      </c>
      <c r="AW50" s="12">
        <f t="shared" si="16"/>
        <v>15.4</v>
      </c>
      <c r="AX50" s="12">
        <f t="shared" si="10"/>
        <v>58.6</v>
      </c>
      <c r="AY50" s="9"/>
      <c r="AZ50" s="12">
        <f t="shared" si="17"/>
        <v>6.6000000000000005</v>
      </c>
      <c r="BA50" s="12">
        <f t="shared" si="13"/>
        <v>68.5</v>
      </c>
      <c r="BB50" s="12">
        <f t="shared" si="11"/>
        <v>33.1</v>
      </c>
      <c r="BC50" s="12">
        <f t="shared" si="11"/>
        <v>22.6</v>
      </c>
      <c r="BD50" s="12">
        <f t="shared" si="11"/>
        <v>30.9</v>
      </c>
      <c r="BE50" s="12">
        <f t="shared" si="11"/>
        <v>15.4</v>
      </c>
      <c r="BF50" s="12">
        <f t="shared" si="12"/>
        <v>22</v>
      </c>
      <c r="BG50" s="12">
        <f t="shared" si="12"/>
        <v>30.9</v>
      </c>
      <c r="BH50" s="12">
        <f t="shared" si="12"/>
        <v>91.7</v>
      </c>
      <c r="BI50" s="12">
        <f t="shared" si="12"/>
        <v>50.8</v>
      </c>
    </row>
    <row r="51" spans="1:61" ht="15.75" customHeight="1">
      <c r="A51" s="1" t="s">
        <v>245</v>
      </c>
      <c r="B51" s="3" t="s">
        <v>114</v>
      </c>
      <c r="C51" s="4" t="s">
        <v>88</v>
      </c>
      <c r="D51" s="4">
        <v>34</v>
      </c>
      <c r="E51" s="4">
        <v>937</v>
      </c>
      <c r="F51" s="4">
        <v>34</v>
      </c>
      <c r="G51" s="4">
        <v>937</v>
      </c>
      <c r="H51" s="4">
        <v>13.5</v>
      </c>
      <c r="I51" s="4">
        <v>0.55500000000000005</v>
      </c>
      <c r="J51" s="4">
        <v>0.53400000000000003</v>
      </c>
      <c r="K51" s="4">
        <v>0.48</v>
      </c>
      <c r="L51" s="4">
        <v>0.122</v>
      </c>
      <c r="M51" s="4">
        <v>8</v>
      </c>
      <c r="N51" s="4">
        <v>12.1</v>
      </c>
      <c r="O51" s="4">
        <v>10.9</v>
      </c>
      <c r="P51" s="4">
        <v>1.5</v>
      </c>
      <c r="Q51" s="4">
        <v>2.7</v>
      </c>
      <c r="R51" s="4">
        <v>14.8</v>
      </c>
      <c r="S51" s="4">
        <v>16.899999999999999</v>
      </c>
      <c r="T51" s="4">
        <v>106</v>
      </c>
      <c r="U51" s="4">
        <v>111</v>
      </c>
      <c r="V51" s="4"/>
      <c r="W51" s="4">
        <v>0.6</v>
      </c>
      <c r="X51" s="4">
        <v>1</v>
      </c>
      <c r="Y51" s="4">
        <v>1.6</v>
      </c>
      <c r="Z51" s="4">
        <v>6.9000000000000006E-2</v>
      </c>
      <c r="AA51" s="13">
        <f>(I51/TOTAL_BASIC!$D$301)*100</f>
        <v>99.053899611526646</v>
      </c>
      <c r="AB51" s="5">
        <f t="shared" si="3"/>
        <v>1.06</v>
      </c>
      <c r="AC51" s="3">
        <f t="shared" si="1"/>
        <v>-5</v>
      </c>
      <c r="AD51" s="9">
        <f t="shared" si="4"/>
        <v>1.1100000000000001</v>
      </c>
      <c r="AE51" s="16">
        <f t="shared" si="5"/>
        <v>0.64497041420118351</v>
      </c>
      <c r="AF51" s="16">
        <f t="shared" si="6"/>
        <v>0.73648648648648651</v>
      </c>
      <c r="AG51" s="9"/>
      <c r="AH51" s="9"/>
      <c r="AI51" s="12">
        <f t="shared" si="7"/>
        <v>43.6</v>
      </c>
      <c r="AJ51" s="12">
        <f t="shared" si="8"/>
        <v>73.400000000000006</v>
      </c>
      <c r="AK51" s="12">
        <f t="shared" si="8"/>
        <v>53</v>
      </c>
      <c r="AL51" s="12">
        <f t="shared" si="8"/>
        <v>46.9</v>
      </c>
      <c r="AM51" s="12">
        <f t="shared" si="8"/>
        <v>65.100000000000009</v>
      </c>
      <c r="AN51" s="12">
        <f t="shared" si="8"/>
        <v>64.600000000000009</v>
      </c>
      <c r="AO51" s="12">
        <f t="shared" si="14"/>
        <v>10.4</v>
      </c>
      <c r="AP51" s="12">
        <f t="shared" si="14"/>
        <v>79</v>
      </c>
      <c r="AQ51" s="12">
        <f t="shared" si="14"/>
        <v>74</v>
      </c>
      <c r="AR51" s="12">
        <f t="shared" si="14"/>
        <v>32.5</v>
      </c>
      <c r="AS51" s="12">
        <f t="shared" si="15"/>
        <v>34.200000000000003</v>
      </c>
      <c r="AT51" s="12">
        <f t="shared" si="15"/>
        <v>77.900000000000006</v>
      </c>
      <c r="AU51" s="12">
        <f t="shared" si="9"/>
        <v>49.8</v>
      </c>
      <c r="AV51" s="12">
        <f t="shared" si="15"/>
        <v>33.1</v>
      </c>
      <c r="AW51" s="12">
        <f t="shared" si="16"/>
        <v>44.7</v>
      </c>
      <c r="AX51" s="12">
        <f t="shared" si="10"/>
        <v>48.699999999999996</v>
      </c>
      <c r="AY51" s="9"/>
      <c r="AZ51" s="12">
        <f t="shared" si="17"/>
        <v>56.3</v>
      </c>
      <c r="BA51" s="12">
        <f t="shared" si="13"/>
        <v>68.5</v>
      </c>
      <c r="BB51" s="12">
        <f t="shared" si="11"/>
        <v>63.5</v>
      </c>
      <c r="BC51" s="12">
        <f t="shared" si="11"/>
        <v>45.300000000000004</v>
      </c>
      <c r="BD51" s="12">
        <f t="shared" si="11"/>
        <v>46.9</v>
      </c>
      <c r="BE51" s="12">
        <f t="shared" si="11"/>
        <v>44.7</v>
      </c>
      <c r="BF51" s="12">
        <f t="shared" si="12"/>
        <v>43</v>
      </c>
      <c r="BG51" s="12">
        <f t="shared" si="12"/>
        <v>46.9</v>
      </c>
      <c r="BH51" s="12">
        <f t="shared" si="12"/>
        <v>39.200000000000003</v>
      </c>
      <c r="BI51" s="12">
        <f t="shared" si="12"/>
        <v>28.7</v>
      </c>
    </row>
    <row r="52" spans="1:61" ht="15.75" customHeight="1">
      <c r="A52" s="1" t="s">
        <v>278</v>
      </c>
      <c r="B52" s="3" t="s">
        <v>232</v>
      </c>
      <c r="C52" s="4" t="s">
        <v>88</v>
      </c>
      <c r="D52" s="4">
        <v>39</v>
      </c>
      <c r="E52" s="4">
        <v>935</v>
      </c>
      <c r="F52" s="4">
        <v>39</v>
      </c>
      <c r="G52" s="4">
        <v>935</v>
      </c>
      <c r="H52" s="4">
        <v>19.600000000000001</v>
      </c>
      <c r="I52" s="4">
        <v>0.64700000000000002</v>
      </c>
      <c r="J52" s="4">
        <v>0.622</v>
      </c>
      <c r="K52" s="4">
        <v>0.39500000000000002</v>
      </c>
      <c r="L52" s="4">
        <v>0.20699999999999999</v>
      </c>
      <c r="M52" s="4">
        <v>7.1</v>
      </c>
      <c r="N52" s="4">
        <v>11</v>
      </c>
      <c r="O52" s="4">
        <v>7.1</v>
      </c>
      <c r="P52" s="4">
        <v>0.8</v>
      </c>
      <c r="Q52" s="4">
        <v>2.5</v>
      </c>
      <c r="R52" s="4">
        <v>6.6</v>
      </c>
      <c r="S52" s="4">
        <v>20.3</v>
      </c>
      <c r="T52" s="4">
        <v>126</v>
      </c>
      <c r="U52" s="4">
        <v>117</v>
      </c>
      <c r="V52" s="4"/>
      <c r="W52" s="4">
        <v>3.2</v>
      </c>
      <c r="X52" s="4">
        <v>0.2</v>
      </c>
      <c r="Y52" s="4">
        <v>3.4</v>
      </c>
      <c r="Z52" s="4">
        <v>0.14399999999999999</v>
      </c>
      <c r="AA52" s="13">
        <f>(I52/TOTAL_BASIC!$D$301)*100</f>
        <v>115.47364513271665</v>
      </c>
      <c r="AB52" s="5">
        <f t="shared" si="3"/>
        <v>1.26</v>
      </c>
      <c r="AC52" s="3">
        <f t="shared" si="1"/>
        <v>9</v>
      </c>
      <c r="AD52" s="9">
        <f t="shared" si="4"/>
        <v>1.294</v>
      </c>
      <c r="AE52" s="16">
        <f t="shared" si="5"/>
        <v>0.34975369458128075</v>
      </c>
      <c r="AF52" s="16">
        <f t="shared" si="6"/>
        <v>1.0757575757575757</v>
      </c>
      <c r="AG52" s="9"/>
      <c r="AH52" s="9"/>
      <c r="AI52" s="12">
        <f t="shared" si="7"/>
        <v>64.600000000000009</v>
      </c>
      <c r="AJ52" s="12">
        <f t="shared" si="8"/>
        <v>72.899999999999991</v>
      </c>
      <c r="AK52" s="12">
        <f t="shared" si="8"/>
        <v>83.399999999999991</v>
      </c>
      <c r="AL52" s="12">
        <f t="shared" si="8"/>
        <v>95.5</v>
      </c>
      <c r="AM52" s="12">
        <f t="shared" si="8"/>
        <v>96.6</v>
      </c>
      <c r="AN52" s="12">
        <f t="shared" si="8"/>
        <v>45.800000000000004</v>
      </c>
      <c r="AO52" s="12">
        <f t="shared" si="14"/>
        <v>27.6</v>
      </c>
      <c r="AP52" s="12">
        <f t="shared" si="14"/>
        <v>71.8</v>
      </c>
      <c r="AQ52" s="12">
        <f t="shared" si="14"/>
        <v>63.5</v>
      </c>
      <c r="AR52" s="12">
        <f t="shared" si="14"/>
        <v>8.7999999999999989</v>
      </c>
      <c r="AS52" s="12">
        <f t="shared" si="15"/>
        <v>5.5</v>
      </c>
      <c r="AT52" s="12">
        <f t="shared" si="15"/>
        <v>74.5</v>
      </c>
      <c r="AU52" s="12">
        <f t="shared" si="9"/>
        <v>98.9</v>
      </c>
      <c r="AV52" s="12">
        <f t="shared" si="15"/>
        <v>62.4</v>
      </c>
      <c r="AW52" s="12">
        <f t="shared" si="16"/>
        <v>97.2</v>
      </c>
      <c r="AX52" s="12">
        <f t="shared" si="10"/>
        <v>8.8999999999999915</v>
      </c>
      <c r="AY52" s="9"/>
      <c r="AZ52" s="12">
        <f t="shared" si="17"/>
        <v>91.7</v>
      </c>
      <c r="BA52" s="12">
        <f t="shared" si="13"/>
        <v>17.599999999999998</v>
      </c>
      <c r="BB52" s="12">
        <f t="shared" si="11"/>
        <v>83.899999999999991</v>
      </c>
      <c r="BC52" s="12">
        <f t="shared" si="11"/>
        <v>80.100000000000009</v>
      </c>
      <c r="BD52" s="12">
        <f t="shared" si="11"/>
        <v>95.5</v>
      </c>
      <c r="BE52" s="12">
        <f t="shared" si="11"/>
        <v>97.2</v>
      </c>
      <c r="BF52" s="12">
        <f t="shared" si="12"/>
        <v>77.900000000000006</v>
      </c>
      <c r="BG52" s="12">
        <f t="shared" si="12"/>
        <v>95.5</v>
      </c>
      <c r="BH52" s="12">
        <f t="shared" si="12"/>
        <v>4.9000000000000004</v>
      </c>
      <c r="BI52" s="12">
        <f t="shared" si="12"/>
        <v>61.3</v>
      </c>
    </row>
    <row r="53" spans="1:61" ht="15.75" customHeight="1">
      <c r="A53" s="1" t="s">
        <v>120</v>
      </c>
      <c r="B53" s="3" t="s">
        <v>96</v>
      </c>
      <c r="C53" s="4" t="s">
        <v>85</v>
      </c>
      <c r="D53" s="4">
        <v>41</v>
      </c>
      <c r="E53" s="4">
        <v>932</v>
      </c>
      <c r="F53" s="4">
        <v>41</v>
      </c>
      <c r="G53" s="4">
        <v>932</v>
      </c>
      <c r="H53" s="4">
        <v>13.7</v>
      </c>
      <c r="I53" s="4">
        <v>0.56399999999999995</v>
      </c>
      <c r="J53" s="4">
        <v>0.56100000000000005</v>
      </c>
      <c r="K53" s="4">
        <v>0.6</v>
      </c>
      <c r="L53" s="4">
        <v>0.1</v>
      </c>
      <c r="M53" s="4">
        <v>4.5999999999999996</v>
      </c>
      <c r="N53" s="4">
        <v>11.4</v>
      </c>
      <c r="O53" s="4">
        <v>10.4</v>
      </c>
      <c r="P53" s="4">
        <v>2.1</v>
      </c>
      <c r="Q53" s="4">
        <v>4.5999999999999996</v>
      </c>
      <c r="R53" s="4">
        <v>11.2</v>
      </c>
      <c r="S53" s="4">
        <v>12.2</v>
      </c>
      <c r="T53" s="4">
        <v>117</v>
      </c>
      <c r="U53" s="4">
        <v>104</v>
      </c>
      <c r="V53" s="4"/>
      <c r="W53" s="4">
        <v>1.3</v>
      </c>
      <c r="X53" s="4">
        <v>1.9</v>
      </c>
      <c r="Y53" s="4">
        <v>3.2</v>
      </c>
      <c r="Z53" s="4">
        <v>0.13700000000000001</v>
      </c>
      <c r="AA53" s="13">
        <f>(I53/TOTAL_BASIC!$D$301)*100</f>
        <v>100.66017906468655</v>
      </c>
      <c r="AB53" s="5">
        <f t="shared" si="3"/>
        <v>1.17</v>
      </c>
      <c r="AC53" s="3">
        <f t="shared" si="1"/>
        <v>13</v>
      </c>
      <c r="AD53" s="9">
        <f t="shared" si="4"/>
        <v>1.1279999999999999</v>
      </c>
      <c r="AE53" s="16">
        <f t="shared" si="5"/>
        <v>0.85245901639344268</v>
      </c>
      <c r="AF53" s="16">
        <f t="shared" si="6"/>
        <v>0.92857142857142871</v>
      </c>
      <c r="AG53" s="9"/>
      <c r="AH53" s="9"/>
      <c r="AI53" s="12">
        <f t="shared" si="7"/>
        <v>85.6</v>
      </c>
      <c r="AJ53" s="12">
        <f t="shared" si="8"/>
        <v>72.3</v>
      </c>
      <c r="AK53" s="12">
        <f t="shared" si="8"/>
        <v>54.6</v>
      </c>
      <c r="AL53" s="12">
        <f t="shared" si="8"/>
        <v>56.899999999999991</v>
      </c>
      <c r="AM53" s="12">
        <f t="shared" si="8"/>
        <v>79</v>
      </c>
      <c r="AN53" s="12">
        <f t="shared" si="8"/>
        <v>84.5</v>
      </c>
      <c r="AO53" s="12">
        <f t="shared" si="14"/>
        <v>6.6000000000000005</v>
      </c>
      <c r="AP53" s="12">
        <f t="shared" si="14"/>
        <v>51.300000000000004</v>
      </c>
      <c r="AQ53" s="12">
        <f t="shared" si="14"/>
        <v>67.900000000000006</v>
      </c>
      <c r="AR53" s="12">
        <f t="shared" si="14"/>
        <v>29.799999999999997</v>
      </c>
      <c r="AS53" s="12">
        <f t="shared" si="15"/>
        <v>70.7</v>
      </c>
      <c r="AT53" s="12">
        <f t="shared" si="15"/>
        <v>92.2</v>
      </c>
      <c r="AU53" s="12">
        <f t="shared" si="9"/>
        <v>80.2</v>
      </c>
      <c r="AV53" s="12">
        <f t="shared" si="15"/>
        <v>7.1</v>
      </c>
      <c r="AW53" s="12">
        <f t="shared" si="16"/>
        <v>78.400000000000006</v>
      </c>
      <c r="AX53" s="12">
        <f t="shared" si="10"/>
        <v>88.4</v>
      </c>
      <c r="AY53" s="9"/>
      <c r="AZ53" s="12">
        <f t="shared" si="17"/>
        <v>74</v>
      </c>
      <c r="BA53" s="12">
        <f t="shared" si="13"/>
        <v>88.3</v>
      </c>
      <c r="BB53" s="12">
        <f t="shared" si="11"/>
        <v>81.2</v>
      </c>
      <c r="BC53" s="12">
        <f t="shared" si="11"/>
        <v>77.3</v>
      </c>
      <c r="BD53" s="12">
        <f t="shared" si="11"/>
        <v>56.899999999999991</v>
      </c>
      <c r="BE53" s="12">
        <f t="shared" si="11"/>
        <v>78.400000000000006</v>
      </c>
      <c r="BF53" s="12">
        <f t="shared" si="12"/>
        <v>86.7</v>
      </c>
      <c r="BG53" s="12">
        <f t="shared" si="12"/>
        <v>56.899999999999991</v>
      </c>
      <c r="BH53" s="12">
        <f t="shared" si="12"/>
        <v>63.5</v>
      </c>
      <c r="BI53" s="12">
        <f t="shared" si="12"/>
        <v>44.1</v>
      </c>
    </row>
    <row r="54" spans="1:61" ht="15.75" customHeight="1">
      <c r="A54" s="1" t="s">
        <v>188</v>
      </c>
      <c r="B54" s="3" t="s">
        <v>93</v>
      </c>
      <c r="C54" s="4" t="s">
        <v>112</v>
      </c>
      <c r="D54" s="4">
        <v>40</v>
      </c>
      <c r="E54" s="4">
        <v>929</v>
      </c>
      <c r="F54" s="4">
        <v>40</v>
      </c>
      <c r="G54" s="4">
        <v>929</v>
      </c>
      <c r="H54" s="4">
        <v>10.4</v>
      </c>
      <c r="I54" s="4">
        <v>0.56899999999999995</v>
      </c>
      <c r="J54" s="4">
        <v>0.56000000000000005</v>
      </c>
      <c r="K54" s="4">
        <v>0.495</v>
      </c>
      <c r="L54" s="4">
        <v>8.3000000000000004E-2</v>
      </c>
      <c r="M54" s="4">
        <v>2</v>
      </c>
      <c r="N54" s="4">
        <v>5.2</v>
      </c>
      <c r="O54" s="4">
        <v>12.9</v>
      </c>
      <c r="P54" s="4">
        <v>2.2999999999999998</v>
      </c>
      <c r="Q54" s="4">
        <v>1</v>
      </c>
      <c r="R54" s="4">
        <v>14.8</v>
      </c>
      <c r="S54" s="4">
        <v>12.8</v>
      </c>
      <c r="T54" s="4">
        <v>105</v>
      </c>
      <c r="U54" s="4">
        <v>112</v>
      </c>
      <c r="V54" s="4"/>
      <c r="W54" s="4">
        <v>0.4</v>
      </c>
      <c r="X54" s="4">
        <v>0.8</v>
      </c>
      <c r="Y54" s="4">
        <v>1.2</v>
      </c>
      <c r="Z54" s="4">
        <v>0.05</v>
      </c>
      <c r="AA54" s="13">
        <f>(I54/TOTAL_BASIC!$D$301)*100</f>
        <v>101.55255653866423</v>
      </c>
      <c r="AB54" s="5">
        <f t="shared" si="3"/>
        <v>1.05</v>
      </c>
      <c r="AC54" s="3">
        <f t="shared" si="1"/>
        <v>-7</v>
      </c>
      <c r="AD54" s="9">
        <f t="shared" si="4"/>
        <v>1.1379999999999999</v>
      </c>
      <c r="AE54" s="16">
        <f t="shared" si="5"/>
        <v>1.0078125</v>
      </c>
      <c r="AF54" s="16">
        <f t="shared" si="6"/>
        <v>0.8716216216216216</v>
      </c>
      <c r="AG54" s="9"/>
      <c r="AH54" s="9"/>
      <c r="AI54" s="12">
        <f t="shared" si="7"/>
        <v>72.899999999999991</v>
      </c>
      <c r="AJ54" s="12">
        <f t="shared" si="8"/>
        <v>71.8</v>
      </c>
      <c r="AK54" s="12">
        <f t="shared" si="8"/>
        <v>30.3</v>
      </c>
      <c r="AL54" s="12">
        <f t="shared" si="8"/>
        <v>61.3</v>
      </c>
      <c r="AM54" s="12">
        <f t="shared" si="8"/>
        <v>77.900000000000006</v>
      </c>
      <c r="AN54" s="12">
        <f t="shared" si="8"/>
        <v>66.8</v>
      </c>
      <c r="AO54" s="12">
        <f t="shared" si="14"/>
        <v>3.3000000000000003</v>
      </c>
      <c r="AP54" s="12">
        <f t="shared" si="14"/>
        <v>14.899999999999999</v>
      </c>
      <c r="AQ54" s="12">
        <f t="shared" si="14"/>
        <v>16</v>
      </c>
      <c r="AR54" s="12">
        <f t="shared" si="14"/>
        <v>47.5</v>
      </c>
      <c r="AS54" s="12">
        <f t="shared" si="15"/>
        <v>77.900000000000006</v>
      </c>
      <c r="AT54" s="12">
        <f t="shared" si="15"/>
        <v>39.700000000000003</v>
      </c>
      <c r="AU54" s="12">
        <f t="shared" si="9"/>
        <v>49.8</v>
      </c>
      <c r="AV54" s="12">
        <f t="shared" si="15"/>
        <v>9.9</v>
      </c>
      <c r="AW54" s="12">
        <f t="shared" si="16"/>
        <v>41.4</v>
      </c>
      <c r="AX54" s="12">
        <f t="shared" si="10"/>
        <v>38.700000000000003</v>
      </c>
      <c r="AY54" s="9"/>
      <c r="AZ54" s="12">
        <f t="shared" si="17"/>
        <v>46.9</v>
      </c>
      <c r="BA54" s="12">
        <f t="shared" si="13"/>
        <v>58.5</v>
      </c>
      <c r="BB54" s="12">
        <f t="shared" si="11"/>
        <v>56.3</v>
      </c>
      <c r="BC54" s="12">
        <f t="shared" si="11"/>
        <v>35.9</v>
      </c>
      <c r="BD54" s="12">
        <f t="shared" si="11"/>
        <v>61.3</v>
      </c>
      <c r="BE54" s="12">
        <f t="shared" si="11"/>
        <v>41.4</v>
      </c>
      <c r="BF54" s="12">
        <f t="shared" si="12"/>
        <v>38.6</v>
      </c>
      <c r="BG54" s="12">
        <f t="shared" si="12"/>
        <v>61.3</v>
      </c>
      <c r="BH54" s="12">
        <f t="shared" si="12"/>
        <v>72.3</v>
      </c>
      <c r="BI54" s="12">
        <f t="shared" si="12"/>
        <v>38.1</v>
      </c>
    </row>
    <row r="55" spans="1:61" ht="15.75" customHeight="1">
      <c r="A55" s="1" t="s">
        <v>244</v>
      </c>
      <c r="B55" s="3" t="s">
        <v>140</v>
      </c>
      <c r="C55" s="4" t="s">
        <v>85</v>
      </c>
      <c r="D55" s="4">
        <v>37</v>
      </c>
      <c r="E55" s="4">
        <v>927</v>
      </c>
      <c r="F55" s="4">
        <v>37</v>
      </c>
      <c r="G55" s="4">
        <v>927</v>
      </c>
      <c r="H55" s="4">
        <v>10.7</v>
      </c>
      <c r="I55" s="4">
        <v>0.58699999999999997</v>
      </c>
      <c r="J55" s="4">
        <v>0.54200000000000004</v>
      </c>
      <c r="K55" s="4">
        <v>0.52600000000000002</v>
      </c>
      <c r="L55" s="4">
        <v>0.28699999999999998</v>
      </c>
      <c r="M55" s="4">
        <v>7.2</v>
      </c>
      <c r="N55" s="4">
        <v>6.4</v>
      </c>
      <c r="O55" s="4">
        <v>11.6</v>
      </c>
      <c r="P55" s="4">
        <v>0.9</v>
      </c>
      <c r="Q55" s="4">
        <v>0.6</v>
      </c>
      <c r="R55" s="4">
        <v>17.5</v>
      </c>
      <c r="S55" s="4">
        <v>16.5</v>
      </c>
      <c r="T55" s="4">
        <v>111</v>
      </c>
      <c r="U55" s="4">
        <v>110</v>
      </c>
      <c r="V55" s="4"/>
      <c r="W55" s="4">
        <v>1.1000000000000001</v>
      </c>
      <c r="X55" s="4">
        <v>1.1000000000000001</v>
      </c>
      <c r="Y55" s="4">
        <v>2.2000000000000002</v>
      </c>
      <c r="Z55" s="4">
        <v>9.4E-2</v>
      </c>
      <c r="AA55" s="13">
        <f>(I55/TOTAL_BASIC!$D$301)*100</f>
        <v>104.76511544498403</v>
      </c>
      <c r="AB55" s="5">
        <f t="shared" si="3"/>
        <v>1.1100000000000001</v>
      </c>
      <c r="AC55" s="3">
        <f t="shared" si="1"/>
        <v>1</v>
      </c>
      <c r="AD55" s="9">
        <f t="shared" si="4"/>
        <v>1.1739999999999999</v>
      </c>
      <c r="AE55" s="16">
        <f t="shared" si="5"/>
        <v>0.70303030303030301</v>
      </c>
      <c r="AF55" s="16">
        <f t="shared" si="6"/>
        <v>0.66285714285714281</v>
      </c>
      <c r="AG55" s="9"/>
      <c r="AH55" s="9"/>
      <c r="AI55" s="12">
        <f t="shared" si="7"/>
        <v>51.300000000000004</v>
      </c>
      <c r="AJ55" s="12">
        <f t="shared" si="8"/>
        <v>71.2</v>
      </c>
      <c r="AK55" s="12">
        <f t="shared" si="8"/>
        <v>34.799999999999997</v>
      </c>
      <c r="AL55" s="12">
        <f t="shared" si="8"/>
        <v>70.7</v>
      </c>
      <c r="AM55" s="12">
        <f t="shared" si="8"/>
        <v>66.8</v>
      </c>
      <c r="AN55" s="12">
        <f t="shared" si="8"/>
        <v>76.2</v>
      </c>
      <c r="AO55" s="12">
        <f t="shared" si="14"/>
        <v>51.9</v>
      </c>
      <c r="AP55" s="12">
        <f t="shared" si="14"/>
        <v>72.3</v>
      </c>
      <c r="AQ55" s="12">
        <f t="shared" si="14"/>
        <v>25.900000000000002</v>
      </c>
      <c r="AR55" s="12">
        <f t="shared" si="14"/>
        <v>36.4</v>
      </c>
      <c r="AS55" s="12">
        <f t="shared" si="15"/>
        <v>8.2000000000000011</v>
      </c>
      <c r="AT55" s="12">
        <f t="shared" si="15"/>
        <v>19.8</v>
      </c>
      <c r="AU55" s="12">
        <f t="shared" si="9"/>
        <v>29.299999999999997</v>
      </c>
      <c r="AV55" s="12">
        <f t="shared" si="15"/>
        <v>28.1</v>
      </c>
      <c r="AW55" s="12">
        <f t="shared" si="16"/>
        <v>64.600000000000009</v>
      </c>
      <c r="AX55" s="12">
        <f t="shared" si="10"/>
        <v>58.6</v>
      </c>
      <c r="AY55" s="9"/>
      <c r="AZ55" s="12">
        <f t="shared" si="17"/>
        <v>69</v>
      </c>
      <c r="BA55" s="12">
        <f t="shared" si="13"/>
        <v>72.899999999999991</v>
      </c>
      <c r="BB55" s="12">
        <f t="shared" si="11"/>
        <v>71.2</v>
      </c>
      <c r="BC55" s="12">
        <f t="shared" si="11"/>
        <v>62.9</v>
      </c>
      <c r="BD55" s="12">
        <f t="shared" si="11"/>
        <v>70.7</v>
      </c>
      <c r="BE55" s="12">
        <f t="shared" si="11"/>
        <v>64.600000000000009</v>
      </c>
      <c r="BF55" s="12">
        <f t="shared" si="12"/>
        <v>61.8</v>
      </c>
      <c r="BG55" s="12">
        <f t="shared" si="12"/>
        <v>70.7</v>
      </c>
      <c r="BH55" s="12">
        <f t="shared" si="12"/>
        <v>49.7</v>
      </c>
      <c r="BI55" s="12">
        <f t="shared" si="12"/>
        <v>23.200000000000003</v>
      </c>
    </row>
    <row r="56" spans="1:61" ht="15.75" customHeight="1">
      <c r="A56" s="1" t="s">
        <v>174</v>
      </c>
      <c r="B56" s="3" t="s">
        <v>117</v>
      </c>
      <c r="C56" s="4" t="s">
        <v>85</v>
      </c>
      <c r="D56" s="4">
        <v>38</v>
      </c>
      <c r="E56" s="4">
        <v>925</v>
      </c>
      <c r="F56" s="4">
        <v>38</v>
      </c>
      <c r="G56" s="4">
        <v>925</v>
      </c>
      <c r="H56" s="4">
        <v>19.8</v>
      </c>
      <c r="I56" s="4">
        <v>0.64200000000000002</v>
      </c>
      <c r="J56" s="4">
        <v>0.63900000000000001</v>
      </c>
      <c r="K56" s="4">
        <v>2.8000000000000001E-2</v>
      </c>
      <c r="L56" s="4">
        <v>0.46700000000000003</v>
      </c>
      <c r="M56" s="4">
        <v>11.1</v>
      </c>
      <c r="N56" s="4">
        <v>15.8</v>
      </c>
      <c r="O56" s="4">
        <v>5.9</v>
      </c>
      <c r="P56" s="4">
        <v>1.3</v>
      </c>
      <c r="Q56" s="4">
        <v>2.4</v>
      </c>
      <c r="R56" s="4">
        <v>8.6999999999999993</v>
      </c>
      <c r="S56" s="4">
        <v>18.5</v>
      </c>
      <c r="T56" s="4">
        <v>126</v>
      </c>
      <c r="U56" s="4">
        <v>108</v>
      </c>
      <c r="V56" s="4"/>
      <c r="W56" s="4">
        <v>3</v>
      </c>
      <c r="X56" s="4">
        <v>1.4</v>
      </c>
      <c r="Y56" s="4">
        <v>4.4000000000000004</v>
      </c>
      <c r="Z56" s="4">
        <v>0.191</v>
      </c>
      <c r="AA56" s="13">
        <f>(I56/TOTAL_BASIC!$D$301)*100</f>
        <v>114.58126765873892</v>
      </c>
      <c r="AB56" s="5">
        <f t="shared" si="3"/>
        <v>1.26</v>
      </c>
      <c r="AC56" s="3">
        <f t="shared" si="1"/>
        <v>18</v>
      </c>
      <c r="AD56" s="9">
        <f t="shared" si="4"/>
        <v>1.284</v>
      </c>
      <c r="AE56" s="16">
        <f t="shared" si="5"/>
        <v>0.31891891891891894</v>
      </c>
      <c r="AF56" s="16">
        <f t="shared" si="6"/>
        <v>0.67816091954022995</v>
      </c>
      <c r="AG56" s="9"/>
      <c r="AH56" s="9"/>
      <c r="AI56" s="12">
        <f t="shared" si="7"/>
        <v>59.599999999999994</v>
      </c>
      <c r="AJ56" s="12">
        <f t="shared" si="8"/>
        <v>70.7</v>
      </c>
      <c r="AK56" s="12">
        <f t="shared" si="8"/>
        <v>84.5</v>
      </c>
      <c r="AL56" s="12">
        <f t="shared" si="8"/>
        <v>94.399999999999991</v>
      </c>
      <c r="AM56" s="12">
        <f t="shared" si="8"/>
        <v>98.3</v>
      </c>
      <c r="AN56" s="12">
        <f t="shared" si="8"/>
        <v>4.9000000000000004</v>
      </c>
      <c r="AO56" s="12">
        <f t="shared" si="14"/>
        <v>89.5</v>
      </c>
      <c r="AP56" s="12">
        <f t="shared" si="14"/>
        <v>91.7</v>
      </c>
      <c r="AQ56" s="12">
        <f t="shared" si="14"/>
        <v>88.3</v>
      </c>
      <c r="AR56" s="12">
        <f t="shared" si="14"/>
        <v>4.3999999999999995</v>
      </c>
      <c r="AS56" s="12">
        <f t="shared" si="15"/>
        <v>23.7</v>
      </c>
      <c r="AT56" s="12">
        <f t="shared" si="15"/>
        <v>71.8</v>
      </c>
      <c r="AU56" s="12">
        <f t="shared" si="9"/>
        <v>90.7</v>
      </c>
      <c r="AV56" s="12">
        <f t="shared" si="15"/>
        <v>52.400000000000006</v>
      </c>
      <c r="AW56" s="12">
        <f t="shared" si="16"/>
        <v>97.2</v>
      </c>
      <c r="AX56" s="12">
        <f t="shared" si="10"/>
        <v>71.3</v>
      </c>
      <c r="AY56" s="9"/>
      <c r="AZ56" s="12">
        <f t="shared" si="17"/>
        <v>90.600000000000009</v>
      </c>
      <c r="BA56" s="12">
        <f t="shared" si="13"/>
        <v>79.5</v>
      </c>
      <c r="BB56" s="12">
        <f t="shared" si="11"/>
        <v>88.3</v>
      </c>
      <c r="BC56" s="12">
        <f t="shared" si="11"/>
        <v>91.100000000000009</v>
      </c>
      <c r="BD56" s="12">
        <f t="shared" si="11"/>
        <v>94.399999999999991</v>
      </c>
      <c r="BE56" s="12">
        <f t="shared" si="11"/>
        <v>97.2</v>
      </c>
      <c r="BF56" s="12">
        <f t="shared" si="12"/>
        <v>96.6</v>
      </c>
      <c r="BG56" s="12">
        <f t="shared" si="12"/>
        <v>94.399999999999991</v>
      </c>
      <c r="BH56" s="12">
        <f t="shared" si="12"/>
        <v>2.7</v>
      </c>
      <c r="BI56" s="12">
        <f t="shared" si="12"/>
        <v>25.4</v>
      </c>
    </row>
    <row r="57" spans="1:61" ht="15.75" customHeight="1">
      <c r="A57" s="1" t="s">
        <v>110</v>
      </c>
      <c r="B57" s="3" t="s">
        <v>91</v>
      </c>
      <c r="C57" s="4" t="s">
        <v>85</v>
      </c>
      <c r="D57" s="4">
        <v>37</v>
      </c>
      <c r="E57" s="4">
        <v>917</v>
      </c>
      <c r="F57" s="4">
        <v>37</v>
      </c>
      <c r="G57" s="4">
        <v>917</v>
      </c>
      <c r="H57" s="4">
        <v>17.899999999999999</v>
      </c>
      <c r="I57" s="4">
        <v>0.51</v>
      </c>
      <c r="J57" s="4">
        <v>0.47499999999999998</v>
      </c>
      <c r="K57" s="4">
        <v>0.39600000000000002</v>
      </c>
      <c r="L57" s="4">
        <v>0.251</v>
      </c>
      <c r="M57" s="4">
        <v>3.1</v>
      </c>
      <c r="N57" s="4">
        <v>8.1</v>
      </c>
      <c r="O57" s="4">
        <v>17.100000000000001</v>
      </c>
      <c r="P57" s="4">
        <v>3.6</v>
      </c>
      <c r="Q57" s="4">
        <v>0.7</v>
      </c>
      <c r="R57" s="4">
        <v>10.1</v>
      </c>
      <c r="S57" s="4">
        <v>29.1</v>
      </c>
      <c r="T57" s="4">
        <v>102</v>
      </c>
      <c r="U57" s="4">
        <v>100</v>
      </c>
      <c r="V57" s="4"/>
      <c r="W57" s="4">
        <v>0.3</v>
      </c>
      <c r="X57" s="4">
        <v>2.4</v>
      </c>
      <c r="Y57" s="4">
        <v>2.7</v>
      </c>
      <c r="Z57" s="4">
        <v>0.11899999999999999</v>
      </c>
      <c r="AA57" s="13">
        <f>(I57/TOTAL_BASIC!$D$301)*100</f>
        <v>91.02250234572719</v>
      </c>
      <c r="AB57" s="5">
        <f t="shared" si="3"/>
        <v>1.02</v>
      </c>
      <c r="AC57" s="3">
        <f t="shared" si="1"/>
        <v>2</v>
      </c>
      <c r="AD57" s="9">
        <f t="shared" si="4"/>
        <v>1.02</v>
      </c>
      <c r="AE57" s="16">
        <f t="shared" si="5"/>
        <v>0.58762886597938147</v>
      </c>
      <c r="AF57" s="16">
        <f t="shared" si="6"/>
        <v>1.6930693069306932</v>
      </c>
      <c r="AG57" s="9"/>
      <c r="AH57" s="9"/>
      <c r="AI57" s="12">
        <f t="shared" si="7"/>
        <v>51.300000000000004</v>
      </c>
      <c r="AJ57" s="12">
        <f t="shared" si="8"/>
        <v>70.099999999999994</v>
      </c>
      <c r="AK57" s="12">
        <f t="shared" si="8"/>
        <v>76.7</v>
      </c>
      <c r="AL57" s="12">
        <f t="shared" si="8"/>
        <v>27.6</v>
      </c>
      <c r="AM57" s="12">
        <f t="shared" si="8"/>
        <v>32.5</v>
      </c>
      <c r="AN57" s="12">
        <f t="shared" si="8"/>
        <v>46.400000000000006</v>
      </c>
      <c r="AO57" s="12">
        <f t="shared" si="14"/>
        <v>40.799999999999997</v>
      </c>
      <c r="AP57" s="12">
        <f t="shared" si="14"/>
        <v>35.299999999999997</v>
      </c>
      <c r="AQ57" s="12">
        <f t="shared" si="14"/>
        <v>44.1</v>
      </c>
      <c r="AR57" s="12">
        <f t="shared" si="14"/>
        <v>66.2</v>
      </c>
      <c r="AS57" s="12">
        <f t="shared" si="15"/>
        <v>99.4</v>
      </c>
      <c r="AT57" s="12">
        <f t="shared" si="15"/>
        <v>24.3</v>
      </c>
      <c r="AU57" s="12">
        <f t="shared" si="9"/>
        <v>87.9</v>
      </c>
      <c r="AV57" s="12">
        <f t="shared" si="15"/>
        <v>96.1</v>
      </c>
      <c r="AW57" s="12">
        <f t="shared" si="16"/>
        <v>31.4</v>
      </c>
      <c r="AX57" s="12">
        <f t="shared" si="10"/>
        <v>98.9</v>
      </c>
      <c r="AY57" s="9"/>
      <c r="AZ57" s="12">
        <f t="shared" si="17"/>
        <v>43</v>
      </c>
      <c r="BA57" s="12">
        <f t="shared" si="13"/>
        <v>95.5</v>
      </c>
      <c r="BB57" s="12">
        <f t="shared" si="11"/>
        <v>76.7</v>
      </c>
      <c r="BC57" s="12">
        <f t="shared" si="11"/>
        <v>70.7</v>
      </c>
      <c r="BD57" s="12">
        <f t="shared" si="11"/>
        <v>27.6</v>
      </c>
      <c r="BE57" s="12">
        <f t="shared" si="11"/>
        <v>31.4</v>
      </c>
      <c r="BF57" s="12">
        <f t="shared" si="12"/>
        <v>67.400000000000006</v>
      </c>
      <c r="BG57" s="12">
        <f t="shared" si="12"/>
        <v>27.6</v>
      </c>
      <c r="BH57" s="12">
        <f t="shared" si="12"/>
        <v>32.5</v>
      </c>
      <c r="BI57" s="12">
        <f t="shared" si="12"/>
        <v>87.2</v>
      </c>
    </row>
    <row r="58" spans="1:61" ht="15.75" customHeight="1">
      <c r="A58" s="1" t="s">
        <v>176</v>
      </c>
      <c r="B58" s="4" t="s">
        <v>157</v>
      </c>
      <c r="C58" s="4" t="s">
        <v>8</v>
      </c>
      <c r="D58" s="4">
        <v>40</v>
      </c>
      <c r="E58" s="4">
        <v>904</v>
      </c>
      <c r="F58" s="4">
        <v>40</v>
      </c>
      <c r="G58" s="4">
        <v>904</v>
      </c>
      <c r="H58" s="4">
        <v>12.5</v>
      </c>
      <c r="I58" s="4">
        <v>0.66800000000000004</v>
      </c>
      <c r="J58" s="4">
        <v>0.62</v>
      </c>
      <c r="K58" s="4">
        <v>0.69499999999999995</v>
      </c>
      <c r="L58" s="4">
        <v>0.33800000000000002</v>
      </c>
      <c r="M58" s="4">
        <v>1.5</v>
      </c>
      <c r="N58" s="4">
        <v>6.4</v>
      </c>
      <c r="O58" s="4">
        <v>7.5</v>
      </c>
      <c r="P58" s="4">
        <v>1.3</v>
      </c>
      <c r="Q58" s="4">
        <v>0.5</v>
      </c>
      <c r="R58" s="4">
        <v>10.3</v>
      </c>
      <c r="S58" s="4">
        <v>13.2</v>
      </c>
      <c r="T58" s="4">
        <v>129</v>
      </c>
      <c r="U58" s="4">
        <v>114</v>
      </c>
      <c r="V58" s="4"/>
      <c r="W58" s="4">
        <v>2.2999999999999998</v>
      </c>
      <c r="X58" s="4">
        <v>0.6</v>
      </c>
      <c r="Y58" s="4">
        <v>2.8</v>
      </c>
      <c r="Z58" s="4">
        <v>0.125</v>
      </c>
      <c r="AA58" s="13">
        <f>(I58/TOTAL_BASIC!$D$301)*100</f>
        <v>119.22163052342307</v>
      </c>
      <c r="AB58" s="5">
        <f t="shared" si="3"/>
        <v>1.29</v>
      </c>
      <c r="AC58" s="3">
        <f t="shared" si="1"/>
        <v>15</v>
      </c>
      <c r="AD58" s="9">
        <f t="shared" si="4"/>
        <v>1.3360000000000001</v>
      </c>
      <c r="AE58" s="16">
        <f t="shared" si="5"/>
        <v>0.56818181818181823</v>
      </c>
      <c r="AF58" s="16">
        <f t="shared" si="6"/>
        <v>0.72815533980582514</v>
      </c>
      <c r="AG58" s="9"/>
      <c r="AH58" s="9"/>
      <c r="AI58" s="12">
        <f t="shared" si="7"/>
        <v>72.899999999999991</v>
      </c>
      <c r="AJ58" s="12">
        <f t="shared" si="8"/>
        <v>69.599999999999994</v>
      </c>
      <c r="AK58" s="12">
        <f t="shared" si="8"/>
        <v>48</v>
      </c>
      <c r="AL58" s="12">
        <f t="shared" si="8"/>
        <v>98.3</v>
      </c>
      <c r="AM58" s="12">
        <f t="shared" si="8"/>
        <v>96.1</v>
      </c>
      <c r="AN58" s="12">
        <f t="shared" si="8"/>
        <v>92.800000000000011</v>
      </c>
      <c r="AO58" s="12">
        <f t="shared" si="14"/>
        <v>63.5</v>
      </c>
      <c r="AP58" s="12">
        <f t="shared" si="14"/>
        <v>9.9</v>
      </c>
      <c r="AQ58" s="12">
        <f t="shared" si="14"/>
        <v>25.900000000000002</v>
      </c>
      <c r="AR58" s="12">
        <f t="shared" si="14"/>
        <v>11.600000000000001</v>
      </c>
      <c r="AS58" s="12">
        <f t="shared" si="15"/>
        <v>23.7</v>
      </c>
      <c r="AT58" s="12">
        <f t="shared" si="15"/>
        <v>16.5</v>
      </c>
      <c r="AU58" s="12">
        <f t="shared" si="9"/>
        <v>87.3</v>
      </c>
      <c r="AV58" s="12">
        <f t="shared" si="15"/>
        <v>12.7</v>
      </c>
      <c r="AW58" s="12">
        <f t="shared" si="16"/>
        <v>99.4</v>
      </c>
      <c r="AX58" s="12">
        <f t="shared" si="10"/>
        <v>24.900000000000006</v>
      </c>
      <c r="AY58" s="9"/>
      <c r="AZ58" s="12">
        <f t="shared" si="17"/>
        <v>85.6</v>
      </c>
      <c r="BA58" s="12">
        <f t="shared" si="13"/>
        <v>47.5</v>
      </c>
      <c r="BB58" s="12">
        <f t="shared" si="11"/>
        <v>77.900000000000006</v>
      </c>
      <c r="BC58" s="12">
        <f t="shared" si="11"/>
        <v>72.899999999999991</v>
      </c>
      <c r="BD58" s="12">
        <f t="shared" si="11"/>
        <v>98.3</v>
      </c>
      <c r="BE58" s="12">
        <f t="shared" si="11"/>
        <v>99.4</v>
      </c>
      <c r="BF58" s="12">
        <f t="shared" si="12"/>
        <v>90.600000000000009</v>
      </c>
      <c r="BG58" s="12">
        <f t="shared" si="12"/>
        <v>98.3</v>
      </c>
      <c r="BH58" s="12">
        <f t="shared" si="12"/>
        <v>28.1</v>
      </c>
      <c r="BI58" s="12">
        <f t="shared" si="12"/>
        <v>28.1</v>
      </c>
    </row>
    <row r="59" spans="1:61" ht="15.75" customHeight="1">
      <c r="A59" s="1" t="s">
        <v>126</v>
      </c>
      <c r="B59" s="3" t="s">
        <v>107</v>
      </c>
      <c r="C59" s="4" t="s">
        <v>85</v>
      </c>
      <c r="D59" s="4">
        <v>40</v>
      </c>
      <c r="E59" s="4">
        <v>903</v>
      </c>
      <c r="F59" s="4">
        <v>40</v>
      </c>
      <c r="G59" s="4">
        <v>903</v>
      </c>
      <c r="H59" s="4">
        <v>8.1999999999999993</v>
      </c>
      <c r="I59" s="4">
        <v>0.48699999999999999</v>
      </c>
      <c r="J59" s="4">
        <v>0.42499999999999999</v>
      </c>
      <c r="K59" s="4">
        <v>0.41699999999999998</v>
      </c>
      <c r="L59" s="4">
        <v>0.313</v>
      </c>
      <c r="M59" s="4">
        <v>1.9</v>
      </c>
      <c r="N59" s="4">
        <v>7.1</v>
      </c>
      <c r="O59" s="4">
        <v>10.8</v>
      </c>
      <c r="P59" s="4">
        <v>1.5</v>
      </c>
      <c r="Q59" s="4">
        <v>0.8</v>
      </c>
      <c r="R59" s="4">
        <v>12.8</v>
      </c>
      <c r="S59" s="4">
        <v>22.1</v>
      </c>
      <c r="T59" s="4">
        <v>94</v>
      </c>
      <c r="U59" s="4">
        <v>114</v>
      </c>
      <c r="V59" s="4"/>
      <c r="W59" s="4">
        <v>-0.9</v>
      </c>
      <c r="X59" s="4">
        <v>0.6</v>
      </c>
      <c r="Y59" s="4">
        <v>-0.4</v>
      </c>
      <c r="Z59" s="4">
        <v>-1.7000000000000001E-2</v>
      </c>
      <c r="AA59" s="13">
        <f>(I59/TOTAL_BASIC!$D$301)*100</f>
        <v>86.917565965429688</v>
      </c>
      <c r="AB59" s="5">
        <f t="shared" si="3"/>
        <v>0.94</v>
      </c>
      <c r="AC59" s="3">
        <f t="shared" si="1"/>
        <v>-20</v>
      </c>
      <c r="AD59" s="9">
        <f t="shared" si="4"/>
        <v>0.97399999999999998</v>
      </c>
      <c r="AE59" s="16">
        <f t="shared" si="5"/>
        <v>0.48868778280542985</v>
      </c>
      <c r="AF59" s="16">
        <f t="shared" si="6"/>
        <v>0.84375</v>
      </c>
      <c r="AG59" s="9"/>
      <c r="AH59" s="9"/>
      <c r="AI59" s="12">
        <f t="shared" si="7"/>
        <v>72.899999999999991</v>
      </c>
      <c r="AJ59" s="12">
        <f t="shared" si="8"/>
        <v>69</v>
      </c>
      <c r="AK59" s="12">
        <f t="shared" si="8"/>
        <v>12.7</v>
      </c>
      <c r="AL59" s="12">
        <f t="shared" si="8"/>
        <v>14.299999999999999</v>
      </c>
      <c r="AM59" s="12">
        <f t="shared" si="8"/>
        <v>9.3000000000000007</v>
      </c>
      <c r="AN59" s="12">
        <f t="shared" si="8"/>
        <v>52.400000000000006</v>
      </c>
      <c r="AO59" s="12">
        <f t="shared" si="14"/>
        <v>57.999999999999993</v>
      </c>
      <c r="AP59" s="12">
        <f t="shared" si="14"/>
        <v>12.7</v>
      </c>
      <c r="AQ59" s="12">
        <f t="shared" si="14"/>
        <v>35.9</v>
      </c>
      <c r="AR59" s="12">
        <f t="shared" si="14"/>
        <v>32</v>
      </c>
      <c r="AS59" s="12">
        <f t="shared" si="15"/>
        <v>34.200000000000003</v>
      </c>
      <c r="AT59" s="12">
        <f t="shared" si="15"/>
        <v>30.3</v>
      </c>
      <c r="AU59" s="12">
        <f t="shared" si="9"/>
        <v>68.599999999999994</v>
      </c>
      <c r="AV59" s="12">
        <f t="shared" si="15"/>
        <v>71.8</v>
      </c>
      <c r="AW59" s="12">
        <f t="shared" si="16"/>
        <v>8.7999999999999989</v>
      </c>
      <c r="AX59" s="12">
        <f t="shared" si="10"/>
        <v>24.900000000000006</v>
      </c>
      <c r="AY59" s="9"/>
      <c r="AZ59" s="12">
        <f t="shared" si="17"/>
        <v>1.0999999999999999</v>
      </c>
      <c r="BA59" s="12">
        <f t="shared" si="13"/>
        <v>47.5</v>
      </c>
      <c r="BB59" s="12">
        <f t="shared" si="11"/>
        <v>2.1999999999999997</v>
      </c>
      <c r="BC59" s="12">
        <f t="shared" si="11"/>
        <v>6.6000000000000005</v>
      </c>
      <c r="BD59" s="12">
        <f t="shared" si="11"/>
        <v>14.299999999999999</v>
      </c>
      <c r="BE59" s="12">
        <f t="shared" si="11"/>
        <v>8.7999999999999989</v>
      </c>
      <c r="BF59" s="12">
        <f t="shared" si="12"/>
        <v>6.6000000000000005</v>
      </c>
      <c r="BG59" s="12">
        <f t="shared" si="12"/>
        <v>14.299999999999999</v>
      </c>
      <c r="BH59" s="12">
        <f t="shared" si="12"/>
        <v>19.3</v>
      </c>
      <c r="BI59" s="12">
        <f t="shared" si="12"/>
        <v>35.299999999999997</v>
      </c>
    </row>
    <row r="60" spans="1:61" ht="15.75" customHeight="1">
      <c r="A60" s="1" t="s">
        <v>191</v>
      </c>
      <c r="B60" s="4" t="s">
        <v>161</v>
      </c>
      <c r="C60" s="4" t="s">
        <v>85</v>
      </c>
      <c r="D60" s="4">
        <v>33</v>
      </c>
      <c r="E60" s="4">
        <v>888</v>
      </c>
      <c r="F60" s="4">
        <v>33</v>
      </c>
      <c r="G60" s="4">
        <v>888</v>
      </c>
      <c r="H60" s="4">
        <v>9.5</v>
      </c>
      <c r="I60" s="4">
        <v>0.497</v>
      </c>
      <c r="J60" s="4">
        <v>0.46400000000000002</v>
      </c>
      <c r="K60" s="4">
        <v>0.54200000000000004</v>
      </c>
      <c r="L60" s="4">
        <v>0.14799999999999999</v>
      </c>
      <c r="M60" s="4">
        <v>4.4000000000000004</v>
      </c>
      <c r="N60" s="4">
        <v>10.4</v>
      </c>
      <c r="O60" s="4">
        <v>15.4</v>
      </c>
      <c r="P60" s="4">
        <v>0.9</v>
      </c>
      <c r="Q60" s="4">
        <v>0.5</v>
      </c>
      <c r="R60" s="4">
        <v>15.2</v>
      </c>
      <c r="S60" s="4">
        <v>17.3</v>
      </c>
      <c r="T60" s="4">
        <v>100</v>
      </c>
      <c r="U60" s="4">
        <v>120</v>
      </c>
      <c r="V60" s="4"/>
      <c r="W60" s="4">
        <v>0</v>
      </c>
      <c r="X60" s="4">
        <v>-0.3</v>
      </c>
      <c r="Y60" s="4">
        <v>-0.3</v>
      </c>
      <c r="Z60" s="4">
        <v>-1.4999999999999999E-2</v>
      </c>
      <c r="AA60" s="13">
        <f>(I60/TOTAL_BASIC!$D$301)*100</f>
        <v>88.702320913385122</v>
      </c>
      <c r="AB60" s="5">
        <f t="shared" si="3"/>
        <v>1</v>
      </c>
      <c r="AC60" s="3">
        <f t="shared" si="1"/>
        <v>-20</v>
      </c>
      <c r="AD60" s="9">
        <f t="shared" si="4"/>
        <v>0.99399999999999999</v>
      </c>
      <c r="AE60" s="16">
        <f t="shared" si="5"/>
        <v>0.89017341040462428</v>
      </c>
      <c r="AF60" s="16">
        <f t="shared" si="6"/>
        <v>1.0131578947368423</v>
      </c>
      <c r="AG60" s="9"/>
      <c r="AH60" s="9"/>
      <c r="AI60" s="12">
        <f t="shared" si="7"/>
        <v>39.700000000000003</v>
      </c>
      <c r="AJ60" s="12">
        <f t="shared" si="8"/>
        <v>68.5</v>
      </c>
      <c r="AK60" s="12">
        <f t="shared" si="8"/>
        <v>22.6</v>
      </c>
      <c r="AL60" s="12">
        <f t="shared" si="8"/>
        <v>19.8</v>
      </c>
      <c r="AM60" s="12">
        <f t="shared" si="8"/>
        <v>25.4</v>
      </c>
      <c r="AN60" s="12">
        <f t="shared" si="8"/>
        <v>79</v>
      </c>
      <c r="AO60" s="12">
        <f t="shared" si="14"/>
        <v>14.299999999999999</v>
      </c>
      <c r="AP60" s="12">
        <f t="shared" si="14"/>
        <v>50.2</v>
      </c>
      <c r="AQ60" s="12">
        <f t="shared" si="14"/>
        <v>61.8</v>
      </c>
      <c r="AR60" s="12">
        <f t="shared" si="14"/>
        <v>59.599999999999994</v>
      </c>
      <c r="AS60" s="12">
        <f t="shared" si="15"/>
        <v>8.2000000000000011</v>
      </c>
      <c r="AT60" s="12">
        <f t="shared" si="15"/>
        <v>16.5</v>
      </c>
      <c r="AU60" s="12">
        <f t="shared" si="9"/>
        <v>44.199999999999996</v>
      </c>
      <c r="AV60" s="12">
        <f t="shared" si="15"/>
        <v>40.799999999999997</v>
      </c>
      <c r="AW60" s="12">
        <f t="shared" si="16"/>
        <v>24.8</v>
      </c>
      <c r="AX60" s="12">
        <f t="shared" si="10"/>
        <v>2.7999999999999972</v>
      </c>
      <c r="AY60" s="9"/>
      <c r="AZ60" s="12">
        <f t="shared" si="17"/>
        <v>24.8</v>
      </c>
      <c r="BA60" s="12">
        <f t="shared" si="13"/>
        <v>0</v>
      </c>
      <c r="BB60" s="12">
        <f t="shared" si="11"/>
        <v>3.3000000000000003</v>
      </c>
      <c r="BC60" s="12">
        <f t="shared" si="11"/>
        <v>7.1</v>
      </c>
      <c r="BD60" s="12">
        <f t="shared" si="11"/>
        <v>19.8</v>
      </c>
      <c r="BE60" s="12">
        <f t="shared" si="11"/>
        <v>24.8</v>
      </c>
      <c r="BF60" s="12">
        <f t="shared" si="12"/>
        <v>6.6000000000000005</v>
      </c>
      <c r="BG60" s="12">
        <f t="shared" si="12"/>
        <v>19.8</v>
      </c>
      <c r="BH60" s="12">
        <f t="shared" si="12"/>
        <v>64.600000000000009</v>
      </c>
      <c r="BI60" s="12">
        <f t="shared" si="12"/>
        <v>52.400000000000006</v>
      </c>
    </row>
    <row r="61" spans="1:61" ht="15.75" customHeight="1">
      <c r="A61" s="1" t="s">
        <v>106</v>
      </c>
      <c r="B61" s="3" t="s">
        <v>107</v>
      </c>
      <c r="C61" s="4" t="s">
        <v>94</v>
      </c>
      <c r="D61" s="4">
        <v>37</v>
      </c>
      <c r="E61" s="4">
        <v>881</v>
      </c>
      <c r="F61" s="4">
        <v>37</v>
      </c>
      <c r="G61" s="4">
        <v>881</v>
      </c>
      <c r="H61" s="4">
        <v>12.5</v>
      </c>
      <c r="I61" s="4">
        <v>0.51700000000000002</v>
      </c>
      <c r="J61" s="4">
        <v>0.48</v>
      </c>
      <c r="K61" s="4">
        <v>0.48699999999999999</v>
      </c>
      <c r="L61" s="4">
        <v>0.28699999999999998</v>
      </c>
      <c r="M61" s="4">
        <v>4.9000000000000004</v>
      </c>
      <c r="N61" s="4">
        <v>8.1999999999999993</v>
      </c>
      <c r="O61" s="4">
        <v>10.1</v>
      </c>
      <c r="P61" s="4">
        <v>2.6</v>
      </c>
      <c r="Q61" s="4">
        <v>3.2</v>
      </c>
      <c r="R61" s="4">
        <v>14.9</v>
      </c>
      <c r="S61" s="4">
        <v>18.399999999999999</v>
      </c>
      <c r="T61" s="4">
        <v>98</v>
      </c>
      <c r="U61" s="4">
        <v>110</v>
      </c>
      <c r="V61" s="4"/>
      <c r="W61" s="4">
        <v>-0.3</v>
      </c>
      <c r="X61" s="4">
        <v>1</v>
      </c>
      <c r="Y61" s="4">
        <v>0.7</v>
      </c>
      <c r="Z61" s="4">
        <v>3.2000000000000001E-2</v>
      </c>
      <c r="AA61" s="13">
        <f>(I61/TOTAL_BASIC!$D$301)*100</f>
        <v>92.271830809295992</v>
      </c>
      <c r="AB61" s="5">
        <f t="shared" si="3"/>
        <v>0.98</v>
      </c>
      <c r="AC61" s="3">
        <f t="shared" si="1"/>
        <v>-12</v>
      </c>
      <c r="AD61" s="9">
        <f t="shared" si="4"/>
        <v>1.034</v>
      </c>
      <c r="AE61" s="16">
        <f t="shared" si="5"/>
        <v>0.54891304347826086</v>
      </c>
      <c r="AF61" s="16">
        <f t="shared" si="6"/>
        <v>0.6778523489932885</v>
      </c>
      <c r="AG61" s="9"/>
      <c r="AH61" s="9"/>
      <c r="AI61" s="12">
        <f t="shared" si="7"/>
        <v>51.300000000000004</v>
      </c>
      <c r="AJ61" s="12">
        <f t="shared" si="8"/>
        <v>67.900000000000006</v>
      </c>
      <c r="AK61" s="12">
        <f t="shared" si="8"/>
        <v>48</v>
      </c>
      <c r="AL61" s="12">
        <f t="shared" si="8"/>
        <v>32</v>
      </c>
      <c r="AM61" s="12">
        <f t="shared" si="8"/>
        <v>35.9</v>
      </c>
      <c r="AN61" s="12">
        <f t="shared" si="8"/>
        <v>65.7</v>
      </c>
      <c r="AO61" s="12">
        <f t="shared" si="14"/>
        <v>51.9</v>
      </c>
      <c r="AP61" s="12">
        <f t="shared" si="14"/>
        <v>55.2</v>
      </c>
      <c r="AQ61" s="12">
        <f t="shared" si="14"/>
        <v>45.300000000000004</v>
      </c>
      <c r="AR61" s="12">
        <f t="shared" si="14"/>
        <v>27.6</v>
      </c>
      <c r="AS61" s="12">
        <f t="shared" si="15"/>
        <v>88.3</v>
      </c>
      <c r="AT61" s="12">
        <f t="shared" si="15"/>
        <v>81.2</v>
      </c>
      <c r="AU61" s="12">
        <f t="shared" si="9"/>
        <v>47.599999999999994</v>
      </c>
      <c r="AV61" s="12">
        <f t="shared" si="15"/>
        <v>50.2</v>
      </c>
      <c r="AW61" s="12">
        <f t="shared" si="16"/>
        <v>19.3</v>
      </c>
      <c r="AX61" s="12">
        <f t="shared" si="10"/>
        <v>58.6</v>
      </c>
      <c r="AY61" s="9"/>
      <c r="AZ61" s="12">
        <f t="shared" si="17"/>
        <v>11</v>
      </c>
      <c r="BA61" s="12">
        <f t="shared" si="13"/>
        <v>68.5</v>
      </c>
      <c r="BB61" s="12">
        <f t="shared" si="11"/>
        <v>38.1</v>
      </c>
      <c r="BC61" s="12">
        <f t="shared" si="11"/>
        <v>25.900000000000002</v>
      </c>
      <c r="BD61" s="12">
        <f t="shared" si="11"/>
        <v>32</v>
      </c>
      <c r="BE61" s="12">
        <f t="shared" si="11"/>
        <v>19.3</v>
      </c>
      <c r="BF61" s="12">
        <f t="shared" si="12"/>
        <v>25.4</v>
      </c>
      <c r="BG61" s="12">
        <f t="shared" si="12"/>
        <v>32</v>
      </c>
      <c r="BH61" s="12">
        <f t="shared" si="12"/>
        <v>25.900000000000002</v>
      </c>
      <c r="BI61" s="12">
        <f t="shared" si="12"/>
        <v>24.3</v>
      </c>
    </row>
    <row r="62" spans="1:61" ht="15.75" customHeight="1">
      <c r="A62" s="1" t="s">
        <v>153</v>
      </c>
      <c r="B62" s="3" t="s">
        <v>91</v>
      </c>
      <c r="C62" s="4" t="s">
        <v>88</v>
      </c>
      <c r="D62" s="4">
        <v>40</v>
      </c>
      <c r="E62" s="4">
        <v>879</v>
      </c>
      <c r="F62" s="4">
        <v>40</v>
      </c>
      <c r="G62" s="4">
        <v>879</v>
      </c>
      <c r="H62" s="4">
        <v>12.1</v>
      </c>
      <c r="I62" s="4">
        <v>0.505</v>
      </c>
      <c r="J62" s="4">
        <v>0.504</v>
      </c>
      <c r="K62" s="4">
        <v>0.48499999999999999</v>
      </c>
      <c r="L62" s="4">
        <v>0.112</v>
      </c>
      <c r="M62" s="4">
        <v>6.2</v>
      </c>
      <c r="N62" s="4">
        <v>15.3</v>
      </c>
      <c r="O62" s="4">
        <v>8.3000000000000007</v>
      </c>
      <c r="P62" s="4">
        <v>1.5</v>
      </c>
      <c r="Q62" s="4">
        <v>8.1</v>
      </c>
      <c r="R62" s="4">
        <v>12.5</v>
      </c>
      <c r="S62" s="4">
        <v>8.5</v>
      </c>
      <c r="T62" s="4">
        <v>112</v>
      </c>
      <c r="U62" s="4">
        <v>96</v>
      </c>
      <c r="V62" s="4"/>
      <c r="W62" s="4">
        <v>0.7</v>
      </c>
      <c r="X62" s="4">
        <v>2.7</v>
      </c>
      <c r="Y62" s="4">
        <v>3.4</v>
      </c>
      <c r="Z62" s="4">
        <v>0.153</v>
      </c>
      <c r="AA62" s="13">
        <f>(I62/TOTAL_BASIC!$D$301)*100</f>
        <v>90.130124871749473</v>
      </c>
      <c r="AB62" s="5">
        <f t="shared" si="3"/>
        <v>1.1200000000000001</v>
      </c>
      <c r="AC62" s="3">
        <f t="shared" si="1"/>
        <v>16</v>
      </c>
      <c r="AD62" s="9">
        <f t="shared" si="4"/>
        <v>1.01</v>
      </c>
      <c r="AE62" s="16">
        <f t="shared" si="5"/>
        <v>0.9764705882352942</v>
      </c>
      <c r="AF62" s="16">
        <f t="shared" si="6"/>
        <v>0.66400000000000003</v>
      </c>
      <c r="AG62" s="9"/>
      <c r="AH62" s="9"/>
      <c r="AI62" s="12">
        <f t="shared" si="7"/>
        <v>72.899999999999991</v>
      </c>
      <c r="AJ62" s="12">
        <f t="shared" si="8"/>
        <v>67.400000000000006</v>
      </c>
      <c r="AK62" s="12">
        <f t="shared" si="8"/>
        <v>44.7</v>
      </c>
      <c r="AL62" s="12">
        <f t="shared" si="8"/>
        <v>23.7</v>
      </c>
      <c r="AM62" s="12">
        <f t="shared" si="8"/>
        <v>47.5</v>
      </c>
      <c r="AN62" s="12">
        <f t="shared" si="8"/>
        <v>65.100000000000009</v>
      </c>
      <c r="AO62" s="12">
        <f t="shared" si="14"/>
        <v>8.2000000000000011</v>
      </c>
      <c r="AP62" s="12">
        <f t="shared" si="14"/>
        <v>67.400000000000006</v>
      </c>
      <c r="AQ62" s="12">
        <f t="shared" si="14"/>
        <v>84.5</v>
      </c>
      <c r="AR62" s="12">
        <f t="shared" si="14"/>
        <v>19.3</v>
      </c>
      <c r="AS62" s="12">
        <f t="shared" si="15"/>
        <v>34.200000000000003</v>
      </c>
      <c r="AT62" s="12">
        <f t="shared" si="15"/>
        <v>98.8</v>
      </c>
      <c r="AU62" s="12">
        <f t="shared" si="9"/>
        <v>69.7</v>
      </c>
      <c r="AV62" s="12">
        <f t="shared" si="15"/>
        <v>0.5</v>
      </c>
      <c r="AW62" s="12">
        <f t="shared" si="16"/>
        <v>67.400000000000006</v>
      </c>
      <c r="AX62" s="12">
        <f t="shared" si="10"/>
        <v>100</v>
      </c>
      <c r="AY62" s="9"/>
      <c r="AZ62" s="12">
        <f t="shared" si="17"/>
        <v>61.8</v>
      </c>
      <c r="BA62" s="12">
        <f t="shared" si="13"/>
        <v>97.2</v>
      </c>
      <c r="BB62" s="12">
        <f t="shared" si="11"/>
        <v>83.899999999999991</v>
      </c>
      <c r="BC62" s="12">
        <f t="shared" si="11"/>
        <v>82.8</v>
      </c>
      <c r="BD62" s="12">
        <f t="shared" si="11"/>
        <v>23.7</v>
      </c>
      <c r="BE62" s="12">
        <f t="shared" si="11"/>
        <v>67.400000000000006</v>
      </c>
      <c r="BF62" s="12">
        <f t="shared" si="12"/>
        <v>93.300000000000011</v>
      </c>
      <c r="BG62" s="12">
        <f t="shared" si="12"/>
        <v>23.7</v>
      </c>
      <c r="BH62" s="12">
        <f t="shared" si="12"/>
        <v>70.099999999999994</v>
      </c>
      <c r="BI62" s="12">
        <f t="shared" si="12"/>
        <v>23.7</v>
      </c>
    </row>
    <row r="63" spans="1:61" ht="15.75" customHeight="1">
      <c r="A63" s="1" t="s">
        <v>163</v>
      </c>
      <c r="B63" s="4" t="s">
        <v>161</v>
      </c>
      <c r="C63" s="4" t="s">
        <v>8</v>
      </c>
      <c r="D63" s="4">
        <v>30</v>
      </c>
      <c r="E63" s="4">
        <v>859</v>
      </c>
      <c r="F63" s="4">
        <v>30</v>
      </c>
      <c r="G63" s="4">
        <v>859</v>
      </c>
      <c r="H63" s="4">
        <v>13.6</v>
      </c>
      <c r="I63" s="4">
        <v>0.69099999999999995</v>
      </c>
      <c r="J63" s="4">
        <v>0.68300000000000005</v>
      </c>
      <c r="K63" s="4">
        <v>0.66400000000000003</v>
      </c>
      <c r="L63" s="4">
        <v>9.9000000000000005E-2</v>
      </c>
      <c r="M63" s="4">
        <v>1.1000000000000001</v>
      </c>
      <c r="N63" s="4">
        <v>6.6</v>
      </c>
      <c r="O63" s="4">
        <v>29.2</v>
      </c>
      <c r="P63" s="4">
        <v>2.5</v>
      </c>
      <c r="Q63" s="4">
        <v>1.3</v>
      </c>
      <c r="R63" s="4">
        <v>27.6</v>
      </c>
      <c r="S63" s="4">
        <v>9.6999999999999993</v>
      </c>
      <c r="T63" s="4">
        <v>123</v>
      </c>
      <c r="U63" s="4">
        <v>117</v>
      </c>
      <c r="V63" s="4"/>
      <c r="W63" s="4">
        <v>1.6</v>
      </c>
      <c r="X63" s="4">
        <v>0.1</v>
      </c>
      <c r="Y63" s="4">
        <v>1.7</v>
      </c>
      <c r="Z63" s="4">
        <v>7.8E-2</v>
      </c>
      <c r="AA63" s="13">
        <f>(I63/TOTAL_BASIC!$D$301)*100</f>
        <v>123.32656690372055</v>
      </c>
      <c r="AB63" s="5">
        <f t="shared" si="3"/>
        <v>1.23</v>
      </c>
      <c r="AC63" s="3">
        <f t="shared" si="1"/>
        <v>6</v>
      </c>
      <c r="AD63" s="9">
        <f t="shared" si="4"/>
        <v>1.3819999999999999</v>
      </c>
      <c r="AE63" s="16">
        <f t="shared" si="5"/>
        <v>3.0103092783505154</v>
      </c>
      <c r="AF63" s="16">
        <f t="shared" si="6"/>
        <v>1.0579710144927534</v>
      </c>
      <c r="AG63" s="9"/>
      <c r="AH63" s="9"/>
      <c r="AI63" s="12">
        <f t="shared" si="7"/>
        <v>32</v>
      </c>
      <c r="AJ63" s="12">
        <f t="shared" si="8"/>
        <v>66.8</v>
      </c>
      <c r="AK63" s="12">
        <f t="shared" si="8"/>
        <v>54.1</v>
      </c>
      <c r="AL63" s="12">
        <f t="shared" si="8"/>
        <v>100</v>
      </c>
      <c r="AM63" s="12">
        <f t="shared" si="8"/>
        <v>100</v>
      </c>
      <c r="AN63" s="12">
        <f t="shared" ref="AN63:AQ126" si="18">(PERCENTRANK(K$3:K$298,K63))*100</f>
        <v>89.5</v>
      </c>
      <c r="AO63" s="12">
        <f t="shared" si="14"/>
        <v>6</v>
      </c>
      <c r="AP63" s="12">
        <f t="shared" si="14"/>
        <v>7.7</v>
      </c>
      <c r="AQ63" s="12">
        <f t="shared" si="14"/>
        <v>29.2</v>
      </c>
      <c r="AR63" s="12">
        <f t="shared" si="14"/>
        <v>91.7</v>
      </c>
      <c r="AS63" s="12">
        <f t="shared" si="15"/>
        <v>83.399999999999991</v>
      </c>
      <c r="AT63" s="12">
        <f t="shared" si="15"/>
        <v>49.7</v>
      </c>
      <c r="AU63" s="12">
        <f t="shared" si="9"/>
        <v>1.7000000000000028</v>
      </c>
      <c r="AV63" s="12">
        <f t="shared" si="15"/>
        <v>1.6</v>
      </c>
      <c r="AW63" s="12">
        <f t="shared" si="16"/>
        <v>90.600000000000009</v>
      </c>
      <c r="AX63" s="12">
        <f t="shared" si="10"/>
        <v>8.8999999999999915</v>
      </c>
      <c r="AY63" s="9"/>
      <c r="AZ63" s="12">
        <f t="shared" si="17"/>
        <v>79</v>
      </c>
      <c r="BA63" s="12">
        <f t="shared" si="13"/>
        <v>8.7999999999999989</v>
      </c>
      <c r="BB63" s="12">
        <f t="shared" si="11"/>
        <v>65.7</v>
      </c>
      <c r="BC63" s="12">
        <f t="shared" si="11"/>
        <v>54.1</v>
      </c>
      <c r="BD63" s="12">
        <f t="shared" si="11"/>
        <v>100</v>
      </c>
      <c r="BE63" s="12">
        <f t="shared" si="11"/>
        <v>90.600000000000009</v>
      </c>
      <c r="BF63" s="12">
        <f t="shared" si="12"/>
        <v>74.5</v>
      </c>
      <c r="BG63" s="12">
        <f t="shared" si="12"/>
        <v>100</v>
      </c>
      <c r="BH63" s="12">
        <f t="shared" si="12"/>
        <v>100</v>
      </c>
      <c r="BI63" s="12">
        <f t="shared" si="12"/>
        <v>58.5</v>
      </c>
    </row>
    <row r="64" spans="1:61" ht="15.75" customHeight="1">
      <c r="A64" s="1" t="s">
        <v>129</v>
      </c>
      <c r="B64" s="3" t="s">
        <v>107</v>
      </c>
      <c r="C64" s="4" t="s">
        <v>8</v>
      </c>
      <c r="D64" s="4">
        <v>37</v>
      </c>
      <c r="E64" s="4">
        <v>851</v>
      </c>
      <c r="F64" s="4">
        <v>37</v>
      </c>
      <c r="G64" s="4">
        <v>851</v>
      </c>
      <c r="H64" s="4">
        <v>9</v>
      </c>
      <c r="I64" s="4">
        <v>0.39600000000000002</v>
      </c>
      <c r="J64" s="4">
        <v>0.36499999999999999</v>
      </c>
      <c r="K64" s="4">
        <v>0.253</v>
      </c>
      <c r="L64" s="4">
        <v>0.25</v>
      </c>
      <c r="M64" s="4">
        <v>2.2999999999999998</v>
      </c>
      <c r="N64" s="4">
        <v>6.8</v>
      </c>
      <c r="O64" s="4">
        <v>22.5</v>
      </c>
      <c r="P64" s="4">
        <v>2.4</v>
      </c>
      <c r="Q64" s="4">
        <v>2.8</v>
      </c>
      <c r="R64" s="4">
        <v>13.3</v>
      </c>
      <c r="S64" s="4">
        <v>19.8</v>
      </c>
      <c r="T64" s="4">
        <v>86</v>
      </c>
      <c r="U64" s="4">
        <v>111</v>
      </c>
      <c r="V64" s="4"/>
      <c r="W64" s="4">
        <v>-1.8</v>
      </c>
      <c r="X64" s="4">
        <v>0.9</v>
      </c>
      <c r="Y64" s="4">
        <v>-0.9</v>
      </c>
      <c r="Z64" s="4">
        <v>-4.2000000000000003E-2</v>
      </c>
      <c r="AA64" s="13">
        <f>(I64/TOTAL_BASIC!$D$301)*100</f>
        <v>70.676295939035228</v>
      </c>
      <c r="AB64" s="5">
        <f t="shared" si="3"/>
        <v>0.86</v>
      </c>
      <c r="AC64" s="3">
        <f t="shared" si="1"/>
        <v>-25</v>
      </c>
      <c r="AD64" s="9">
        <f t="shared" si="4"/>
        <v>0.79200000000000004</v>
      </c>
      <c r="AE64" s="16">
        <f t="shared" si="5"/>
        <v>1.1363636363636362</v>
      </c>
      <c r="AF64" s="16">
        <f t="shared" si="6"/>
        <v>1.6917293233082706</v>
      </c>
      <c r="AG64" s="9"/>
      <c r="AH64" s="9"/>
      <c r="AI64" s="12">
        <f t="shared" si="7"/>
        <v>51.300000000000004</v>
      </c>
      <c r="AJ64" s="12">
        <f t="shared" si="8"/>
        <v>66.2</v>
      </c>
      <c r="AK64" s="12">
        <f t="shared" si="8"/>
        <v>18.7</v>
      </c>
      <c r="AL64" s="12">
        <f t="shared" si="8"/>
        <v>2.1999999999999997</v>
      </c>
      <c r="AM64" s="12">
        <f t="shared" si="8"/>
        <v>1.0999999999999999</v>
      </c>
      <c r="AN64" s="12">
        <f t="shared" si="18"/>
        <v>22.6</v>
      </c>
      <c r="AO64" s="12">
        <f t="shared" si="14"/>
        <v>39.700000000000003</v>
      </c>
      <c r="AP64" s="12">
        <f t="shared" si="14"/>
        <v>22</v>
      </c>
      <c r="AQ64" s="12">
        <f t="shared" si="14"/>
        <v>32</v>
      </c>
      <c r="AR64" s="12">
        <f t="shared" si="14"/>
        <v>81.2</v>
      </c>
      <c r="AS64" s="12">
        <f t="shared" si="15"/>
        <v>81.2</v>
      </c>
      <c r="AT64" s="12">
        <f t="shared" si="15"/>
        <v>79</v>
      </c>
      <c r="AU64" s="12">
        <f t="shared" si="9"/>
        <v>64.099999999999994</v>
      </c>
      <c r="AV64" s="12">
        <f t="shared" si="15"/>
        <v>60.699999999999996</v>
      </c>
      <c r="AW64" s="12">
        <f t="shared" si="16"/>
        <v>2.1999999999999997</v>
      </c>
      <c r="AX64" s="12">
        <f t="shared" si="10"/>
        <v>48.699999999999996</v>
      </c>
      <c r="AY64" s="9"/>
      <c r="AZ64" s="12">
        <f t="shared" si="17"/>
        <v>0</v>
      </c>
      <c r="BA64" s="12">
        <f t="shared" si="13"/>
        <v>62.9</v>
      </c>
      <c r="BB64" s="12">
        <f t="shared" si="11"/>
        <v>0</v>
      </c>
      <c r="BC64" s="12">
        <f t="shared" si="11"/>
        <v>2.1999999999999997</v>
      </c>
      <c r="BD64" s="12">
        <f t="shared" si="11"/>
        <v>2.1999999999999997</v>
      </c>
      <c r="BE64" s="12">
        <f t="shared" si="11"/>
        <v>2.1999999999999997</v>
      </c>
      <c r="BF64" s="12">
        <f t="shared" si="12"/>
        <v>4.3999999999999995</v>
      </c>
      <c r="BG64" s="12">
        <f t="shared" si="12"/>
        <v>2.1999999999999997</v>
      </c>
      <c r="BH64" s="12">
        <f t="shared" si="12"/>
        <v>80.100000000000009</v>
      </c>
      <c r="BI64" s="12">
        <f t="shared" si="12"/>
        <v>86.7</v>
      </c>
    </row>
    <row r="65" spans="1:61" ht="15.75" customHeight="1">
      <c r="A65" s="1" t="s">
        <v>250</v>
      </c>
      <c r="B65" s="3" t="s">
        <v>84</v>
      </c>
      <c r="C65" s="4" t="s">
        <v>8</v>
      </c>
      <c r="D65" s="4">
        <v>28</v>
      </c>
      <c r="E65" s="4">
        <v>850</v>
      </c>
      <c r="F65" s="4">
        <v>28</v>
      </c>
      <c r="G65" s="4">
        <v>850</v>
      </c>
      <c r="H65" s="4">
        <v>14.8</v>
      </c>
      <c r="I65" s="4">
        <v>0.53300000000000003</v>
      </c>
      <c r="J65" s="4">
        <v>0.47799999999999998</v>
      </c>
      <c r="K65" s="4">
        <v>0.51800000000000002</v>
      </c>
      <c r="L65" s="4">
        <v>0.26100000000000001</v>
      </c>
      <c r="M65" s="4">
        <v>3</v>
      </c>
      <c r="N65" s="4">
        <v>7.9</v>
      </c>
      <c r="O65" s="4">
        <v>26.1</v>
      </c>
      <c r="P65" s="4">
        <v>1.2</v>
      </c>
      <c r="Q65" s="4">
        <v>1</v>
      </c>
      <c r="R65" s="4">
        <v>16.399999999999999</v>
      </c>
      <c r="S65" s="4">
        <v>25</v>
      </c>
      <c r="T65" s="4">
        <v>105</v>
      </c>
      <c r="U65" s="4">
        <v>111</v>
      </c>
      <c r="V65" s="4"/>
      <c r="W65" s="4">
        <v>0.7</v>
      </c>
      <c r="X65" s="4">
        <v>0.8</v>
      </c>
      <c r="Y65" s="4">
        <v>1.5</v>
      </c>
      <c r="Z65" s="4">
        <v>7.0000000000000007E-2</v>
      </c>
      <c r="AA65" s="13">
        <f>(I65/TOTAL_BASIC!$D$301)*100</f>
        <v>95.127438726024693</v>
      </c>
      <c r="AB65" s="5">
        <f t="shared" si="3"/>
        <v>1.05</v>
      </c>
      <c r="AC65" s="3">
        <f t="shared" si="1"/>
        <v>-6</v>
      </c>
      <c r="AD65" s="9">
        <f t="shared" si="4"/>
        <v>1.0660000000000001</v>
      </c>
      <c r="AE65" s="16">
        <f t="shared" si="5"/>
        <v>1.044</v>
      </c>
      <c r="AF65" s="16">
        <f t="shared" si="6"/>
        <v>1.5914634146341466</v>
      </c>
      <c r="AG65" s="9"/>
      <c r="AH65" s="9"/>
      <c r="AI65" s="12">
        <f t="shared" si="7"/>
        <v>28.1</v>
      </c>
      <c r="AJ65" s="12">
        <f t="shared" si="8"/>
        <v>65.7</v>
      </c>
      <c r="AK65" s="12">
        <f t="shared" si="8"/>
        <v>59.599999999999994</v>
      </c>
      <c r="AL65" s="12">
        <f t="shared" si="8"/>
        <v>37.5</v>
      </c>
      <c r="AM65" s="12">
        <f t="shared" si="8"/>
        <v>34.200000000000003</v>
      </c>
      <c r="AN65" s="12">
        <f t="shared" si="18"/>
        <v>74.5</v>
      </c>
      <c r="AO65" s="12">
        <f t="shared" si="14"/>
        <v>43.6</v>
      </c>
      <c r="AP65" s="12">
        <f t="shared" si="14"/>
        <v>33.700000000000003</v>
      </c>
      <c r="AQ65" s="12">
        <f t="shared" si="14"/>
        <v>43</v>
      </c>
      <c r="AR65" s="12">
        <f t="shared" si="14"/>
        <v>87.8</v>
      </c>
      <c r="AS65" s="12">
        <f t="shared" si="15"/>
        <v>19.8</v>
      </c>
      <c r="AT65" s="12">
        <f t="shared" si="15"/>
        <v>39.700000000000003</v>
      </c>
      <c r="AU65" s="12">
        <f t="shared" si="9"/>
        <v>38.700000000000003</v>
      </c>
      <c r="AV65" s="12">
        <f t="shared" si="15"/>
        <v>83.899999999999991</v>
      </c>
      <c r="AW65" s="12">
        <f t="shared" si="16"/>
        <v>41.4</v>
      </c>
      <c r="AX65" s="12">
        <f t="shared" si="10"/>
        <v>48.699999999999996</v>
      </c>
      <c r="AY65" s="9"/>
      <c r="AZ65" s="12">
        <f t="shared" si="17"/>
        <v>61.8</v>
      </c>
      <c r="BA65" s="12">
        <f t="shared" si="13"/>
        <v>58.5</v>
      </c>
      <c r="BB65" s="12">
        <f t="shared" si="11"/>
        <v>61.8</v>
      </c>
      <c r="BC65" s="12">
        <f t="shared" si="11"/>
        <v>48.6</v>
      </c>
      <c r="BD65" s="12">
        <f t="shared" si="11"/>
        <v>37.5</v>
      </c>
      <c r="BE65" s="12">
        <f t="shared" si="11"/>
        <v>41.4</v>
      </c>
      <c r="BF65" s="12">
        <f t="shared" si="12"/>
        <v>41.4</v>
      </c>
      <c r="BG65" s="12">
        <f t="shared" si="12"/>
        <v>37.5</v>
      </c>
      <c r="BH65" s="12">
        <f t="shared" si="12"/>
        <v>75.599999999999994</v>
      </c>
      <c r="BI65" s="12">
        <f t="shared" si="12"/>
        <v>83.399999999999991</v>
      </c>
    </row>
    <row r="66" spans="1:61" ht="15.75" customHeight="1">
      <c r="A66" s="1" t="s">
        <v>143</v>
      </c>
      <c r="B66" s="3" t="s">
        <v>91</v>
      </c>
      <c r="C66" s="4" t="s">
        <v>85</v>
      </c>
      <c r="D66" s="4">
        <v>38</v>
      </c>
      <c r="E66" s="4">
        <v>849</v>
      </c>
      <c r="F66" s="4">
        <v>38</v>
      </c>
      <c r="G66" s="4">
        <v>849</v>
      </c>
      <c r="H66" s="4">
        <v>19.2</v>
      </c>
      <c r="I66" s="4">
        <v>0.58799999999999997</v>
      </c>
      <c r="J66" s="4">
        <v>0.54800000000000004</v>
      </c>
      <c r="K66" s="4">
        <v>0.62</v>
      </c>
      <c r="L66" s="4">
        <v>0.27</v>
      </c>
      <c r="M66" s="4">
        <v>5.6</v>
      </c>
      <c r="N66" s="4">
        <v>10.7</v>
      </c>
      <c r="O66" s="4">
        <v>10.1</v>
      </c>
      <c r="P66" s="4">
        <v>1.5</v>
      </c>
      <c r="Q66" s="4">
        <v>0.5</v>
      </c>
      <c r="R66" s="4">
        <v>6.7</v>
      </c>
      <c r="S66" s="4">
        <v>24.4</v>
      </c>
      <c r="T66" s="4">
        <v>119</v>
      </c>
      <c r="U66" s="4">
        <v>103</v>
      </c>
      <c r="V66" s="4"/>
      <c r="W66" s="4">
        <v>2.6</v>
      </c>
      <c r="X66" s="4">
        <v>1.8</v>
      </c>
      <c r="Y66" s="4">
        <v>4.3</v>
      </c>
      <c r="Z66" s="4">
        <v>0.20300000000000001</v>
      </c>
      <c r="AA66" s="13">
        <f>(I66/TOTAL_BASIC!$D$301)*100</f>
        <v>104.94359093977958</v>
      </c>
      <c r="AB66" s="5">
        <f t="shared" si="3"/>
        <v>1.19</v>
      </c>
      <c r="AC66" s="3">
        <f t="shared" si="1"/>
        <v>16</v>
      </c>
      <c r="AD66" s="9">
        <f t="shared" si="4"/>
        <v>1.1759999999999999</v>
      </c>
      <c r="AE66" s="16">
        <f t="shared" si="5"/>
        <v>0.41393442622950821</v>
      </c>
      <c r="AF66" s="16">
        <f t="shared" si="6"/>
        <v>1.5074626865671641</v>
      </c>
      <c r="AG66" s="9"/>
      <c r="AH66" s="9"/>
      <c r="AI66" s="12">
        <f t="shared" si="7"/>
        <v>59.599999999999994</v>
      </c>
      <c r="AJ66" s="12">
        <f t="shared" si="8"/>
        <v>65.100000000000009</v>
      </c>
      <c r="AK66" s="12">
        <f t="shared" si="8"/>
        <v>81.2</v>
      </c>
      <c r="AL66" s="12">
        <f t="shared" si="8"/>
        <v>71.2</v>
      </c>
      <c r="AM66" s="12">
        <f t="shared" si="8"/>
        <v>71.2</v>
      </c>
      <c r="AN66" s="12">
        <f t="shared" si="18"/>
        <v>86.1</v>
      </c>
      <c r="AO66" s="12">
        <f t="shared" si="14"/>
        <v>45.800000000000004</v>
      </c>
      <c r="AP66" s="12">
        <f t="shared" si="14"/>
        <v>60.699999999999996</v>
      </c>
      <c r="AQ66" s="12">
        <f t="shared" si="14"/>
        <v>62.9</v>
      </c>
      <c r="AR66" s="12">
        <f t="shared" si="14"/>
        <v>27.6</v>
      </c>
      <c r="AS66" s="12">
        <f t="shared" si="15"/>
        <v>34.200000000000003</v>
      </c>
      <c r="AT66" s="12">
        <f t="shared" si="15"/>
        <v>16.5</v>
      </c>
      <c r="AU66" s="12">
        <f t="shared" si="9"/>
        <v>98.4</v>
      </c>
      <c r="AV66" s="12">
        <f t="shared" si="15"/>
        <v>81.2</v>
      </c>
      <c r="AW66" s="12">
        <f t="shared" si="16"/>
        <v>82.3</v>
      </c>
      <c r="AX66" s="12">
        <f t="shared" si="10"/>
        <v>93.4</v>
      </c>
      <c r="AY66" s="9"/>
      <c r="AZ66" s="12">
        <f t="shared" si="17"/>
        <v>88.3</v>
      </c>
      <c r="BA66" s="12">
        <f t="shared" si="13"/>
        <v>87.8</v>
      </c>
      <c r="BB66" s="12">
        <f t="shared" si="11"/>
        <v>87.8</v>
      </c>
      <c r="BC66" s="12">
        <f t="shared" si="11"/>
        <v>95.5</v>
      </c>
      <c r="BD66" s="12">
        <f t="shared" si="11"/>
        <v>71.2</v>
      </c>
      <c r="BE66" s="12">
        <f t="shared" si="11"/>
        <v>82.3</v>
      </c>
      <c r="BF66" s="12">
        <f t="shared" si="12"/>
        <v>93.300000000000011</v>
      </c>
      <c r="BG66" s="12">
        <f t="shared" si="12"/>
        <v>71.2</v>
      </c>
      <c r="BH66" s="12">
        <f t="shared" si="12"/>
        <v>9.9</v>
      </c>
      <c r="BI66" s="12">
        <f t="shared" si="12"/>
        <v>80.600000000000009</v>
      </c>
    </row>
    <row r="67" spans="1:61" ht="15.75" customHeight="1">
      <c r="A67" s="1" t="s">
        <v>152</v>
      </c>
      <c r="B67" s="3" t="s">
        <v>131</v>
      </c>
      <c r="C67" s="4" t="s">
        <v>8</v>
      </c>
      <c r="D67" s="4">
        <v>41</v>
      </c>
      <c r="E67" s="4">
        <v>847</v>
      </c>
      <c r="F67" s="4">
        <v>41</v>
      </c>
      <c r="G67" s="4">
        <v>847</v>
      </c>
      <c r="H67" s="4">
        <v>8.6999999999999993</v>
      </c>
      <c r="I67" s="4">
        <v>0.54200000000000004</v>
      </c>
      <c r="J67" s="4">
        <v>0.5</v>
      </c>
      <c r="K67" s="4">
        <v>0.50900000000000001</v>
      </c>
      <c r="L67" s="4">
        <v>0.222</v>
      </c>
      <c r="M67" s="4">
        <v>2.1</v>
      </c>
      <c r="N67" s="4">
        <v>3.8</v>
      </c>
      <c r="O67" s="4">
        <v>12</v>
      </c>
      <c r="P67" s="4">
        <v>1.9</v>
      </c>
      <c r="Q67" s="4">
        <v>1.1000000000000001</v>
      </c>
      <c r="R67" s="4">
        <v>14.1</v>
      </c>
      <c r="S67" s="4">
        <v>14.2</v>
      </c>
      <c r="T67" s="4">
        <v>103</v>
      </c>
      <c r="U67" s="4">
        <v>113</v>
      </c>
      <c r="V67" s="4"/>
      <c r="W67" s="4">
        <v>0.2</v>
      </c>
      <c r="X67" s="4">
        <v>0.6</v>
      </c>
      <c r="Y67" s="4">
        <v>0.8</v>
      </c>
      <c r="Z67" s="4">
        <v>3.9E-2</v>
      </c>
      <c r="AA67" s="13">
        <f>(I67/TOTAL_BASIC!$D$301)*100</f>
        <v>96.733718179184592</v>
      </c>
      <c r="AB67" s="5">
        <f t="shared" si="3"/>
        <v>1.03</v>
      </c>
      <c r="AC67" s="3">
        <f t="shared" si="1"/>
        <v>-10</v>
      </c>
      <c r="AD67" s="9">
        <f t="shared" si="4"/>
        <v>1.0840000000000001</v>
      </c>
      <c r="AE67" s="16">
        <f t="shared" si="5"/>
        <v>0.84507042253521136</v>
      </c>
      <c r="AF67" s="16">
        <f t="shared" si="6"/>
        <v>0.85106382978723405</v>
      </c>
      <c r="AG67" s="9"/>
      <c r="AH67" s="9"/>
      <c r="AI67" s="12">
        <f t="shared" si="7"/>
        <v>85.6</v>
      </c>
      <c r="AJ67" s="12">
        <f t="shared" si="8"/>
        <v>64.600000000000009</v>
      </c>
      <c r="AK67" s="12">
        <f t="shared" si="8"/>
        <v>16.5</v>
      </c>
      <c r="AL67" s="12">
        <f t="shared" si="8"/>
        <v>41.9</v>
      </c>
      <c r="AM67" s="12">
        <f t="shared" si="8"/>
        <v>44.7</v>
      </c>
      <c r="AN67" s="12">
        <f t="shared" si="18"/>
        <v>71.8</v>
      </c>
      <c r="AO67" s="12">
        <f t="shared" si="14"/>
        <v>30.9</v>
      </c>
      <c r="AP67" s="12">
        <f t="shared" si="14"/>
        <v>18.2</v>
      </c>
      <c r="AQ67" s="12">
        <f t="shared" si="14"/>
        <v>2.7</v>
      </c>
      <c r="AR67" s="12">
        <f t="shared" si="14"/>
        <v>40.799999999999997</v>
      </c>
      <c r="AS67" s="12">
        <f t="shared" si="15"/>
        <v>57.999999999999993</v>
      </c>
      <c r="AT67" s="12">
        <f t="shared" si="15"/>
        <v>44.1</v>
      </c>
      <c r="AU67" s="12">
        <f t="shared" si="9"/>
        <v>57</v>
      </c>
      <c r="AV67" s="12">
        <f t="shared" si="15"/>
        <v>16</v>
      </c>
      <c r="AW67" s="12">
        <f t="shared" si="16"/>
        <v>33.700000000000003</v>
      </c>
      <c r="AX67" s="12">
        <f t="shared" si="10"/>
        <v>30.400000000000006</v>
      </c>
      <c r="AY67" s="9"/>
      <c r="AZ67" s="12">
        <f t="shared" si="17"/>
        <v>38.1</v>
      </c>
      <c r="BA67" s="12">
        <f t="shared" si="13"/>
        <v>47.5</v>
      </c>
      <c r="BB67" s="12">
        <f t="shared" si="11"/>
        <v>41.9</v>
      </c>
      <c r="BC67" s="12">
        <f t="shared" si="11"/>
        <v>29.2</v>
      </c>
      <c r="BD67" s="12">
        <f t="shared" si="11"/>
        <v>41.9</v>
      </c>
      <c r="BE67" s="12">
        <f t="shared" ref="BE67:BH130" si="19">(PERCENTRANK(AB$3:AB$298,AB67))*100</f>
        <v>33.700000000000003</v>
      </c>
      <c r="BF67" s="12">
        <f t="shared" si="12"/>
        <v>30.3</v>
      </c>
      <c r="BG67" s="12">
        <f t="shared" si="12"/>
        <v>41.9</v>
      </c>
      <c r="BH67" s="12">
        <f t="shared" si="12"/>
        <v>62.9</v>
      </c>
      <c r="BI67" s="12">
        <f t="shared" ref="BI67:BI130" si="20">(PERCENTRANK(AF$3:AF$298,AF67))*100</f>
        <v>36.4</v>
      </c>
    </row>
    <row r="68" spans="1:61" ht="15.75" customHeight="1">
      <c r="A68" s="1" t="s">
        <v>122</v>
      </c>
      <c r="B68" s="3" t="s">
        <v>114</v>
      </c>
      <c r="C68" s="4" t="s">
        <v>88</v>
      </c>
      <c r="D68" s="4">
        <v>32</v>
      </c>
      <c r="E68" s="4">
        <v>843</v>
      </c>
      <c r="F68" s="4">
        <v>32</v>
      </c>
      <c r="G68" s="4">
        <v>843</v>
      </c>
      <c r="H68" s="4">
        <v>21.2</v>
      </c>
      <c r="I68" s="4">
        <v>0.54</v>
      </c>
      <c r="J68" s="4">
        <v>0.503</v>
      </c>
      <c r="K68" s="4">
        <v>0.16</v>
      </c>
      <c r="L68" s="4">
        <v>0.27</v>
      </c>
      <c r="M68" s="4">
        <v>11.2</v>
      </c>
      <c r="N68" s="4">
        <v>19.3</v>
      </c>
      <c r="O68" s="4">
        <v>13.5</v>
      </c>
      <c r="P68" s="4">
        <v>1.8</v>
      </c>
      <c r="Q68" s="4">
        <v>5.2</v>
      </c>
      <c r="R68" s="4">
        <v>14.7</v>
      </c>
      <c r="S68" s="4">
        <v>30.2</v>
      </c>
      <c r="T68" s="4">
        <v>101</v>
      </c>
      <c r="U68" s="4">
        <v>105</v>
      </c>
      <c r="V68" s="4"/>
      <c r="W68" s="4">
        <v>0</v>
      </c>
      <c r="X68" s="4">
        <v>1.6</v>
      </c>
      <c r="Y68" s="4">
        <v>1.6</v>
      </c>
      <c r="Z68" s="4">
        <v>7.5999999999999998E-2</v>
      </c>
      <c r="AA68" s="13">
        <f>(I68/TOTAL_BASIC!$D$301)*100</f>
        <v>96.376767189593508</v>
      </c>
      <c r="AB68" s="5">
        <f t="shared" ref="AB68:AB131" si="21">(T68/100)</f>
        <v>1.01</v>
      </c>
      <c r="AC68" s="3">
        <f t="shared" si="1"/>
        <v>-4</v>
      </c>
      <c r="AD68" s="9">
        <f t="shared" ref="AD68:AD131" si="22">2*I68</f>
        <v>1.08</v>
      </c>
      <c r="AE68" s="16">
        <f t="shared" ref="AE68:AE131" si="23">IF(S68=0,0,O68/S68)</f>
        <v>0.44701986754966888</v>
      </c>
      <c r="AF68" s="16">
        <f t="shared" ref="AF68:AF131" si="24">IF(R68=0,0,O68/R68)</f>
        <v>0.91836734693877553</v>
      </c>
      <c r="AG68" s="9"/>
      <c r="AH68" s="9"/>
      <c r="AI68" s="12">
        <f t="shared" ref="AI68:AI131" si="25">(PERCENTRANK(F$3:F$298,F68))*100</f>
        <v>35.299999999999997</v>
      </c>
      <c r="AJ68" s="12">
        <f t="shared" ref="AJ68:AM131" si="26">(PERCENTRANK(G$3:G$298,G68))*100</f>
        <v>64</v>
      </c>
      <c r="AK68" s="12">
        <f t="shared" si="26"/>
        <v>90.600000000000009</v>
      </c>
      <c r="AL68" s="12">
        <f t="shared" si="26"/>
        <v>40.799999999999997</v>
      </c>
      <c r="AM68" s="12">
        <f t="shared" si="26"/>
        <v>46.400000000000006</v>
      </c>
      <c r="AN68" s="12">
        <f t="shared" si="18"/>
        <v>13.8</v>
      </c>
      <c r="AO68" s="12">
        <f t="shared" si="14"/>
        <v>45.800000000000004</v>
      </c>
      <c r="AP68" s="12">
        <f t="shared" si="14"/>
        <v>92.2</v>
      </c>
      <c r="AQ68" s="12">
        <f t="shared" si="14"/>
        <v>96.6</v>
      </c>
      <c r="AR68" s="12">
        <f t="shared" si="14"/>
        <v>49.1</v>
      </c>
      <c r="AS68" s="12">
        <f t="shared" si="15"/>
        <v>51.300000000000004</v>
      </c>
      <c r="AT68" s="12">
        <f t="shared" si="15"/>
        <v>93.899999999999991</v>
      </c>
      <c r="AU68" s="12">
        <f t="shared" ref="AU68:AU131" si="27">100-(PERCENTRANK(R$3:R$298,R68))*100</f>
        <v>50.3</v>
      </c>
      <c r="AV68" s="12">
        <f t="shared" si="15"/>
        <v>98.3</v>
      </c>
      <c r="AW68" s="12">
        <f t="shared" si="16"/>
        <v>28.7</v>
      </c>
      <c r="AX68" s="12">
        <f t="shared" ref="AX68:AX131" si="28">100-(PERCENTRANK(U$3:U$298,U68))*100</f>
        <v>85.7</v>
      </c>
      <c r="AY68" s="9"/>
      <c r="AZ68" s="12">
        <f t="shared" si="17"/>
        <v>24.8</v>
      </c>
      <c r="BA68" s="12">
        <f t="shared" si="13"/>
        <v>84.5</v>
      </c>
      <c r="BB68" s="12">
        <f t="shared" si="13"/>
        <v>63.5</v>
      </c>
      <c r="BC68" s="12">
        <f t="shared" si="13"/>
        <v>52.400000000000006</v>
      </c>
      <c r="BD68" s="12">
        <f t="shared" si="13"/>
        <v>40.799999999999997</v>
      </c>
      <c r="BE68" s="12">
        <f t="shared" si="19"/>
        <v>28.7</v>
      </c>
      <c r="BF68" s="12">
        <f t="shared" si="19"/>
        <v>48.6</v>
      </c>
      <c r="BG68" s="12">
        <f t="shared" si="19"/>
        <v>40.799999999999997</v>
      </c>
      <c r="BH68" s="12">
        <f t="shared" si="19"/>
        <v>13.200000000000001</v>
      </c>
      <c r="BI68" s="12">
        <f t="shared" si="20"/>
        <v>43</v>
      </c>
    </row>
    <row r="69" spans="1:61" ht="15.75" customHeight="1">
      <c r="A69" s="1" t="s">
        <v>124</v>
      </c>
      <c r="B69" s="3" t="s">
        <v>91</v>
      </c>
      <c r="C69" s="4" t="s">
        <v>94</v>
      </c>
      <c r="D69" s="4">
        <v>41</v>
      </c>
      <c r="E69" s="4">
        <v>812</v>
      </c>
      <c r="F69" s="4">
        <v>41</v>
      </c>
      <c r="G69" s="4">
        <v>812</v>
      </c>
      <c r="H69" s="4">
        <v>12.3</v>
      </c>
      <c r="I69" s="4">
        <v>0.5</v>
      </c>
      <c r="J69" s="4">
        <v>0.46300000000000002</v>
      </c>
      <c r="K69" s="4">
        <v>0.39600000000000002</v>
      </c>
      <c r="L69" s="4">
        <v>0.22600000000000001</v>
      </c>
      <c r="M69" s="4">
        <v>9.1999999999999993</v>
      </c>
      <c r="N69" s="4">
        <v>13.8</v>
      </c>
      <c r="O69" s="4">
        <v>11.6</v>
      </c>
      <c r="P69" s="4">
        <v>2</v>
      </c>
      <c r="Q69" s="4">
        <v>1.3</v>
      </c>
      <c r="R69" s="4">
        <v>13.7</v>
      </c>
      <c r="S69" s="4">
        <v>16.7</v>
      </c>
      <c r="T69" s="4">
        <v>106</v>
      </c>
      <c r="U69" s="4">
        <v>101</v>
      </c>
      <c r="V69" s="4"/>
      <c r="W69" s="4">
        <v>0.5</v>
      </c>
      <c r="X69" s="4">
        <v>2</v>
      </c>
      <c r="Y69" s="4">
        <v>2.5</v>
      </c>
      <c r="Z69" s="4">
        <v>0.123</v>
      </c>
      <c r="AA69" s="13">
        <f>(I69/TOTAL_BASIC!$D$301)*100</f>
        <v>89.237747397771756</v>
      </c>
      <c r="AB69" s="5">
        <f t="shared" si="21"/>
        <v>1.06</v>
      </c>
      <c r="AC69" s="3">
        <f t="shared" si="1"/>
        <v>5</v>
      </c>
      <c r="AD69" s="9">
        <f t="shared" si="22"/>
        <v>1</v>
      </c>
      <c r="AE69" s="16">
        <f t="shared" si="23"/>
        <v>0.69461077844311381</v>
      </c>
      <c r="AF69" s="16">
        <f t="shared" si="24"/>
        <v>0.84671532846715325</v>
      </c>
      <c r="AG69" s="9"/>
      <c r="AH69" s="9"/>
      <c r="AI69" s="12">
        <f t="shared" si="25"/>
        <v>85.6</v>
      </c>
      <c r="AJ69" s="12">
        <f t="shared" si="26"/>
        <v>63.5</v>
      </c>
      <c r="AK69" s="12">
        <f t="shared" si="26"/>
        <v>46.400000000000006</v>
      </c>
      <c r="AL69" s="12">
        <f t="shared" si="26"/>
        <v>20.9</v>
      </c>
      <c r="AM69" s="12">
        <f t="shared" si="26"/>
        <v>24.3</v>
      </c>
      <c r="AN69" s="12">
        <f t="shared" si="18"/>
        <v>46.400000000000006</v>
      </c>
      <c r="AO69" s="12">
        <f t="shared" si="14"/>
        <v>33.1</v>
      </c>
      <c r="AP69" s="12">
        <f t="shared" si="14"/>
        <v>87.2</v>
      </c>
      <c r="AQ69" s="12">
        <f t="shared" si="14"/>
        <v>79.5</v>
      </c>
      <c r="AR69" s="12">
        <f t="shared" si="14"/>
        <v>36.4</v>
      </c>
      <c r="AS69" s="12">
        <f t="shared" si="15"/>
        <v>64.600000000000009</v>
      </c>
      <c r="AT69" s="12">
        <f t="shared" si="15"/>
        <v>49.7</v>
      </c>
      <c r="AU69" s="12">
        <f t="shared" si="27"/>
        <v>60.3</v>
      </c>
      <c r="AV69" s="12">
        <f t="shared" si="15"/>
        <v>31.4</v>
      </c>
      <c r="AW69" s="12">
        <f t="shared" si="16"/>
        <v>44.7</v>
      </c>
      <c r="AX69" s="12">
        <f t="shared" si="28"/>
        <v>98.4</v>
      </c>
      <c r="AY69" s="9"/>
      <c r="AZ69" s="12">
        <f t="shared" si="17"/>
        <v>52.400000000000006</v>
      </c>
      <c r="BA69" s="12">
        <f t="shared" si="13"/>
        <v>90</v>
      </c>
      <c r="BB69" s="12">
        <f t="shared" si="13"/>
        <v>75.099999999999994</v>
      </c>
      <c r="BC69" s="12">
        <f t="shared" si="13"/>
        <v>71.8</v>
      </c>
      <c r="BD69" s="12">
        <f t="shared" si="13"/>
        <v>20.9</v>
      </c>
      <c r="BE69" s="12">
        <f t="shared" si="19"/>
        <v>44.7</v>
      </c>
      <c r="BF69" s="12">
        <f t="shared" si="19"/>
        <v>71.8</v>
      </c>
      <c r="BG69" s="12">
        <f t="shared" si="19"/>
        <v>20.9</v>
      </c>
      <c r="BH69" s="12">
        <f t="shared" si="19"/>
        <v>46.9</v>
      </c>
      <c r="BI69" s="12">
        <f t="shared" si="20"/>
        <v>35.9</v>
      </c>
    </row>
    <row r="70" spans="1:61" ht="15.75" customHeight="1">
      <c r="A70" s="1" t="s">
        <v>251</v>
      </c>
      <c r="B70" s="3" t="s">
        <v>131</v>
      </c>
      <c r="C70" s="4" t="s">
        <v>119</v>
      </c>
      <c r="D70" s="4">
        <v>32</v>
      </c>
      <c r="E70" s="4">
        <v>784</v>
      </c>
      <c r="F70" s="4">
        <v>32</v>
      </c>
      <c r="G70" s="4">
        <v>784</v>
      </c>
      <c r="H70" s="4">
        <v>13.8</v>
      </c>
      <c r="I70" s="4">
        <v>0.50900000000000001</v>
      </c>
      <c r="J70" s="4">
        <v>0.47199999999999998</v>
      </c>
      <c r="K70" s="4">
        <v>0.36299999999999999</v>
      </c>
      <c r="L70" s="4">
        <v>0.224</v>
      </c>
      <c r="M70" s="4">
        <v>6</v>
      </c>
      <c r="N70" s="4">
        <v>15</v>
      </c>
      <c r="O70" s="4">
        <v>14.3</v>
      </c>
      <c r="P70" s="4">
        <v>1.7</v>
      </c>
      <c r="Q70" s="4">
        <v>2.6</v>
      </c>
      <c r="R70" s="4">
        <v>13.5</v>
      </c>
      <c r="S70" s="4">
        <v>21.3</v>
      </c>
      <c r="T70" s="4">
        <v>99</v>
      </c>
      <c r="U70" s="4">
        <v>107</v>
      </c>
      <c r="V70" s="4"/>
      <c r="W70" s="4">
        <v>-0.2</v>
      </c>
      <c r="X70" s="4">
        <v>1.2</v>
      </c>
      <c r="Y70" s="4">
        <v>1</v>
      </c>
      <c r="Z70" s="4">
        <v>5.1999999999999998E-2</v>
      </c>
      <c r="AA70" s="13">
        <f>(I70/TOTAL_BASIC!$D$301)*100</f>
        <v>90.844026850931641</v>
      </c>
      <c r="AB70" s="5">
        <f t="shared" si="21"/>
        <v>0.99</v>
      </c>
      <c r="AC70" s="3">
        <f t="shared" si="1"/>
        <v>-8</v>
      </c>
      <c r="AD70" s="9">
        <f t="shared" si="22"/>
        <v>1.018</v>
      </c>
      <c r="AE70" s="16">
        <f t="shared" si="23"/>
        <v>0.67136150234741787</v>
      </c>
      <c r="AF70" s="16">
        <f t="shared" si="24"/>
        <v>1.0592592592592593</v>
      </c>
      <c r="AG70" s="9"/>
      <c r="AH70" s="9"/>
      <c r="AI70" s="12">
        <f t="shared" si="25"/>
        <v>35.299999999999997</v>
      </c>
      <c r="AJ70" s="12">
        <f t="shared" si="26"/>
        <v>62.9</v>
      </c>
      <c r="AK70" s="12">
        <f t="shared" si="26"/>
        <v>55.2</v>
      </c>
      <c r="AL70" s="12">
        <f t="shared" si="26"/>
        <v>27</v>
      </c>
      <c r="AM70" s="12">
        <f t="shared" si="26"/>
        <v>30.9</v>
      </c>
      <c r="AN70" s="12">
        <f t="shared" si="18"/>
        <v>40.300000000000004</v>
      </c>
      <c r="AO70" s="12">
        <f t="shared" si="14"/>
        <v>32</v>
      </c>
      <c r="AP70" s="12">
        <f t="shared" si="14"/>
        <v>64.600000000000009</v>
      </c>
      <c r="AQ70" s="12">
        <f t="shared" si="14"/>
        <v>83.899999999999991</v>
      </c>
      <c r="AR70" s="12">
        <f t="shared" si="14"/>
        <v>53.5</v>
      </c>
      <c r="AS70" s="12">
        <f t="shared" si="15"/>
        <v>44.1</v>
      </c>
      <c r="AT70" s="12">
        <f t="shared" si="15"/>
        <v>76.2</v>
      </c>
      <c r="AU70" s="12">
        <f t="shared" si="27"/>
        <v>63.6</v>
      </c>
      <c r="AV70" s="12">
        <f t="shared" si="15"/>
        <v>67.900000000000006</v>
      </c>
      <c r="AW70" s="12">
        <f t="shared" si="16"/>
        <v>22.6</v>
      </c>
      <c r="AX70" s="12">
        <f t="shared" si="28"/>
        <v>77.400000000000006</v>
      </c>
      <c r="AY70" s="9"/>
      <c r="AZ70" s="12">
        <f t="shared" si="17"/>
        <v>13.8</v>
      </c>
      <c r="BA70" s="12">
        <f t="shared" si="13"/>
        <v>75.099999999999994</v>
      </c>
      <c r="BB70" s="12">
        <f t="shared" si="13"/>
        <v>50.2</v>
      </c>
      <c r="BC70" s="12">
        <f t="shared" si="13"/>
        <v>37</v>
      </c>
      <c r="BD70" s="12">
        <f t="shared" si="13"/>
        <v>27</v>
      </c>
      <c r="BE70" s="12">
        <f t="shared" si="19"/>
        <v>22.6</v>
      </c>
      <c r="BF70" s="12">
        <f t="shared" si="19"/>
        <v>36.4</v>
      </c>
      <c r="BG70" s="12">
        <f t="shared" si="19"/>
        <v>27</v>
      </c>
      <c r="BH70" s="12">
        <f t="shared" si="19"/>
        <v>43.6</v>
      </c>
      <c r="BI70" s="12">
        <f t="shared" si="20"/>
        <v>59.099999999999994</v>
      </c>
    </row>
    <row r="71" spans="1:61" ht="15.75" customHeight="1">
      <c r="A71" s="1" t="s">
        <v>211</v>
      </c>
      <c r="B71" s="3" t="s">
        <v>157</v>
      </c>
      <c r="C71" s="4" t="s">
        <v>8</v>
      </c>
      <c r="D71" s="4">
        <v>41</v>
      </c>
      <c r="E71" s="4">
        <v>779</v>
      </c>
      <c r="F71" s="4">
        <v>41</v>
      </c>
      <c r="G71" s="4">
        <v>779</v>
      </c>
      <c r="H71" s="4">
        <v>8.6999999999999993</v>
      </c>
      <c r="I71" s="4">
        <v>0.55700000000000005</v>
      </c>
      <c r="J71" s="4">
        <v>0.52500000000000002</v>
      </c>
      <c r="K71" s="4">
        <v>0.51100000000000001</v>
      </c>
      <c r="L71" s="4">
        <v>0.192</v>
      </c>
      <c r="M71" s="4">
        <v>6.1</v>
      </c>
      <c r="N71" s="4">
        <v>10.1</v>
      </c>
      <c r="O71" s="4">
        <v>5</v>
      </c>
      <c r="P71" s="4">
        <v>1.4</v>
      </c>
      <c r="Q71" s="4">
        <v>0.8</v>
      </c>
      <c r="R71" s="4">
        <v>13.2</v>
      </c>
      <c r="S71" s="4">
        <v>12.8</v>
      </c>
      <c r="T71" s="4">
        <v>111</v>
      </c>
      <c r="U71" s="4">
        <v>112</v>
      </c>
      <c r="V71" s="4"/>
      <c r="W71" s="4">
        <v>0.7</v>
      </c>
      <c r="X71" s="4">
        <v>0.6</v>
      </c>
      <c r="Y71" s="4">
        <v>1.3</v>
      </c>
      <c r="Z71" s="4">
        <v>6.9000000000000006E-2</v>
      </c>
      <c r="AA71" s="13">
        <f>(I71/TOTAL_BASIC!$D$301)*100</f>
        <v>99.410850601117744</v>
      </c>
      <c r="AB71" s="5">
        <f t="shared" si="21"/>
        <v>1.1100000000000001</v>
      </c>
      <c r="AC71" s="3">
        <f t="shared" si="1"/>
        <v>-1</v>
      </c>
      <c r="AD71" s="9">
        <f t="shared" si="22"/>
        <v>1.1140000000000001</v>
      </c>
      <c r="AE71" s="16">
        <f t="shared" si="23"/>
        <v>0.390625</v>
      </c>
      <c r="AF71" s="16">
        <f t="shared" si="24"/>
        <v>0.37878787878787878</v>
      </c>
      <c r="AG71" s="9"/>
      <c r="AH71" s="9"/>
      <c r="AI71" s="12">
        <f t="shared" si="25"/>
        <v>85.6</v>
      </c>
      <c r="AJ71" s="12">
        <f t="shared" si="26"/>
        <v>61.8</v>
      </c>
      <c r="AK71" s="12">
        <f t="shared" si="26"/>
        <v>16.5</v>
      </c>
      <c r="AL71" s="12">
        <f t="shared" si="26"/>
        <v>48.6</v>
      </c>
      <c r="AM71" s="12">
        <f t="shared" si="26"/>
        <v>59.099999999999994</v>
      </c>
      <c r="AN71" s="12">
        <f t="shared" si="18"/>
        <v>74</v>
      </c>
      <c r="AO71" s="12">
        <f t="shared" si="14"/>
        <v>23.200000000000003</v>
      </c>
      <c r="AP71" s="12">
        <f t="shared" si="14"/>
        <v>65.7</v>
      </c>
      <c r="AQ71" s="12">
        <f t="shared" si="14"/>
        <v>59.599999999999994</v>
      </c>
      <c r="AR71" s="12">
        <f t="shared" si="14"/>
        <v>1.6</v>
      </c>
      <c r="AS71" s="12">
        <f t="shared" si="15"/>
        <v>28.1</v>
      </c>
      <c r="AT71" s="12">
        <f t="shared" si="15"/>
        <v>30.3</v>
      </c>
      <c r="AU71" s="12">
        <f t="shared" si="27"/>
        <v>64.7</v>
      </c>
      <c r="AV71" s="12">
        <f t="shared" si="15"/>
        <v>9.9</v>
      </c>
      <c r="AW71" s="12">
        <f t="shared" si="16"/>
        <v>64.600000000000009</v>
      </c>
      <c r="AX71" s="12">
        <f t="shared" si="28"/>
        <v>38.700000000000003</v>
      </c>
      <c r="AY71" s="9"/>
      <c r="AZ71" s="12">
        <f t="shared" si="17"/>
        <v>61.8</v>
      </c>
      <c r="BA71" s="12">
        <f t="shared" si="13"/>
        <v>47.5</v>
      </c>
      <c r="BB71" s="12">
        <f t="shared" si="13"/>
        <v>59.099999999999994</v>
      </c>
      <c r="BC71" s="12">
        <f t="shared" si="13"/>
        <v>45.300000000000004</v>
      </c>
      <c r="BD71" s="12">
        <f t="shared" si="13"/>
        <v>48.6</v>
      </c>
      <c r="BE71" s="12">
        <f t="shared" si="19"/>
        <v>64.600000000000009</v>
      </c>
      <c r="BF71" s="12">
        <f t="shared" si="19"/>
        <v>57.999999999999993</v>
      </c>
      <c r="BG71" s="12">
        <f t="shared" si="19"/>
        <v>48.6</v>
      </c>
      <c r="BH71" s="12">
        <f t="shared" si="19"/>
        <v>7.1</v>
      </c>
      <c r="BI71" s="12">
        <f t="shared" si="20"/>
        <v>3.8</v>
      </c>
    </row>
    <row r="72" spans="1:61" ht="15.75" customHeight="1">
      <c r="A72" s="1" t="s">
        <v>86</v>
      </c>
      <c r="B72" s="3" t="s">
        <v>84</v>
      </c>
      <c r="C72" s="4" t="s">
        <v>8</v>
      </c>
      <c r="D72" s="4">
        <v>38</v>
      </c>
      <c r="E72" s="4">
        <v>779</v>
      </c>
      <c r="F72" s="4">
        <v>38</v>
      </c>
      <c r="G72" s="4">
        <v>779</v>
      </c>
      <c r="H72" s="4">
        <v>12.9</v>
      </c>
      <c r="I72" s="4">
        <v>0.59499999999999997</v>
      </c>
      <c r="J72" s="4">
        <v>0.57899999999999996</v>
      </c>
      <c r="K72" s="4">
        <v>0.79600000000000004</v>
      </c>
      <c r="L72" s="4">
        <v>9.8000000000000004E-2</v>
      </c>
      <c r="M72" s="4">
        <v>2.2999999999999998</v>
      </c>
      <c r="N72" s="4">
        <v>5.9</v>
      </c>
      <c r="O72" s="4">
        <v>18.399999999999999</v>
      </c>
      <c r="P72" s="4">
        <v>1.9</v>
      </c>
      <c r="Q72" s="4">
        <v>0.6</v>
      </c>
      <c r="R72" s="4">
        <v>18.600000000000001</v>
      </c>
      <c r="S72" s="4">
        <v>19.5</v>
      </c>
      <c r="T72" s="4">
        <v>107</v>
      </c>
      <c r="U72" s="4">
        <v>111</v>
      </c>
      <c r="V72" s="4"/>
      <c r="W72" s="4">
        <v>0.6</v>
      </c>
      <c r="X72" s="4">
        <v>0.8</v>
      </c>
      <c r="Y72" s="4">
        <v>1.4</v>
      </c>
      <c r="Z72" s="4">
        <v>7.3999999999999996E-2</v>
      </c>
      <c r="AA72" s="13">
        <f>(I72/TOTAL_BASIC!$D$301)*100</f>
        <v>106.19291940334838</v>
      </c>
      <c r="AB72" s="5">
        <f t="shared" si="21"/>
        <v>1.07</v>
      </c>
      <c r="AC72" s="3">
        <f t="shared" si="1"/>
        <v>-4</v>
      </c>
      <c r="AD72" s="9">
        <f t="shared" si="22"/>
        <v>1.19</v>
      </c>
      <c r="AE72" s="16">
        <f t="shared" si="23"/>
        <v>0.94358974358974357</v>
      </c>
      <c r="AF72" s="16">
        <f t="shared" si="24"/>
        <v>0.98924731182795689</v>
      </c>
      <c r="AG72" s="9"/>
      <c r="AH72" s="9"/>
      <c r="AI72" s="12">
        <f t="shared" si="25"/>
        <v>59.599999999999994</v>
      </c>
      <c r="AJ72" s="12">
        <f t="shared" si="26"/>
        <v>61.8</v>
      </c>
      <c r="AK72" s="12">
        <f t="shared" si="26"/>
        <v>50.2</v>
      </c>
      <c r="AL72" s="12">
        <f t="shared" si="26"/>
        <v>73.400000000000006</v>
      </c>
      <c r="AM72" s="12">
        <f t="shared" si="26"/>
        <v>87.8</v>
      </c>
      <c r="AN72" s="12">
        <f t="shared" si="18"/>
        <v>99.4</v>
      </c>
      <c r="AO72" s="12">
        <f t="shared" si="14"/>
        <v>4.9000000000000004</v>
      </c>
      <c r="AP72" s="12">
        <f t="shared" si="14"/>
        <v>22</v>
      </c>
      <c r="AQ72" s="12">
        <f t="shared" si="14"/>
        <v>19.8</v>
      </c>
      <c r="AR72" s="12">
        <f t="shared" si="14"/>
        <v>72.3</v>
      </c>
      <c r="AS72" s="12">
        <f t="shared" si="15"/>
        <v>57.999999999999993</v>
      </c>
      <c r="AT72" s="12">
        <f t="shared" si="15"/>
        <v>19.8</v>
      </c>
      <c r="AU72" s="12">
        <f t="shared" si="27"/>
        <v>20.5</v>
      </c>
      <c r="AV72" s="12">
        <f t="shared" si="15"/>
        <v>57.4</v>
      </c>
      <c r="AW72" s="12">
        <f t="shared" si="16"/>
        <v>50.2</v>
      </c>
      <c r="AX72" s="12">
        <f t="shared" si="28"/>
        <v>48.699999999999996</v>
      </c>
      <c r="AY72" s="9"/>
      <c r="AZ72" s="12">
        <f t="shared" si="17"/>
        <v>56.3</v>
      </c>
      <c r="BA72" s="12">
        <f t="shared" si="13"/>
        <v>58.5</v>
      </c>
      <c r="BB72" s="12">
        <f t="shared" si="13"/>
        <v>60.699999999999996</v>
      </c>
      <c r="BC72" s="12">
        <f t="shared" si="13"/>
        <v>50.8</v>
      </c>
      <c r="BD72" s="12">
        <f t="shared" si="13"/>
        <v>73.400000000000006</v>
      </c>
      <c r="BE72" s="12">
        <f t="shared" si="19"/>
        <v>50.2</v>
      </c>
      <c r="BF72" s="12">
        <f t="shared" si="19"/>
        <v>48.6</v>
      </c>
      <c r="BG72" s="12">
        <f t="shared" si="19"/>
        <v>73.400000000000006</v>
      </c>
      <c r="BH72" s="12">
        <f t="shared" si="19"/>
        <v>67.900000000000006</v>
      </c>
      <c r="BI72" s="12">
        <f t="shared" si="20"/>
        <v>48.6</v>
      </c>
    </row>
    <row r="73" spans="1:61" ht="15.75" customHeight="1">
      <c r="A73" s="1" t="s">
        <v>214</v>
      </c>
      <c r="B73" s="3" t="s">
        <v>157</v>
      </c>
      <c r="C73" s="4" t="s">
        <v>85</v>
      </c>
      <c r="D73" s="4">
        <v>40</v>
      </c>
      <c r="E73" s="4">
        <v>769</v>
      </c>
      <c r="F73" s="4">
        <v>40</v>
      </c>
      <c r="G73" s="4">
        <v>769</v>
      </c>
      <c r="H73" s="4">
        <v>16.100000000000001</v>
      </c>
      <c r="I73" s="4">
        <v>0.59799999999999998</v>
      </c>
      <c r="J73" s="4">
        <v>0.53400000000000003</v>
      </c>
      <c r="K73" s="4">
        <v>0.10199999999999999</v>
      </c>
      <c r="L73" s="4">
        <v>0.58199999999999996</v>
      </c>
      <c r="M73" s="4">
        <v>11.5</v>
      </c>
      <c r="N73" s="4">
        <v>15.3</v>
      </c>
      <c r="O73" s="4">
        <v>7.2</v>
      </c>
      <c r="P73" s="4">
        <v>2.2000000000000002</v>
      </c>
      <c r="Q73" s="4">
        <v>2.1</v>
      </c>
      <c r="R73" s="4">
        <v>12.2</v>
      </c>
      <c r="S73" s="4">
        <v>14.4</v>
      </c>
      <c r="T73" s="4">
        <v>125</v>
      </c>
      <c r="U73" s="4">
        <v>108</v>
      </c>
      <c r="V73" s="4"/>
      <c r="W73" s="4">
        <v>2</v>
      </c>
      <c r="X73" s="4">
        <v>1.1000000000000001</v>
      </c>
      <c r="Y73" s="4">
        <v>3.1</v>
      </c>
      <c r="Z73" s="4">
        <v>0.159</v>
      </c>
      <c r="AA73" s="13">
        <f>(I73/TOTAL_BASIC!$D$301)*100</f>
        <v>106.728345887735</v>
      </c>
      <c r="AB73" s="5">
        <f t="shared" si="21"/>
        <v>1.25</v>
      </c>
      <c r="AC73" s="3">
        <f t="shared" si="1"/>
        <v>17</v>
      </c>
      <c r="AD73" s="9">
        <f t="shared" si="22"/>
        <v>1.196</v>
      </c>
      <c r="AE73" s="16">
        <f t="shared" si="23"/>
        <v>0.5</v>
      </c>
      <c r="AF73" s="16">
        <f t="shared" si="24"/>
        <v>0.59016393442622961</v>
      </c>
      <c r="AG73" s="9"/>
      <c r="AH73" s="9"/>
      <c r="AI73" s="12">
        <f t="shared" si="25"/>
        <v>72.899999999999991</v>
      </c>
      <c r="AJ73" s="12">
        <f t="shared" si="26"/>
        <v>61.3</v>
      </c>
      <c r="AK73" s="12">
        <f t="shared" si="26"/>
        <v>69</v>
      </c>
      <c r="AL73" s="12">
        <f t="shared" si="26"/>
        <v>75.099999999999994</v>
      </c>
      <c r="AM73" s="12">
        <f t="shared" si="26"/>
        <v>65.100000000000009</v>
      </c>
      <c r="AN73" s="12">
        <f t="shared" si="18"/>
        <v>11.600000000000001</v>
      </c>
      <c r="AO73" s="12">
        <f t="shared" si="14"/>
        <v>96.1</v>
      </c>
      <c r="AP73" s="12">
        <f t="shared" si="14"/>
        <v>93.300000000000011</v>
      </c>
      <c r="AQ73" s="12">
        <f t="shared" si="14"/>
        <v>84.5</v>
      </c>
      <c r="AR73" s="12">
        <f t="shared" si="14"/>
        <v>9.3000000000000007</v>
      </c>
      <c r="AS73" s="12">
        <f t="shared" si="15"/>
        <v>75.099999999999994</v>
      </c>
      <c r="AT73" s="12">
        <f t="shared" si="15"/>
        <v>66.8</v>
      </c>
      <c r="AU73" s="12">
        <f t="shared" si="27"/>
        <v>72.400000000000006</v>
      </c>
      <c r="AV73" s="12">
        <f t="shared" si="15"/>
        <v>16.5</v>
      </c>
      <c r="AW73" s="12">
        <f t="shared" si="16"/>
        <v>94.399999999999991</v>
      </c>
      <c r="AX73" s="12">
        <f t="shared" si="28"/>
        <v>71.3</v>
      </c>
      <c r="AY73" s="9"/>
      <c r="AZ73" s="12">
        <f t="shared" si="17"/>
        <v>83.399999999999991</v>
      </c>
      <c r="BA73" s="12">
        <f t="shared" si="17"/>
        <v>72.899999999999991</v>
      </c>
      <c r="BB73" s="12">
        <f t="shared" si="17"/>
        <v>80.600000000000009</v>
      </c>
      <c r="BC73" s="12">
        <f t="shared" si="17"/>
        <v>83.399999999999991</v>
      </c>
      <c r="BD73" s="12">
        <f t="shared" si="17"/>
        <v>75.099999999999994</v>
      </c>
      <c r="BE73" s="12">
        <f t="shared" si="19"/>
        <v>94.399999999999991</v>
      </c>
      <c r="BF73" s="12">
        <f t="shared" si="19"/>
        <v>94.399999999999991</v>
      </c>
      <c r="BG73" s="12">
        <f t="shared" si="19"/>
        <v>75.099999999999994</v>
      </c>
      <c r="BH73" s="12">
        <f t="shared" si="19"/>
        <v>20.399999999999999</v>
      </c>
      <c r="BI73" s="12">
        <f t="shared" si="20"/>
        <v>17.599999999999998</v>
      </c>
    </row>
    <row r="74" spans="1:61" ht="15.75" customHeight="1">
      <c r="A74" s="1" t="s">
        <v>230</v>
      </c>
      <c r="B74" s="3" t="s">
        <v>140</v>
      </c>
      <c r="C74" s="4" t="s">
        <v>8</v>
      </c>
      <c r="D74" s="4">
        <v>39</v>
      </c>
      <c r="E74" s="4">
        <v>768</v>
      </c>
      <c r="F74" s="4">
        <v>39</v>
      </c>
      <c r="G74" s="4">
        <v>768</v>
      </c>
      <c r="H74" s="4">
        <v>9.6</v>
      </c>
      <c r="I74" s="4">
        <v>0.48699999999999999</v>
      </c>
      <c r="J74" s="4">
        <v>0.44700000000000001</v>
      </c>
      <c r="K74" s="4">
        <v>0.35799999999999998</v>
      </c>
      <c r="L74" s="4">
        <v>0.45100000000000001</v>
      </c>
      <c r="M74" s="4">
        <v>3.3</v>
      </c>
      <c r="N74" s="4">
        <v>9.1</v>
      </c>
      <c r="O74" s="4">
        <v>15.9</v>
      </c>
      <c r="P74" s="4">
        <v>1.4</v>
      </c>
      <c r="Q74" s="4">
        <v>0.7</v>
      </c>
      <c r="R74" s="4">
        <v>14</v>
      </c>
      <c r="S74" s="4">
        <v>17.399999999999999</v>
      </c>
      <c r="T74" s="4">
        <v>101</v>
      </c>
      <c r="U74" s="4">
        <v>106</v>
      </c>
      <c r="V74" s="4"/>
      <c r="W74" s="4">
        <v>0</v>
      </c>
      <c r="X74" s="4">
        <v>1.3</v>
      </c>
      <c r="Y74" s="4">
        <v>1.3</v>
      </c>
      <c r="Z74" s="4">
        <v>6.8000000000000005E-2</v>
      </c>
      <c r="AA74" s="13">
        <f>(I74/TOTAL_BASIC!$D$301)*100</f>
        <v>86.917565965429688</v>
      </c>
      <c r="AB74" s="5">
        <f t="shared" si="21"/>
        <v>1.01</v>
      </c>
      <c r="AC74" s="3">
        <f t="shared" si="1"/>
        <v>-5</v>
      </c>
      <c r="AD74" s="9">
        <f t="shared" si="22"/>
        <v>0.97399999999999998</v>
      </c>
      <c r="AE74" s="16">
        <f t="shared" si="23"/>
        <v>0.91379310344827591</v>
      </c>
      <c r="AF74" s="16">
        <f t="shared" si="24"/>
        <v>1.1357142857142857</v>
      </c>
      <c r="AG74" s="9"/>
      <c r="AH74" s="9"/>
      <c r="AI74" s="12">
        <f t="shared" si="25"/>
        <v>64.600000000000009</v>
      </c>
      <c r="AJ74" s="12">
        <f t="shared" si="26"/>
        <v>60.699999999999996</v>
      </c>
      <c r="AK74" s="12">
        <f t="shared" si="26"/>
        <v>23.7</v>
      </c>
      <c r="AL74" s="12">
        <f t="shared" si="26"/>
        <v>14.299999999999999</v>
      </c>
      <c r="AM74" s="12">
        <f t="shared" si="26"/>
        <v>17.100000000000001</v>
      </c>
      <c r="AN74" s="12">
        <f t="shared" si="18"/>
        <v>39.700000000000003</v>
      </c>
      <c r="AO74" s="12">
        <f t="shared" si="14"/>
        <v>85.6</v>
      </c>
      <c r="AP74" s="12">
        <f t="shared" si="14"/>
        <v>38.1</v>
      </c>
      <c r="AQ74" s="12">
        <f t="shared" si="14"/>
        <v>51.300000000000004</v>
      </c>
      <c r="AR74" s="12">
        <f t="shared" si="14"/>
        <v>61.3</v>
      </c>
      <c r="AS74" s="12">
        <f t="shared" si="15"/>
        <v>28.1</v>
      </c>
      <c r="AT74" s="12">
        <f t="shared" si="15"/>
        <v>24.3</v>
      </c>
      <c r="AU74" s="12">
        <f t="shared" si="27"/>
        <v>57.5</v>
      </c>
      <c r="AV74" s="12">
        <f t="shared" si="15"/>
        <v>41.4</v>
      </c>
      <c r="AW74" s="12">
        <f t="shared" si="16"/>
        <v>28.7</v>
      </c>
      <c r="AX74" s="12">
        <f t="shared" si="28"/>
        <v>82.9</v>
      </c>
      <c r="AY74" s="9"/>
      <c r="AZ74" s="12">
        <f t="shared" si="17"/>
        <v>24.8</v>
      </c>
      <c r="BA74" s="12">
        <f t="shared" si="17"/>
        <v>76.2</v>
      </c>
      <c r="BB74" s="12">
        <f t="shared" si="17"/>
        <v>59.099999999999994</v>
      </c>
      <c r="BC74" s="12">
        <f t="shared" si="17"/>
        <v>44.1</v>
      </c>
      <c r="BD74" s="12">
        <f t="shared" si="17"/>
        <v>14.299999999999999</v>
      </c>
      <c r="BE74" s="12">
        <f t="shared" si="19"/>
        <v>28.7</v>
      </c>
      <c r="BF74" s="12">
        <f t="shared" si="19"/>
        <v>43</v>
      </c>
      <c r="BG74" s="12">
        <f t="shared" si="19"/>
        <v>14.299999999999999</v>
      </c>
      <c r="BH74" s="12">
        <f t="shared" si="19"/>
        <v>66.2</v>
      </c>
      <c r="BI74" s="12">
        <f t="shared" si="20"/>
        <v>63.5</v>
      </c>
    </row>
    <row r="75" spans="1:61" ht="15.75" customHeight="1">
      <c r="A75" s="1" t="s">
        <v>256</v>
      </c>
      <c r="B75" s="3" t="s">
        <v>107</v>
      </c>
      <c r="C75" s="4" t="s">
        <v>8</v>
      </c>
      <c r="D75" s="4">
        <v>27</v>
      </c>
      <c r="E75" s="4">
        <v>766</v>
      </c>
      <c r="F75" s="4">
        <v>27</v>
      </c>
      <c r="G75" s="4">
        <v>766</v>
      </c>
      <c r="H75" s="4">
        <v>13.2</v>
      </c>
      <c r="I75" s="4">
        <v>0.50700000000000001</v>
      </c>
      <c r="J75" s="4">
        <v>0.47499999999999998</v>
      </c>
      <c r="K75" s="4">
        <v>0.32700000000000001</v>
      </c>
      <c r="L75" s="4">
        <v>0.23100000000000001</v>
      </c>
      <c r="M75" s="4">
        <v>2.1</v>
      </c>
      <c r="N75" s="4">
        <v>3.9</v>
      </c>
      <c r="O75" s="4">
        <v>28.9</v>
      </c>
      <c r="P75" s="4">
        <v>3</v>
      </c>
      <c r="Q75" s="4">
        <v>1.1000000000000001</v>
      </c>
      <c r="R75" s="4">
        <v>16</v>
      </c>
      <c r="S75" s="4">
        <v>21.1</v>
      </c>
      <c r="T75" s="4">
        <v>100</v>
      </c>
      <c r="U75" s="4">
        <v>112</v>
      </c>
      <c r="V75" s="4"/>
      <c r="W75" s="4">
        <v>-0.1</v>
      </c>
      <c r="X75" s="4">
        <v>0.7</v>
      </c>
      <c r="Y75" s="4">
        <v>0.5</v>
      </c>
      <c r="Z75" s="4">
        <v>2.8000000000000001E-2</v>
      </c>
      <c r="AA75" s="13">
        <f>(I75/TOTAL_BASIC!$D$301)*100</f>
        <v>90.487075861340557</v>
      </c>
      <c r="AB75" s="5">
        <f t="shared" si="21"/>
        <v>1</v>
      </c>
      <c r="AC75" s="3">
        <f t="shared" si="1"/>
        <v>-12</v>
      </c>
      <c r="AD75" s="9">
        <f t="shared" si="22"/>
        <v>1.014</v>
      </c>
      <c r="AE75" s="16">
        <f t="shared" si="23"/>
        <v>1.3696682464454975</v>
      </c>
      <c r="AF75" s="16">
        <f t="shared" si="24"/>
        <v>1.8062499999999999</v>
      </c>
      <c r="AG75" s="9"/>
      <c r="AH75" s="9"/>
      <c r="AI75" s="12">
        <f t="shared" si="25"/>
        <v>24.8</v>
      </c>
      <c r="AJ75" s="12">
        <f t="shared" si="26"/>
        <v>60.199999999999996</v>
      </c>
      <c r="AK75" s="12">
        <f t="shared" si="26"/>
        <v>50.8</v>
      </c>
      <c r="AL75" s="12">
        <f t="shared" si="26"/>
        <v>25.4</v>
      </c>
      <c r="AM75" s="12">
        <f t="shared" si="26"/>
        <v>32.5</v>
      </c>
      <c r="AN75" s="12">
        <f t="shared" si="18"/>
        <v>32.5</v>
      </c>
      <c r="AO75" s="12">
        <f t="shared" si="14"/>
        <v>35.9</v>
      </c>
      <c r="AP75" s="12">
        <f t="shared" si="14"/>
        <v>18.2</v>
      </c>
      <c r="AQ75" s="12">
        <f t="shared" si="14"/>
        <v>3.8</v>
      </c>
      <c r="AR75" s="12">
        <f t="shared" si="14"/>
        <v>90.600000000000009</v>
      </c>
      <c r="AS75" s="12">
        <f t="shared" si="15"/>
        <v>94.399999999999991</v>
      </c>
      <c r="AT75" s="12">
        <f t="shared" si="15"/>
        <v>44.1</v>
      </c>
      <c r="AU75" s="12">
        <f t="shared" si="27"/>
        <v>41.5</v>
      </c>
      <c r="AV75" s="12">
        <f t="shared" si="15"/>
        <v>66.2</v>
      </c>
      <c r="AW75" s="12">
        <f t="shared" si="16"/>
        <v>24.8</v>
      </c>
      <c r="AX75" s="12">
        <f t="shared" si="28"/>
        <v>38.700000000000003</v>
      </c>
      <c r="AY75" s="9"/>
      <c r="AZ75" s="12">
        <f t="shared" si="17"/>
        <v>20.9</v>
      </c>
      <c r="BA75" s="12">
        <f t="shared" si="17"/>
        <v>54.1</v>
      </c>
      <c r="BB75" s="12">
        <f t="shared" si="17"/>
        <v>29.799999999999997</v>
      </c>
      <c r="BC75" s="12">
        <f t="shared" si="17"/>
        <v>24.8</v>
      </c>
      <c r="BD75" s="12">
        <f t="shared" si="17"/>
        <v>25.4</v>
      </c>
      <c r="BE75" s="12">
        <f t="shared" si="19"/>
        <v>24.8</v>
      </c>
      <c r="BF75" s="12">
        <f t="shared" si="19"/>
        <v>25.4</v>
      </c>
      <c r="BG75" s="12">
        <f t="shared" si="19"/>
        <v>25.4</v>
      </c>
      <c r="BH75" s="12">
        <f t="shared" si="19"/>
        <v>90</v>
      </c>
      <c r="BI75" s="12">
        <f t="shared" si="20"/>
        <v>89.5</v>
      </c>
    </row>
    <row r="76" spans="1:61" ht="15.75" customHeight="1">
      <c r="A76" s="1" t="s">
        <v>212</v>
      </c>
      <c r="B76" s="3" t="s">
        <v>157</v>
      </c>
      <c r="C76" s="4" t="s">
        <v>119</v>
      </c>
      <c r="D76" s="4">
        <v>40</v>
      </c>
      <c r="E76" s="4">
        <v>764</v>
      </c>
      <c r="F76" s="4">
        <v>40</v>
      </c>
      <c r="G76" s="4">
        <v>764</v>
      </c>
      <c r="H76" s="4">
        <v>14.4</v>
      </c>
      <c r="I76" s="4">
        <v>0.65100000000000002</v>
      </c>
      <c r="J76" s="4">
        <v>0.63700000000000001</v>
      </c>
      <c r="K76" s="4">
        <v>0</v>
      </c>
      <c r="L76" s="4">
        <v>0.35599999999999998</v>
      </c>
      <c r="M76" s="4">
        <v>10.5</v>
      </c>
      <c r="N76" s="4">
        <v>15.9</v>
      </c>
      <c r="O76" s="4">
        <v>4</v>
      </c>
      <c r="P76" s="4">
        <v>1.4</v>
      </c>
      <c r="Q76" s="4">
        <v>3.7</v>
      </c>
      <c r="R76" s="4">
        <v>15.5</v>
      </c>
      <c r="S76" s="4">
        <v>11.5</v>
      </c>
      <c r="T76" s="4">
        <v>124</v>
      </c>
      <c r="U76" s="4">
        <v>109</v>
      </c>
      <c r="V76" s="4"/>
      <c r="W76" s="4">
        <v>1.5</v>
      </c>
      <c r="X76" s="4">
        <v>1</v>
      </c>
      <c r="Y76" s="4">
        <v>2.6</v>
      </c>
      <c r="Z76" s="4">
        <v>0.13400000000000001</v>
      </c>
      <c r="AA76" s="13">
        <f>(I76/TOTAL_BASIC!$D$301)*100</f>
        <v>116.18754711189882</v>
      </c>
      <c r="AB76" s="5">
        <f t="shared" si="21"/>
        <v>1.24</v>
      </c>
      <c r="AC76" s="3">
        <f t="shared" si="1"/>
        <v>15</v>
      </c>
      <c r="AD76" s="9">
        <f t="shared" si="22"/>
        <v>1.302</v>
      </c>
      <c r="AE76" s="16">
        <f t="shared" si="23"/>
        <v>0.34782608695652173</v>
      </c>
      <c r="AF76" s="16">
        <f t="shared" si="24"/>
        <v>0.25806451612903225</v>
      </c>
      <c r="AG76" s="9"/>
      <c r="AH76" s="9"/>
      <c r="AI76" s="12">
        <f t="shared" si="25"/>
        <v>72.899999999999991</v>
      </c>
      <c r="AJ76" s="12">
        <f t="shared" si="26"/>
        <v>59.599999999999994</v>
      </c>
      <c r="AK76" s="12">
        <f t="shared" si="26"/>
        <v>58.5</v>
      </c>
      <c r="AL76" s="12">
        <f t="shared" si="26"/>
        <v>97.2</v>
      </c>
      <c r="AM76" s="12">
        <f t="shared" si="26"/>
        <v>97.7</v>
      </c>
      <c r="AN76" s="12">
        <f t="shared" si="18"/>
        <v>0</v>
      </c>
      <c r="AO76" s="12">
        <f t="shared" si="14"/>
        <v>66.8</v>
      </c>
      <c r="AP76" s="12">
        <f t="shared" si="14"/>
        <v>90</v>
      </c>
      <c r="AQ76" s="12">
        <f t="shared" si="14"/>
        <v>89.5</v>
      </c>
      <c r="AR76" s="12">
        <f t="shared" si="14"/>
        <v>0.5</v>
      </c>
      <c r="AS76" s="12">
        <f t="shared" si="15"/>
        <v>28.1</v>
      </c>
      <c r="AT76" s="12">
        <f t="shared" si="15"/>
        <v>86.7</v>
      </c>
      <c r="AU76" s="12">
        <f t="shared" si="27"/>
        <v>42.6</v>
      </c>
      <c r="AV76" s="12">
        <f t="shared" si="15"/>
        <v>5.5</v>
      </c>
      <c r="AW76" s="12">
        <f t="shared" si="16"/>
        <v>93.300000000000011</v>
      </c>
      <c r="AX76" s="12">
        <f t="shared" si="28"/>
        <v>64.7</v>
      </c>
      <c r="AY76" s="9"/>
      <c r="AZ76" s="12">
        <f t="shared" si="17"/>
        <v>75.599999999999994</v>
      </c>
      <c r="BA76" s="12">
        <f t="shared" si="17"/>
        <v>68.5</v>
      </c>
      <c r="BB76" s="12">
        <f t="shared" si="17"/>
        <v>75.599999999999994</v>
      </c>
      <c r="BC76" s="12">
        <f t="shared" si="17"/>
        <v>76.2</v>
      </c>
      <c r="BD76" s="12">
        <f t="shared" si="17"/>
        <v>97.2</v>
      </c>
      <c r="BE76" s="12">
        <f t="shared" si="19"/>
        <v>93.300000000000011</v>
      </c>
      <c r="BF76" s="12">
        <f t="shared" si="19"/>
        <v>90.600000000000009</v>
      </c>
      <c r="BG76" s="12">
        <f t="shared" si="19"/>
        <v>97.2</v>
      </c>
      <c r="BH76" s="12">
        <f t="shared" si="19"/>
        <v>4.3999999999999995</v>
      </c>
      <c r="BI76" s="12">
        <f t="shared" si="20"/>
        <v>1.0999999999999999</v>
      </c>
    </row>
    <row r="77" spans="1:61" ht="15.75" customHeight="1">
      <c r="A77" s="1" t="s">
        <v>142</v>
      </c>
      <c r="B77" s="3" t="s">
        <v>232</v>
      </c>
      <c r="C77" s="4" t="s">
        <v>85</v>
      </c>
      <c r="D77" s="4">
        <v>41</v>
      </c>
      <c r="E77" s="4">
        <v>749</v>
      </c>
      <c r="F77" s="4">
        <v>41</v>
      </c>
      <c r="G77" s="4">
        <v>749</v>
      </c>
      <c r="H77" s="4">
        <v>6.1</v>
      </c>
      <c r="I77" s="4">
        <v>0.44900000000000001</v>
      </c>
      <c r="J77" s="4">
        <v>0.42399999999999999</v>
      </c>
      <c r="K77" s="4">
        <v>0.47799999999999998</v>
      </c>
      <c r="L77" s="4">
        <v>0.20200000000000001</v>
      </c>
      <c r="M77" s="4">
        <v>5.7</v>
      </c>
      <c r="N77" s="4">
        <v>7.4</v>
      </c>
      <c r="O77" s="4">
        <v>6</v>
      </c>
      <c r="P77" s="4">
        <v>2</v>
      </c>
      <c r="Q77" s="4">
        <v>0.7</v>
      </c>
      <c r="R77" s="4">
        <v>11.8</v>
      </c>
      <c r="S77" s="4">
        <v>13.2</v>
      </c>
      <c r="T77" s="4">
        <v>95</v>
      </c>
      <c r="U77" s="4">
        <v>117</v>
      </c>
      <c r="V77" s="4"/>
      <c r="W77" s="4">
        <v>-0.4</v>
      </c>
      <c r="X77" s="4">
        <v>0.1</v>
      </c>
      <c r="Y77" s="4">
        <v>-0.3</v>
      </c>
      <c r="Z77" s="4">
        <v>-1.4999999999999999E-2</v>
      </c>
      <c r="AA77" s="13">
        <f>(I77/TOTAL_BASIC!$D$301)*100</f>
        <v>80.135497163199034</v>
      </c>
      <c r="AB77" s="5">
        <f t="shared" si="21"/>
        <v>0.95</v>
      </c>
      <c r="AC77" s="3">
        <f t="shared" si="1"/>
        <v>-22</v>
      </c>
      <c r="AD77" s="9">
        <f t="shared" si="22"/>
        <v>0.89800000000000002</v>
      </c>
      <c r="AE77" s="16">
        <f t="shared" si="23"/>
        <v>0.45454545454545459</v>
      </c>
      <c r="AF77" s="16">
        <f t="shared" si="24"/>
        <v>0.50847457627118642</v>
      </c>
      <c r="AG77" s="9"/>
      <c r="AH77" s="9"/>
      <c r="AI77" s="12">
        <f t="shared" si="25"/>
        <v>85.6</v>
      </c>
      <c r="AJ77" s="12">
        <f t="shared" si="26"/>
        <v>59.099999999999994</v>
      </c>
      <c r="AK77" s="12">
        <f t="shared" si="26"/>
        <v>3.8</v>
      </c>
      <c r="AL77" s="12">
        <f t="shared" si="26"/>
        <v>7.7</v>
      </c>
      <c r="AM77" s="12">
        <f t="shared" si="26"/>
        <v>8.7999999999999989</v>
      </c>
      <c r="AN77" s="12">
        <f t="shared" si="18"/>
        <v>64</v>
      </c>
      <c r="AO77" s="12">
        <f t="shared" si="14"/>
        <v>26.5</v>
      </c>
      <c r="AP77" s="12">
        <f t="shared" si="14"/>
        <v>61.3</v>
      </c>
      <c r="AQ77" s="12">
        <f t="shared" si="14"/>
        <v>37.5</v>
      </c>
      <c r="AR77" s="12">
        <f t="shared" si="14"/>
        <v>5.5</v>
      </c>
      <c r="AS77" s="12">
        <f t="shared" si="15"/>
        <v>64.600000000000009</v>
      </c>
      <c r="AT77" s="12">
        <f t="shared" si="15"/>
        <v>24.3</v>
      </c>
      <c r="AU77" s="12">
        <f t="shared" si="27"/>
        <v>75.7</v>
      </c>
      <c r="AV77" s="12">
        <f t="shared" si="15"/>
        <v>12.7</v>
      </c>
      <c r="AW77" s="12">
        <f t="shared" si="16"/>
        <v>10.4</v>
      </c>
      <c r="AX77" s="12">
        <f t="shared" si="28"/>
        <v>8.8999999999999915</v>
      </c>
      <c r="AY77" s="9"/>
      <c r="AZ77" s="12">
        <f t="shared" si="17"/>
        <v>6.6000000000000005</v>
      </c>
      <c r="BA77" s="12">
        <f t="shared" si="17"/>
        <v>8.7999999999999989</v>
      </c>
      <c r="BB77" s="12">
        <f t="shared" si="17"/>
        <v>3.3000000000000003</v>
      </c>
      <c r="BC77" s="12">
        <f t="shared" si="17"/>
        <v>7.1</v>
      </c>
      <c r="BD77" s="12">
        <f t="shared" si="17"/>
        <v>7.7</v>
      </c>
      <c r="BE77" s="12">
        <f t="shared" si="19"/>
        <v>10.4</v>
      </c>
      <c r="BF77" s="12">
        <f t="shared" si="19"/>
        <v>5.5</v>
      </c>
      <c r="BG77" s="12">
        <f t="shared" si="19"/>
        <v>7.7</v>
      </c>
      <c r="BH77" s="12">
        <f t="shared" si="19"/>
        <v>13.8</v>
      </c>
      <c r="BI77" s="12">
        <f t="shared" si="20"/>
        <v>11.600000000000001</v>
      </c>
    </row>
    <row r="78" spans="1:61" ht="15.75" customHeight="1">
      <c r="A78" s="1" t="s">
        <v>118</v>
      </c>
      <c r="B78" s="3" t="s">
        <v>93</v>
      </c>
      <c r="C78" s="4" t="s">
        <v>119</v>
      </c>
      <c r="D78" s="4">
        <v>33</v>
      </c>
      <c r="E78" s="4">
        <v>738</v>
      </c>
      <c r="F78" s="4">
        <v>33</v>
      </c>
      <c r="G78" s="4">
        <v>738</v>
      </c>
      <c r="H78" s="4">
        <v>20.100000000000001</v>
      </c>
      <c r="I78" s="4">
        <v>0.63800000000000001</v>
      </c>
      <c r="J78" s="4">
        <v>0.60699999999999998</v>
      </c>
      <c r="K78" s="4">
        <v>4.1000000000000002E-2</v>
      </c>
      <c r="L78" s="4">
        <v>0.27</v>
      </c>
      <c r="M78" s="4">
        <v>12.4</v>
      </c>
      <c r="N78" s="4">
        <v>18.600000000000001</v>
      </c>
      <c r="O78" s="4">
        <v>9.6</v>
      </c>
      <c r="P78" s="4">
        <v>1.9</v>
      </c>
      <c r="Q78" s="4">
        <v>5.4</v>
      </c>
      <c r="R78" s="4">
        <v>12</v>
      </c>
      <c r="S78" s="4">
        <v>15.3</v>
      </c>
      <c r="T78" s="4">
        <v>125</v>
      </c>
      <c r="U78" s="4">
        <v>106</v>
      </c>
      <c r="V78" s="4"/>
      <c r="W78" s="4">
        <v>2</v>
      </c>
      <c r="X78" s="4">
        <v>1.3</v>
      </c>
      <c r="Y78" s="4">
        <v>3.3</v>
      </c>
      <c r="Z78" s="4">
        <v>0.17799999999999999</v>
      </c>
      <c r="AA78" s="13">
        <f>(I78/TOTAL_BASIC!$D$301)*100</f>
        <v>113.86736567955676</v>
      </c>
      <c r="AB78" s="5">
        <f t="shared" si="21"/>
        <v>1.25</v>
      </c>
      <c r="AC78" s="3">
        <f t="shared" si="1"/>
        <v>19</v>
      </c>
      <c r="AD78" s="9">
        <f t="shared" si="22"/>
        <v>1.276</v>
      </c>
      <c r="AE78" s="16">
        <f t="shared" si="23"/>
        <v>0.62745098039215685</v>
      </c>
      <c r="AF78" s="16">
        <f t="shared" si="24"/>
        <v>0.79999999999999993</v>
      </c>
      <c r="AG78" s="9"/>
      <c r="AH78" s="9"/>
      <c r="AI78" s="12">
        <f t="shared" si="25"/>
        <v>39.700000000000003</v>
      </c>
      <c r="AJ78" s="12">
        <f t="shared" si="26"/>
        <v>58.5</v>
      </c>
      <c r="AK78" s="12">
        <f t="shared" si="26"/>
        <v>86.7</v>
      </c>
      <c r="AL78" s="12">
        <f t="shared" si="26"/>
        <v>93.300000000000011</v>
      </c>
      <c r="AM78" s="12">
        <f t="shared" si="26"/>
        <v>94.399999999999991</v>
      </c>
      <c r="AN78" s="12">
        <f t="shared" si="18"/>
        <v>7.1</v>
      </c>
      <c r="AO78" s="12">
        <f t="shared" si="14"/>
        <v>45.800000000000004</v>
      </c>
      <c r="AP78" s="12">
        <f t="shared" si="14"/>
        <v>95.5</v>
      </c>
      <c r="AQ78" s="12">
        <f t="shared" si="14"/>
        <v>94.399999999999991</v>
      </c>
      <c r="AR78" s="12">
        <f t="shared" si="14"/>
        <v>26.5</v>
      </c>
      <c r="AS78" s="12">
        <f t="shared" si="15"/>
        <v>57.999999999999993</v>
      </c>
      <c r="AT78" s="12">
        <f t="shared" si="15"/>
        <v>94.399999999999991</v>
      </c>
      <c r="AU78" s="12">
        <f t="shared" si="27"/>
        <v>73</v>
      </c>
      <c r="AV78" s="12">
        <f t="shared" si="15"/>
        <v>20.9</v>
      </c>
      <c r="AW78" s="12">
        <f t="shared" si="16"/>
        <v>94.399999999999991</v>
      </c>
      <c r="AX78" s="12">
        <f t="shared" si="28"/>
        <v>82.9</v>
      </c>
      <c r="AY78" s="9"/>
      <c r="AZ78" s="12">
        <f t="shared" si="17"/>
        <v>83.399999999999991</v>
      </c>
      <c r="BA78" s="12">
        <f t="shared" si="17"/>
        <v>76.2</v>
      </c>
      <c r="BB78" s="12">
        <f t="shared" si="17"/>
        <v>83.399999999999991</v>
      </c>
      <c r="BC78" s="12">
        <f t="shared" si="17"/>
        <v>88.9</v>
      </c>
      <c r="BD78" s="12">
        <f t="shared" si="17"/>
        <v>93.300000000000011</v>
      </c>
      <c r="BE78" s="12">
        <f t="shared" si="19"/>
        <v>94.399999999999991</v>
      </c>
      <c r="BF78" s="12">
        <f t="shared" si="19"/>
        <v>97.2</v>
      </c>
      <c r="BG78" s="12">
        <f t="shared" si="19"/>
        <v>93.300000000000011</v>
      </c>
      <c r="BH78" s="12">
        <f t="shared" si="19"/>
        <v>37.5</v>
      </c>
      <c r="BI78" s="12">
        <f t="shared" si="20"/>
        <v>32.5</v>
      </c>
    </row>
    <row r="79" spans="1:61" ht="15.75" customHeight="1">
      <c r="A79" s="1" t="s">
        <v>208</v>
      </c>
      <c r="B79" s="3" t="s">
        <v>140</v>
      </c>
      <c r="C79" s="4" t="s">
        <v>88</v>
      </c>
      <c r="D79" s="4">
        <v>41</v>
      </c>
      <c r="E79" s="4">
        <v>707</v>
      </c>
      <c r="F79" s="4">
        <v>41</v>
      </c>
      <c r="G79" s="4">
        <v>707</v>
      </c>
      <c r="H79" s="4">
        <v>17.2</v>
      </c>
      <c r="I79" s="4">
        <v>0.58799999999999997</v>
      </c>
      <c r="J79" s="4">
        <v>0.54300000000000004</v>
      </c>
      <c r="K79" s="4">
        <v>0</v>
      </c>
      <c r="L79" s="4">
        <v>0.43099999999999999</v>
      </c>
      <c r="M79" s="4">
        <v>8.3000000000000007</v>
      </c>
      <c r="N79" s="4">
        <v>15.8</v>
      </c>
      <c r="O79" s="4">
        <v>10.7</v>
      </c>
      <c r="P79" s="4">
        <v>1.5</v>
      </c>
      <c r="Q79" s="4">
        <v>4.0999999999999996</v>
      </c>
      <c r="R79" s="4">
        <v>13.9</v>
      </c>
      <c r="S79" s="4">
        <v>16.399999999999999</v>
      </c>
      <c r="T79" s="4">
        <v>116</v>
      </c>
      <c r="U79" s="4">
        <v>102</v>
      </c>
      <c r="V79" s="4"/>
      <c r="W79" s="4">
        <v>1.2</v>
      </c>
      <c r="X79" s="4">
        <v>1.6</v>
      </c>
      <c r="Y79" s="4">
        <v>2.9</v>
      </c>
      <c r="Z79" s="4">
        <v>0.16300000000000001</v>
      </c>
      <c r="AA79" s="13">
        <f>(I79/TOTAL_BASIC!$D$301)*100</f>
        <v>104.94359093977958</v>
      </c>
      <c r="AB79" s="5">
        <f t="shared" si="21"/>
        <v>1.1599999999999999</v>
      </c>
      <c r="AC79" s="3">
        <f t="shared" si="1"/>
        <v>14</v>
      </c>
      <c r="AD79" s="9">
        <f t="shared" si="22"/>
        <v>1.1759999999999999</v>
      </c>
      <c r="AE79" s="16">
        <f t="shared" si="23"/>
        <v>0.65243902439024393</v>
      </c>
      <c r="AF79" s="16">
        <f t="shared" si="24"/>
        <v>0.76978417266187038</v>
      </c>
      <c r="AG79" s="9"/>
      <c r="AH79" s="9"/>
      <c r="AI79" s="12">
        <f t="shared" si="25"/>
        <v>85.6</v>
      </c>
      <c r="AJ79" s="12">
        <f t="shared" si="26"/>
        <v>57.999999999999993</v>
      </c>
      <c r="AK79" s="12">
        <f t="shared" si="26"/>
        <v>74.5</v>
      </c>
      <c r="AL79" s="12">
        <f t="shared" si="26"/>
        <v>71.2</v>
      </c>
      <c r="AM79" s="12">
        <f t="shared" si="26"/>
        <v>67.400000000000006</v>
      </c>
      <c r="AN79" s="12">
        <f t="shared" si="18"/>
        <v>0</v>
      </c>
      <c r="AO79" s="12">
        <f t="shared" si="14"/>
        <v>81.2</v>
      </c>
      <c r="AP79" s="12">
        <f t="shared" si="14"/>
        <v>79.5</v>
      </c>
      <c r="AQ79" s="12">
        <f t="shared" si="14"/>
        <v>88.3</v>
      </c>
      <c r="AR79" s="12">
        <f t="shared" si="14"/>
        <v>31.4</v>
      </c>
      <c r="AS79" s="12">
        <f t="shared" si="15"/>
        <v>34.200000000000003</v>
      </c>
      <c r="AT79" s="12">
        <f t="shared" si="15"/>
        <v>88.9</v>
      </c>
      <c r="AU79" s="12">
        <f t="shared" si="27"/>
        <v>59.2</v>
      </c>
      <c r="AV79" s="12">
        <f t="shared" si="15"/>
        <v>27</v>
      </c>
      <c r="AW79" s="12">
        <f t="shared" si="16"/>
        <v>76.2</v>
      </c>
      <c r="AX79" s="12">
        <f t="shared" si="28"/>
        <v>95.6</v>
      </c>
      <c r="AY79" s="9"/>
      <c r="AZ79" s="12">
        <f t="shared" si="17"/>
        <v>71.8</v>
      </c>
      <c r="BA79" s="12">
        <f t="shared" si="17"/>
        <v>84.5</v>
      </c>
      <c r="BB79" s="12">
        <f t="shared" si="17"/>
        <v>79</v>
      </c>
      <c r="BC79" s="12">
        <f t="shared" si="17"/>
        <v>85</v>
      </c>
      <c r="BD79" s="12">
        <f t="shared" si="17"/>
        <v>71.2</v>
      </c>
      <c r="BE79" s="12">
        <f t="shared" si="19"/>
        <v>76.2</v>
      </c>
      <c r="BF79" s="12">
        <f t="shared" si="19"/>
        <v>89.5</v>
      </c>
      <c r="BG79" s="12">
        <f t="shared" si="19"/>
        <v>71.2</v>
      </c>
      <c r="BH79" s="12">
        <f t="shared" si="19"/>
        <v>41.4</v>
      </c>
      <c r="BI79" s="12">
        <f t="shared" si="20"/>
        <v>30.3</v>
      </c>
    </row>
    <row r="80" spans="1:61" ht="15.75" customHeight="1">
      <c r="A80" s="1" t="s">
        <v>184</v>
      </c>
      <c r="B80" s="3" t="s">
        <v>107</v>
      </c>
      <c r="C80" s="4" t="s">
        <v>88</v>
      </c>
      <c r="D80" s="4">
        <v>33</v>
      </c>
      <c r="E80" s="4">
        <v>700</v>
      </c>
      <c r="F80" s="4">
        <v>33</v>
      </c>
      <c r="G80" s="4">
        <v>700</v>
      </c>
      <c r="H80" s="4">
        <v>19</v>
      </c>
      <c r="I80" s="4">
        <v>0.61599999999999999</v>
      </c>
      <c r="J80" s="4">
        <v>0.57599999999999996</v>
      </c>
      <c r="K80" s="4">
        <v>8.9999999999999993E-3</v>
      </c>
      <c r="L80" s="4">
        <v>0.56699999999999995</v>
      </c>
      <c r="M80" s="4">
        <v>8.6</v>
      </c>
      <c r="N80" s="4">
        <v>16.8</v>
      </c>
      <c r="O80" s="4">
        <v>14.2</v>
      </c>
      <c r="P80" s="4">
        <v>1.8</v>
      </c>
      <c r="Q80" s="4">
        <v>3.5</v>
      </c>
      <c r="R80" s="4">
        <v>16.399999999999999</v>
      </c>
      <c r="S80" s="4">
        <v>20.3</v>
      </c>
      <c r="T80" s="4">
        <v>112</v>
      </c>
      <c r="U80" s="4">
        <v>108</v>
      </c>
      <c r="V80" s="4"/>
      <c r="W80" s="4">
        <v>1.2</v>
      </c>
      <c r="X80" s="4">
        <v>1</v>
      </c>
      <c r="Y80" s="4">
        <v>2.2000000000000002</v>
      </c>
      <c r="Z80" s="4">
        <v>0.125</v>
      </c>
      <c r="AA80" s="13">
        <f>(I80/TOTAL_BASIC!$D$301)*100</f>
        <v>109.9409047940548</v>
      </c>
      <c r="AB80" s="5">
        <f t="shared" si="21"/>
        <v>1.1200000000000001</v>
      </c>
      <c r="AC80" s="3">
        <f t="shared" si="1"/>
        <v>4</v>
      </c>
      <c r="AD80" s="9">
        <f t="shared" si="22"/>
        <v>1.232</v>
      </c>
      <c r="AE80" s="16">
        <f t="shared" si="23"/>
        <v>0.6995073891625615</v>
      </c>
      <c r="AF80" s="16">
        <f t="shared" si="24"/>
        <v>0.86585365853658536</v>
      </c>
      <c r="AG80" s="9"/>
      <c r="AH80" s="9"/>
      <c r="AI80" s="12">
        <f t="shared" si="25"/>
        <v>39.700000000000003</v>
      </c>
      <c r="AJ80" s="12">
        <f t="shared" si="26"/>
        <v>57.4</v>
      </c>
      <c r="AK80" s="12">
        <f t="shared" si="26"/>
        <v>79.5</v>
      </c>
      <c r="AL80" s="12">
        <f t="shared" si="26"/>
        <v>87.2</v>
      </c>
      <c r="AM80" s="12">
        <f t="shared" si="26"/>
        <v>86.1</v>
      </c>
      <c r="AN80" s="12">
        <f t="shared" si="18"/>
        <v>3.3000000000000003</v>
      </c>
      <c r="AO80" s="12">
        <f t="shared" si="14"/>
        <v>95</v>
      </c>
      <c r="AP80" s="12">
        <f t="shared" si="14"/>
        <v>83.399999999999991</v>
      </c>
      <c r="AQ80" s="12">
        <f t="shared" si="14"/>
        <v>91.100000000000009</v>
      </c>
      <c r="AR80" s="12">
        <f t="shared" si="14"/>
        <v>51.9</v>
      </c>
      <c r="AS80" s="12">
        <f t="shared" si="15"/>
        <v>51.300000000000004</v>
      </c>
      <c r="AT80" s="12">
        <f t="shared" si="15"/>
        <v>84.5</v>
      </c>
      <c r="AU80" s="12">
        <f t="shared" si="27"/>
        <v>38.700000000000003</v>
      </c>
      <c r="AV80" s="12">
        <f t="shared" si="15"/>
        <v>62.4</v>
      </c>
      <c r="AW80" s="12">
        <f t="shared" si="16"/>
        <v>67.400000000000006</v>
      </c>
      <c r="AX80" s="12">
        <f t="shared" si="28"/>
        <v>71.3</v>
      </c>
      <c r="AY80" s="9"/>
      <c r="AZ80" s="12">
        <f t="shared" si="17"/>
        <v>71.8</v>
      </c>
      <c r="BA80" s="12">
        <f t="shared" si="17"/>
        <v>68.5</v>
      </c>
      <c r="BB80" s="12">
        <f t="shared" si="17"/>
        <v>71.2</v>
      </c>
      <c r="BC80" s="12">
        <f t="shared" si="17"/>
        <v>72.899999999999991</v>
      </c>
      <c r="BD80" s="12">
        <f t="shared" si="17"/>
        <v>87.2</v>
      </c>
      <c r="BE80" s="12">
        <f t="shared" si="19"/>
        <v>67.400000000000006</v>
      </c>
      <c r="BF80" s="12">
        <f t="shared" si="19"/>
        <v>69.599999999999994</v>
      </c>
      <c r="BG80" s="12">
        <f t="shared" si="19"/>
        <v>87.2</v>
      </c>
      <c r="BH80" s="12">
        <f t="shared" si="19"/>
        <v>48.6</v>
      </c>
      <c r="BI80" s="12">
        <f t="shared" si="20"/>
        <v>37</v>
      </c>
    </row>
    <row r="81" spans="1:61" ht="15.75" customHeight="1">
      <c r="A81" s="1" t="s">
        <v>181</v>
      </c>
      <c r="B81" s="3" t="s">
        <v>117</v>
      </c>
      <c r="C81" s="4" t="s">
        <v>85</v>
      </c>
      <c r="D81" s="4">
        <v>41</v>
      </c>
      <c r="E81" s="4">
        <v>691</v>
      </c>
      <c r="F81" s="4">
        <v>41</v>
      </c>
      <c r="G81" s="4">
        <v>691</v>
      </c>
      <c r="H81" s="4">
        <v>9.1</v>
      </c>
      <c r="I81" s="4">
        <v>0.53300000000000003</v>
      </c>
      <c r="J81" s="4">
        <v>0.51900000000000002</v>
      </c>
      <c r="K81" s="4">
        <v>0.55800000000000005</v>
      </c>
      <c r="L81" s="4">
        <v>0.14000000000000001</v>
      </c>
      <c r="M81" s="4">
        <v>5.7</v>
      </c>
      <c r="N81" s="4">
        <v>9.1</v>
      </c>
      <c r="O81" s="4">
        <v>8.8000000000000007</v>
      </c>
      <c r="P81" s="4">
        <v>1.9</v>
      </c>
      <c r="Q81" s="4">
        <v>1.6</v>
      </c>
      <c r="R81" s="4">
        <v>17</v>
      </c>
      <c r="S81" s="4">
        <v>10.8</v>
      </c>
      <c r="T81" s="4">
        <v>106</v>
      </c>
      <c r="U81" s="4">
        <v>109</v>
      </c>
      <c r="V81" s="4"/>
      <c r="W81" s="4">
        <v>0.3</v>
      </c>
      <c r="X81" s="4">
        <v>0.9</v>
      </c>
      <c r="Y81" s="4">
        <v>1.2</v>
      </c>
      <c r="Z81" s="4">
        <v>7.0000000000000007E-2</v>
      </c>
      <c r="AA81" s="13">
        <f>(I81/TOTAL_BASIC!$D$301)*100</f>
        <v>95.127438726024693</v>
      </c>
      <c r="AB81" s="5">
        <f t="shared" si="21"/>
        <v>1.06</v>
      </c>
      <c r="AC81" s="3">
        <f t="shared" si="1"/>
        <v>-3</v>
      </c>
      <c r="AD81" s="9">
        <f t="shared" si="22"/>
        <v>1.0660000000000001</v>
      </c>
      <c r="AE81" s="16">
        <f t="shared" si="23"/>
        <v>0.81481481481481488</v>
      </c>
      <c r="AF81" s="16">
        <f t="shared" si="24"/>
        <v>0.51764705882352946</v>
      </c>
      <c r="AG81" s="9"/>
      <c r="AH81" s="9"/>
      <c r="AI81" s="12">
        <f t="shared" si="25"/>
        <v>85.6</v>
      </c>
      <c r="AJ81" s="12">
        <f t="shared" si="26"/>
        <v>56.899999999999991</v>
      </c>
      <c r="AK81" s="12">
        <f t="shared" si="26"/>
        <v>20.399999999999999</v>
      </c>
      <c r="AL81" s="12">
        <f t="shared" si="26"/>
        <v>37.5</v>
      </c>
      <c r="AM81" s="12">
        <f t="shared" si="26"/>
        <v>54.6</v>
      </c>
      <c r="AN81" s="12">
        <f t="shared" si="18"/>
        <v>82.3</v>
      </c>
      <c r="AO81" s="12">
        <f t="shared" si="14"/>
        <v>12.7</v>
      </c>
      <c r="AP81" s="12">
        <f t="shared" si="14"/>
        <v>61.3</v>
      </c>
      <c r="AQ81" s="12">
        <f t="shared" si="14"/>
        <v>51.300000000000004</v>
      </c>
      <c r="AR81" s="12">
        <f t="shared" si="14"/>
        <v>22.6</v>
      </c>
      <c r="AS81" s="12">
        <f t="shared" si="15"/>
        <v>57.999999999999993</v>
      </c>
      <c r="AT81" s="12">
        <f t="shared" si="15"/>
        <v>60.199999999999996</v>
      </c>
      <c r="AU81" s="12">
        <f t="shared" si="27"/>
        <v>32.599999999999994</v>
      </c>
      <c r="AV81" s="12">
        <f t="shared" si="15"/>
        <v>3.8</v>
      </c>
      <c r="AW81" s="12">
        <f t="shared" si="16"/>
        <v>44.7</v>
      </c>
      <c r="AX81" s="12">
        <f t="shared" si="28"/>
        <v>64.7</v>
      </c>
      <c r="AY81" s="9"/>
      <c r="AZ81" s="12">
        <f t="shared" si="17"/>
        <v>43</v>
      </c>
      <c r="BA81" s="12">
        <f t="shared" si="17"/>
        <v>62.9</v>
      </c>
      <c r="BB81" s="12">
        <f t="shared" si="17"/>
        <v>56.3</v>
      </c>
      <c r="BC81" s="12">
        <f t="shared" si="17"/>
        <v>48.6</v>
      </c>
      <c r="BD81" s="12">
        <f t="shared" si="17"/>
        <v>37.5</v>
      </c>
      <c r="BE81" s="12">
        <f t="shared" si="19"/>
        <v>44.7</v>
      </c>
      <c r="BF81" s="12">
        <f t="shared" si="19"/>
        <v>50.8</v>
      </c>
      <c r="BG81" s="12">
        <f t="shared" si="19"/>
        <v>37.5</v>
      </c>
      <c r="BH81" s="12">
        <f t="shared" si="19"/>
        <v>59.099999999999994</v>
      </c>
      <c r="BI81" s="12">
        <f t="shared" si="20"/>
        <v>13.200000000000001</v>
      </c>
    </row>
    <row r="82" spans="1:61" ht="15.75" customHeight="1">
      <c r="A82" s="1" t="s">
        <v>236</v>
      </c>
      <c r="B82" s="3" t="s">
        <v>131</v>
      </c>
      <c r="C82" s="4" t="s">
        <v>8</v>
      </c>
      <c r="D82" s="4">
        <v>34</v>
      </c>
      <c r="E82" s="4">
        <v>690</v>
      </c>
      <c r="F82" s="4">
        <v>34</v>
      </c>
      <c r="G82" s="4">
        <v>690</v>
      </c>
      <c r="H82" s="4">
        <v>16</v>
      </c>
      <c r="I82" s="4">
        <v>0.55600000000000005</v>
      </c>
      <c r="J82" s="4">
        <v>0.52100000000000002</v>
      </c>
      <c r="K82" s="4">
        <v>0.53100000000000003</v>
      </c>
      <c r="L82" s="4">
        <v>0.23</v>
      </c>
      <c r="M82" s="4">
        <v>2</v>
      </c>
      <c r="N82" s="4">
        <v>4.2</v>
      </c>
      <c r="O82" s="4">
        <v>17.100000000000001</v>
      </c>
      <c r="P82" s="4">
        <v>1.7</v>
      </c>
      <c r="Q82" s="4">
        <v>0.9</v>
      </c>
      <c r="R82" s="4">
        <v>10.8</v>
      </c>
      <c r="S82" s="4">
        <v>29.7</v>
      </c>
      <c r="T82" s="4">
        <v>103</v>
      </c>
      <c r="U82" s="4">
        <v>113</v>
      </c>
      <c r="V82" s="4"/>
      <c r="W82" s="4">
        <v>0.3</v>
      </c>
      <c r="X82" s="4">
        <v>0.5</v>
      </c>
      <c r="Y82" s="4">
        <v>0.8</v>
      </c>
      <c r="Z82" s="4">
        <v>4.4999999999999998E-2</v>
      </c>
      <c r="AA82" s="13">
        <f>(I82/TOTAL_BASIC!$D$301)*100</f>
        <v>99.232375106322195</v>
      </c>
      <c r="AB82" s="5">
        <f t="shared" si="21"/>
        <v>1.03</v>
      </c>
      <c r="AC82" s="3">
        <f t="shared" si="1"/>
        <v>-10</v>
      </c>
      <c r="AD82" s="9">
        <f t="shared" si="22"/>
        <v>1.1120000000000001</v>
      </c>
      <c r="AE82" s="16">
        <f t="shared" si="23"/>
        <v>0.5757575757575758</v>
      </c>
      <c r="AF82" s="16">
        <f t="shared" si="24"/>
        <v>1.5833333333333333</v>
      </c>
      <c r="AG82" s="9"/>
      <c r="AH82" s="9"/>
      <c r="AI82" s="12">
        <f t="shared" si="25"/>
        <v>43.6</v>
      </c>
      <c r="AJ82" s="12">
        <f t="shared" si="26"/>
        <v>56.3</v>
      </c>
      <c r="AK82" s="12">
        <f t="shared" si="26"/>
        <v>67.900000000000006</v>
      </c>
      <c r="AL82" s="12">
        <f t="shared" si="26"/>
        <v>48</v>
      </c>
      <c r="AM82" s="12">
        <f t="shared" si="26"/>
        <v>56.3</v>
      </c>
      <c r="AN82" s="12">
        <f t="shared" si="18"/>
        <v>77.3</v>
      </c>
      <c r="AO82" s="12">
        <f t="shared" si="14"/>
        <v>35.299999999999997</v>
      </c>
      <c r="AP82" s="12">
        <f t="shared" si="14"/>
        <v>14.899999999999999</v>
      </c>
      <c r="AQ82" s="12">
        <f t="shared" si="14"/>
        <v>6</v>
      </c>
      <c r="AR82" s="12">
        <f t="shared" ref="AR82:AT141" si="29">(PERCENTRANK(O$3:O$298,O82))*100</f>
        <v>66.2</v>
      </c>
      <c r="AS82" s="12">
        <f t="shared" si="15"/>
        <v>44.1</v>
      </c>
      <c r="AT82" s="12">
        <f t="shared" si="15"/>
        <v>35.9</v>
      </c>
      <c r="AU82" s="12">
        <f t="shared" si="27"/>
        <v>82.9</v>
      </c>
      <c r="AV82" s="12">
        <f t="shared" ref="AV82:AW141" si="30">(PERCENTRANK(S$3:S$298,S82))*100</f>
        <v>97.7</v>
      </c>
      <c r="AW82" s="12">
        <f t="shared" si="16"/>
        <v>33.700000000000003</v>
      </c>
      <c r="AX82" s="12">
        <f t="shared" si="28"/>
        <v>30.400000000000006</v>
      </c>
      <c r="AY82" s="9"/>
      <c r="AZ82" s="12">
        <f t="shared" si="17"/>
        <v>43</v>
      </c>
      <c r="BA82" s="12">
        <f t="shared" si="17"/>
        <v>39.700000000000003</v>
      </c>
      <c r="BB82" s="12">
        <f t="shared" si="17"/>
        <v>41.9</v>
      </c>
      <c r="BC82" s="12">
        <f t="shared" si="17"/>
        <v>33.700000000000003</v>
      </c>
      <c r="BD82" s="12">
        <f t="shared" si="17"/>
        <v>48</v>
      </c>
      <c r="BE82" s="12">
        <f t="shared" si="19"/>
        <v>33.700000000000003</v>
      </c>
      <c r="BF82" s="12">
        <f t="shared" si="19"/>
        <v>30.3</v>
      </c>
      <c r="BG82" s="12">
        <f t="shared" si="19"/>
        <v>48</v>
      </c>
      <c r="BH82" s="12">
        <f t="shared" si="19"/>
        <v>29.799999999999997</v>
      </c>
      <c r="BI82" s="12">
        <f t="shared" si="20"/>
        <v>82.8</v>
      </c>
    </row>
    <row r="83" spans="1:61" ht="15.75" customHeight="1">
      <c r="A83" s="1" t="s">
        <v>257</v>
      </c>
      <c r="B83" s="3" t="s">
        <v>161</v>
      </c>
      <c r="C83" s="4" t="s">
        <v>85</v>
      </c>
      <c r="D83" s="4">
        <v>29</v>
      </c>
      <c r="E83" s="4">
        <v>688</v>
      </c>
      <c r="F83" s="4">
        <v>29</v>
      </c>
      <c r="G83" s="4">
        <v>688</v>
      </c>
      <c r="H83" s="4">
        <v>17</v>
      </c>
      <c r="I83" s="4">
        <v>0.51700000000000002</v>
      </c>
      <c r="J83" s="4">
        <v>0.47</v>
      </c>
      <c r="K83" s="4">
        <v>0.22500000000000001</v>
      </c>
      <c r="L83" s="4">
        <v>0.36799999999999999</v>
      </c>
      <c r="M83" s="4">
        <v>9.1</v>
      </c>
      <c r="N83" s="4">
        <v>16.8</v>
      </c>
      <c r="O83" s="4">
        <v>12.4</v>
      </c>
      <c r="P83" s="4">
        <v>1.7</v>
      </c>
      <c r="Q83" s="4">
        <v>2.8</v>
      </c>
      <c r="R83" s="4">
        <v>12.3</v>
      </c>
      <c r="S83" s="4">
        <v>25.6</v>
      </c>
      <c r="T83" s="4">
        <v>103</v>
      </c>
      <c r="U83" s="4">
        <v>115</v>
      </c>
      <c r="V83" s="4"/>
      <c r="W83" s="4">
        <v>0.3</v>
      </c>
      <c r="X83" s="4">
        <v>0.3</v>
      </c>
      <c r="Y83" s="4">
        <v>0.7</v>
      </c>
      <c r="Z83" s="4">
        <v>3.9E-2</v>
      </c>
      <c r="AA83" s="13">
        <f>(I83/TOTAL_BASIC!$D$301)*100</f>
        <v>92.271830809295992</v>
      </c>
      <c r="AB83" s="5">
        <f t="shared" si="21"/>
        <v>1.03</v>
      </c>
      <c r="AC83" s="3">
        <f t="shared" si="1"/>
        <v>-12</v>
      </c>
      <c r="AD83" s="9">
        <f t="shared" si="22"/>
        <v>1.034</v>
      </c>
      <c r="AE83" s="16">
        <f t="shared" si="23"/>
        <v>0.484375</v>
      </c>
      <c r="AF83" s="16">
        <f t="shared" si="24"/>
        <v>1.0081300813008129</v>
      </c>
      <c r="AG83" s="9"/>
      <c r="AH83" s="9"/>
      <c r="AI83" s="12">
        <f t="shared" si="25"/>
        <v>29.799999999999997</v>
      </c>
      <c r="AJ83" s="12">
        <f t="shared" si="26"/>
        <v>55.800000000000004</v>
      </c>
      <c r="AK83" s="12">
        <f t="shared" si="26"/>
        <v>74</v>
      </c>
      <c r="AL83" s="12">
        <f t="shared" si="26"/>
        <v>32</v>
      </c>
      <c r="AM83" s="12">
        <f t="shared" si="26"/>
        <v>29.2</v>
      </c>
      <c r="AN83" s="12">
        <f t="shared" si="18"/>
        <v>18.7</v>
      </c>
      <c r="AO83" s="12">
        <f t="shared" si="18"/>
        <v>70.7</v>
      </c>
      <c r="AP83" s="12">
        <f t="shared" si="18"/>
        <v>86.1</v>
      </c>
      <c r="AQ83" s="12">
        <f t="shared" si="18"/>
        <v>91.100000000000009</v>
      </c>
      <c r="AR83" s="12">
        <f t="shared" si="29"/>
        <v>44.1</v>
      </c>
      <c r="AS83" s="12">
        <f t="shared" si="29"/>
        <v>44.1</v>
      </c>
      <c r="AT83" s="12">
        <f t="shared" si="29"/>
        <v>79</v>
      </c>
      <c r="AU83" s="12">
        <f t="shared" si="27"/>
        <v>71.900000000000006</v>
      </c>
      <c r="AV83" s="12">
        <f t="shared" si="30"/>
        <v>87.2</v>
      </c>
      <c r="AW83" s="12">
        <f t="shared" si="30"/>
        <v>33.700000000000003</v>
      </c>
      <c r="AX83" s="12">
        <f t="shared" si="28"/>
        <v>19.399999999999991</v>
      </c>
      <c r="AY83" s="9"/>
      <c r="AZ83" s="12">
        <f t="shared" ref="AZ83:BC141" si="31">(PERCENTRANK(W$3:W$298,W83))*100</f>
        <v>43</v>
      </c>
      <c r="BA83" s="12">
        <f t="shared" si="31"/>
        <v>28.1</v>
      </c>
      <c r="BB83" s="12">
        <f t="shared" si="31"/>
        <v>38.1</v>
      </c>
      <c r="BC83" s="12">
        <f t="shared" si="31"/>
        <v>29.2</v>
      </c>
      <c r="BD83" s="12">
        <f t="shared" ref="BD83:BI141" si="32">(PERCENTRANK(AA$3:AA$298,AA83))*100</f>
        <v>32</v>
      </c>
      <c r="BE83" s="12">
        <f t="shared" si="19"/>
        <v>33.700000000000003</v>
      </c>
      <c r="BF83" s="12">
        <f t="shared" si="19"/>
        <v>25.4</v>
      </c>
      <c r="BG83" s="12">
        <f t="shared" si="19"/>
        <v>32</v>
      </c>
      <c r="BH83" s="12">
        <f t="shared" si="19"/>
        <v>17.599999999999998</v>
      </c>
      <c r="BI83" s="12">
        <f t="shared" si="20"/>
        <v>50.2</v>
      </c>
    </row>
    <row r="84" spans="1:61" ht="15.75" customHeight="1">
      <c r="A84" s="1" t="s">
        <v>167</v>
      </c>
      <c r="B84" s="3" t="s">
        <v>131</v>
      </c>
      <c r="C84" s="4" t="s">
        <v>8</v>
      </c>
      <c r="D84" s="4">
        <v>36</v>
      </c>
      <c r="E84" s="4">
        <v>687</v>
      </c>
      <c r="F84" s="4">
        <v>36</v>
      </c>
      <c r="G84" s="4">
        <v>687</v>
      </c>
      <c r="H84" s="4">
        <v>9.1999999999999993</v>
      </c>
      <c r="I84" s="4">
        <v>0.51100000000000001</v>
      </c>
      <c r="J84" s="4">
        <v>0.45600000000000002</v>
      </c>
      <c r="K84" s="4">
        <v>0.311</v>
      </c>
      <c r="L84" s="4">
        <v>0.29599999999999999</v>
      </c>
      <c r="M84" s="4">
        <v>4.0999999999999996</v>
      </c>
      <c r="N84" s="4">
        <v>8.9</v>
      </c>
      <c r="O84" s="4">
        <v>6.8</v>
      </c>
      <c r="P84" s="4">
        <v>1.7</v>
      </c>
      <c r="Q84" s="4">
        <v>0.3</v>
      </c>
      <c r="R84" s="4">
        <v>14.3</v>
      </c>
      <c r="S84" s="4">
        <v>17.2</v>
      </c>
      <c r="T84" s="4">
        <v>96</v>
      </c>
      <c r="U84" s="4">
        <v>112</v>
      </c>
      <c r="V84" s="4"/>
      <c r="W84" s="4">
        <v>-0.4</v>
      </c>
      <c r="X84" s="4">
        <v>0.6</v>
      </c>
      <c r="Y84" s="4">
        <v>0.2</v>
      </c>
      <c r="Z84" s="4">
        <v>1.4E-2</v>
      </c>
      <c r="AA84" s="13">
        <f>(I84/TOTAL_BASIC!$D$301)*100</f>
        <v>91.200977840522739</v>
      </c>
      <c r="AB84" s="5">
        <f t="shared" si="21"/>
        <v>0.96</v>
      </c>
      <c r="AC84" s="3">
        <f t="shared" si="1"/>
        <v>-16</v>
      </c>
      <c r="AD84" s="9">
        <f t="shared" si="22"/>
        <v>1.022</v>
      </c>
      <c r="AE84" s="16">
        <f t="shared" si="23"/>
        <v>0.39534883720930231</v>
      </c>
      <c r="AF84" s="16">
        <f t="shared" si="24"/>
        <v>0.47552447552447547</v>
      </c>
      <c r="AG84" s="9"/>
      <c r="AH84" s="9"/>
      <c r="AI84" s="12">
        <f t="shared" si="25"/>
        <v>47.5</v>
      </c>
      <c r="AJ84" s="12">
        <f t="shared" si="26"/>
        <v>55.2</v>
      </c>
      <c r="AK84" s="12">
        <f t="shared" si="26"/>
        <v>21.5</v>
      </c>
      <c r="AL84" s="12">
        <f t="shared" si="26"/>
        <v>28.1</v>
      </c>
      <c r="AM84" s="12">
        <f t="shared" si="26"/>
        <v>22</v>
      </c>
      <c r="AN84" s="12">
        <f t="shared" si="18"/>
        <v>31.4</v>
      </c>
      <c r="AO84" s="12">
        <f t="shared" si="18"/>
        <v>54.6</v>
      </c>
      <c r="AP84" s="12">
        <f t="shared" si="18"/>
        <v>48</v>
      </c>
      <c r="AQ84" s="12">
        <f t="shared" si="18"/>
        <v>48.6</v>
      </c>
      <c r="AR84" s="12">
        <f t="shared" si="29"/>
        <v>7.7</v>
      </c>
      <c r="AS84" s="12">
        <f t="shared" si="29"/>
        <v>44.1</v>
      </c>
      <c r="AT84" s="12">
        <f t="shared" si="29"/>
        <v>10.4</v>
      </c>
      <c r="AU84" s="12">
        <f t="shared" si="27"/>
        <v>55.3</v>
      </c>
      <c r="AV84" s="12">
        <f t="shared" si="30"/>
        <v>38.6</v>
      </c>
      <c r="AW84" s="12">
        <f t="shared" si="30"/>
        <v>13.200000000000001</v>
      </c>
      <c r="AX84" s="12">
        <f t="shared" si="28"/>
        <v>38.700000000000003</v>
      </c>
      <c r="AY84" s="9"/>
      <c r="AZ84" s="12">
        <f t="shared" si="31"/>
        <v>6.6000000000000005</v>
      </c>
      <c r="BA84" s="12">
        <f t="shared" si="31"/>
        <v>47.5</v>
      </c>
      <c r="BB84" s="12">
        <f t="shared" si="31"/>
        <v>20.9</v>
      </c>
      <c r="BC84" s="12">
        <f t="shared" si="31"/>
        <v>16.5</v>
      </c>
      <c r="BD84" s="12">
        <f t="shared" si="32"/>
        <v>28.1</v>
      </c>
      <c r="BE84" s="12">
        <f t="shared" si="19"/>
        <v>13.200000000000001</v>
      </c>
      <c r="BF84" s="12">
        <f t="shared" si="19"/>
        <v>13.8</v>
      </c>
      <c r="BG84" s="12">
        <f t="shared" si="19"/>
        <v>28.1</v>
      </c>
      <c r="BH84" s="12">
        <f t="shared" si="19"/>
        <v>7.7</v>
      </c>
      <c r="BI84" s="12">
        <f t="shared" si="20"/>
        <v>8.2000000000000011</v>
      </c>
    </row>
    <row r="85" spans="1:61" ht="15.75" customHeight="1">
      <c r="A85" s="1" t="s">
        <v>220</v>
      </c>
      <c r="B85" s="3" t="s">
        <v>99</v>
      </c>
      <c r="C85" s="4" t="s">
        <v>85</v>
      </c>
      <c r="D85" s="4">
        <v>38</v>
      </c>
      <c r="E85" s="4">
        <v>678</v>
      </c>
      <c r="F85" s="4">
        <v>38</v>
      </c>
      <c r="G85" s="4">
        <v>678</v>
      </c>
      <c r="H85" s="4">
        <v>15.3</v>
      </c>
      <c r="I85" s="4">
        <v>0.58499999999999996</v>
      </c>
      <c r="J85" s="4">
        <v>0.55800000000000005</v>
      </c>
      <c r="K85" s="4">
        <v>0.42199999999999999</v>
      </c>
      <c r="L85" s="4">
        <v>0.26600000000000001</v>
      </c>
      <c r="M85" s="4">
        <v>5.0999999999999996</v>
      </c>
      <c r="N85" s="4">
        <v>12.8</v>
      </c>
      <c r="O85" s="4">
        <v>8</v>
      </c>
      <c r="P85" s="4">
        <v>1.5</v>
      </c>
      <c r="Q85" s="4">
        <v>8.3000000000000007</v>
      </c>
      <c r="R85" s="4">
        <v>16.399999999999999</v>
      </c>
      <c r="S85" s="4">
        <v>15.2</v>
      </c>
      <c r="T85" s="4">
        <v>107</v>
      </c>
      <c r="U85" s="4">
        <v>103</v>
      </c>
      <c r="V85" s="4"/>
      <c r="W85" s="4">
        <v>0.5</v>
      </c>
      <c r="X85" s="4">
        <v>1.5</v>
      </c>
      <c r="Y85" s="4">
        <v>2</v>
      </c>
      <c r="Z85" s="4">
        <v>0.11600000000000001</v>
      </c>
      <c r="AA85" s="13">
        <f>(I85/TOTAL_BASIC!$D$301)*100</f>
        <v>104.40816445539294</v>
      </c>
      <c r="AB85" s="5">
        <f t="shared" si="21"/>
        <v>1.07</v>
      </c>
      <c r="AC85" s="3">
        <f t="shared" si="1"/>
        <v>4</v>
      </c>
      <c r="AD85" s="9">
        <f t="shared" si="22"/>
        <v>1.17</v>
      </c>
      <c r="AE85" s="16">
        <f t="shared" si="23"/>
        <v>0.52631578947368418</v>
      </c>
      <c r="AF85" s="16">
        <f t="shared" si="24"/>
        <v>0.48780487804878053</v>
      </c>
      <c r="AG85" s="9"/>
      <c r="AH85" s="9"/>
      <c r="AI85" s="12">
        <f t="shared" si="25"/>
        <v>59.599999999999994</v>
      </c>
      <c r="AJ85" s="12">
        <f t="shared" si="26"/>
        <v>54.6</v>
      </c>
      <c r="AK85" s="12">
        <f t="shared" si="26"/>
        <v>63.5</v>
      </c>
      <c r="AL85" s="12">
        <f t="shared" si="26"/>
        <v>68.5</v>
      </c>
      <c r="AM85" s="12">
        <f t="shared" si="26"/>
        <v>76.2</v>
      </c>
      <c r="AN85" s="12">
        <f t="shared" si="18"/>
        <v>54.6</v>
      </c>
      <c r="AO85" s="12">
        <f t="shared" si="18"/>
        <v>45.300000000000004</v>
      </c>
      <c r="AP85" s="12">
        <f t="shared" si="18"/>
        <v>57.4</v>
      </c>
      <c r="AQ85" s="12">
        <f t="shared" si="18"/>
        <v>75.599999999999994</v>
      </c>
      <c r="AR85" s="12">
        <f t="shared" si="29"/>
        <v>15.4</v>
      </c>
      <c r="AS85" s="12">
        <f t="shared" si="29"/>
        <v>34.200000000000003</v>
      </c>
      <c r="AT85" s="12">
        <f t="shared" si="29"/>
        <v>99.4</v>
      </c>
      <c r="AU85" s="12">
        <f t="shared" si="27"/>
        <v>38.700000000000003</v>
      </c>
      <c r="AV85" s="12">
        <f t="shared" si="30"/>
        <v>19.8</v>
      </c>
      <c r="AW85" s="12">
        <f t="shared" si="30"/>
        <v>50.2</v>
      </c>
      <c r="AX85" s="12">
        <f t="shared" si="28"/>
        <v>93.4</v>
      </c>
      <c r="AY85" s="9"/>
      <c r="AZ85" s="12">
        <f t="shared" si="31"/>
        <v>52.400000000000006</v>
      </c>
      <c r="BA85" s="12">
        <f t="shared" si="31"/>
        <v>81.2</v>
      </c>
      <c r="BB85" s="12">
        <f t="shared" si="31"/>
        <v>69</v>
      </c>
      <c r="BC85" s="12">
        <f t="shared" si="31"/>
        <v>70.099999999999994</v>
      </c>
      <c r="BD85" s="12">
        <f t="shared" si="32"/>
        <v>68.5</v>
      </c>
      <c r="BE85" s="12">
        <f t="shared" si="19"/>
        <v>50.2</v>
      </c>
      <c r="BF85" s="12">
        <f t="shared" si="19"/>
        <v>69.599999999999994</v>
      </c>
      <c r="BG85" s="12">
        <f t="shared" si="19"/>
        <v>68.5</v>
      </c>
      <c r="BH85" s="12">
        <f t="shared" si="19"/>
        <v>22.6</v>
      </c>
      <c r="BI85" s="12">
        <f t="shared" si="20"/>
        <v>10.4</v>
      </c>
    </row>
    <row r="86" spans="1:61" ht="15.75" customHeight="1">
      <c r="A86" s="1" t="s">
        <v>209</v>
      </c>
      <c r="B86" s="3" t="s">
        <v>131</v>
      </c>
      <c r="C86" s="4" t="s">
        <v>183</v>
      </c>
      <c r="D86" s="4">
        <v>41</v>
      </c>
      <c r="E86" s="4">
        <v>676</v>
      </c>
      <c r="F86" s="4">
        <v>41</v>
      </c>
      <c r="G86" s="4">
        <v>676</v>
      </c>
      <c r="H86" s="4">
        <v>12.3</v>
      </c>
      <c r="I86" s="4">
        <v>0.47</v>
      </c>
      <c r="J86" s="4">
        <v>0.46100000000000002</v>
      </c>
      <c r="K86" s="4">
        <v>0</v>
      </c>
      <c r="L86" s="4">
        <v>0.49399999999999999</v>
      </c>
      <c r="M86" s="4">
        <v>8.5</v>
      </c>
      <c r="N86" s="4">
        <v>12</v>
      </c>
      <c r="O86" s="4">
        <v>12.5</v>
      </c>
      <c r="P86" s="4">
        <v>1.7</v>
      </c>
      <c r="Q86" s="4">
        <v>4.2</v>
      </c>
      <c r="R86" s="4">
        <v>13.1</v>
      </c>
      <c r="S86" s="4">
        <v>16.2</v>
      </c>
      <c r="T86" s="4">
        <v>98</v>
      </c>
      <c r="U86" s="4">
        <v>109</v>
      </c>
      <c r="V86" s="4"/>
      <c r="W86" s="4">
        <v>-0.2</v>
      </c>
      <c r="X86" s="4">
        <v>0.9</v>
      </c>
      <c r="Y86" s="4">
        <v>0.7</v>
      </c>
      <c r="Z86" s="4">
        <v>4.2000000000000003E-2</v>
      </c>
      <c r="AA86" s="13">
        <f>(I86/TOTAL_BASIC!$D$301)*100</f>
        <v>83.883482553905438</v>
      </c>
      <c r="AB86" s="5">
        <f t="shared" si="21"/>
        <v>0.98</v>
      </c>
      <c r="AC86" s="3">
        <f t="shared" si="1"/>
        <v>-11</v>
      </c>
      <c r="AD86" s="9">
        <f t="shared" si="22"/>
        <v>0.94</v>
      </c>
      <c r="AE86" s="16">
        <f t="shared" si="23"/>
        <v>0.77160493827160492</v>
      </c>
      <c r="AF86" s="16">
        <f t="shared" si="24"/>
        <v>0.95419847328244278</v>
      </c>
      <c r="AG86" s="9"/>
      <c r="AH86" s="9"/>
      <c r="AI86" s="12">
        <f t="shared" si="25"/>
        <v>85.6</v>
      </c>
      <c r="AJ86" s="12">
        <f t="shared" si="26"/>
        <v>54.1</v>
      </c>
      <c r="AK86" s="12">
        <f t="shared" si="26"/>
        <v>46.400000000000006</v>
      </c>
      <c r="AL86" s="12">
        <f t="shared" si="26"/>
        <v>9.9</v>
      </c>
      <c r="AM86" s="12">
        <f t="shared" si="26"/>
        <v>23.200000000000003</v>
      </c>
      <c r="AN86" s="12">
        <f t="shared" si="18"/>
        <v>0</v>
      </c>
      <c r="AO86" s="12">
        <f t="shared" si="18"/>
        <v>93.300000000000011</v>
      </c>
      <c r="AP86" s="12">
        <f t="shared" si="18"/>
        <v>82.3</v>
      </c>
      <c r="AQ86" s="12">
        <f t="shared" si="18"/>
        <v>72.3</v>
      </c>
      <c r="AR86" s="12">
        <f t="shared" si="29"/>
        <v>45.300000000000004</v>
      </c>
      <c r="AS86" s="12">
        <f t="shared" si="29"/>
        <v>44.1</v>
      </c>
      <c r="AT86" s="12">
        <f t="shared" si="29"/>
        <v>90.600000000000009</v>
      </c>
      <c r="AU86" s="12">
        <f t="shared" si="27"/>
        <v>65.8</v>
      </c>
      <c r="AV86" s="12">
        <f t="shared" si="30"/>
        <v>25.4</v>
      </c>
      <c r="AW86" s="12">
        <f t="shared" si="30"/>
        <v>19.3</v>
      </c>
      <c r="AX86" s="12">
        <f t="shared" si="28"/>
        <v>64.7</v>
      </c>
      <c r="AY86" s="9"/>
      <c r="AZ86" s="12">
        <f t="shared" si="31"/>
        <v>13.8</v>
      </c>
      <c r="BA86" s="12">
        <f t="shared" si="31"/>
        <v>62.9</v>
      </c>
      <c r="BB86" s="12">
        <f t="shared" si="31"/>
        <v>38.1</v>
      </c>
      <c r="BC86" s="12">
        <f t="shared" si="31"/>
        <v>30.9</v>
      </c>
      <c r="BD86" s="12">
        <f t="shared" si="32"/>
        <v>9.9</v>
      </c>
      <c r="BE86" s="12">
        <f t="shared" si="19"/>
        <v>19.3</v>
      </c>
      <c r="BF86" s="12">
        <f t="shared" si="19"/>
        <v>28.1</v>
      </c>
      <c r="BG86" s="12">
        <f t="shared" si="19"/>
        <v>9.9</v>
      </c>
      <c r="BH86" s="12">
        <f t="shared" si="19"/>
        <v>56.899999999999991</v>
      </c>
      <c r="BI86" s="12">
        <f t="shared" si="20"/>
        <v>45.300000000000004</v>
      </c>
    </row>
    <row r="87" spans="1:61" ht="15.75" customHeight="1">
      <c r="A87" s="1" t="s">
        <v>247</v>
      </c>
      <c r="B87" s="3" t="s">
        <v>91</v>
      </c>
      <c r="C87" s="4" t="s">
        <v>85</v>
      </c>
      <c r="D87" s="4">
        <v>35</v>
      </c>
      <c r="E87" s="4">
        <v>670</v>
      </c>
      <c r="F87" s="4">
        <v>35</v>
      </c>
      <c r="G87" s="4">
        <v>670</v>
      </c>
      <c r="H87" s="4">
        <v>12.1</v>
      </c>
      <c r="I87" s="4">
        <v>0.50600000000000001</v>
      </c>
      <c r="J87" s="4">
        <v>0.47899999999999998</v>
      </c>
      <c r="K87" s="4">
        <v>0.502</v>
      </c>
      <c r="L87" s="4">
        <v>0.14299999999999999</v>
      </c>
      <c r="M87" s="4">
        <v>1.9</v>
      </c>
      <c r="N87" s="4">
        <v>6.9</v>
      </c>
      <c r="O87" s="4">
        <v>16.8</v>
      </c>
      <c r="P87" s="4">
        <v>2.4</v>
      </c>
      <c r="Q87" s="4">
        <v>0.9</v>
      </c>
      <c r="R87" s="4">
        <v>13.6</v>
      </c>
      <c r="S87" s="4">
        <v>24.4</v>
      </c>
      <c r="T87" s="4">
        <v>98</v>
      </c>
      <c r="U87" s="4">
        <v>102</v>
      </c>
      <c r="V87" s="4"/>
      <c r="W87" s="4">
        <v>-0.3</v>
      </c>
      <c r="X87" s="4">
        <v>1.5</v>
      </c>
      <c r="Y87" s="4">
        <v>1.2</v>
      </c>
      <c r="Z87" s="4">
        <v>7.0999999999999994E-2</v>
      </c>
      <c r="AA87" s="13">
        <f>(I87/TOTAL_BASIC!$D$301)*100</f>
        <v>90.308600366545008</v>
      </c>
      <c r="AB87" s="5">
        <f t="shared" si="21"/>
        <v>0.98</v>
      </c>
      <c r="AC87" s="3">
        <f t="shared" si="1"/>
        <v>-4</v>
      </c>
      <c r="AD87" s="9">
        <f t="shared" si="22"/>
        <v>1.012</v>
      </c>
      <c r="AE87" s="16">
        <f t="shared" si="23"/>
        <v>0.68852459016393452</v>
      </c>
      <c r="AF87" s="16">
        <f t="shared" si="24"/>
        <v>1.2352941176470589</v>
      </c>
      <c r="AG87" s="9"/>
      <c r="AH87" s="9"/>
      <c r="AI87" s="12">
        <f t="shared" si="25"/>
        <v>44.7</v>
      </c>
      <c r="AJ87" s="12">
        <f t="shared" si="26"/>
        <v>53.5</v>
      </c>
      <c r="AK87" s="12">
        <f t="shared" si="26"/>
        <v>44.7</v>
      </c>
      <c r="AL87" s="12">
        <f t="shared" si="26"/>
        <v>24.3</v>
      </c>
      <c r="AM87" s="12">
        <f t="shared" si="26"/>
        <v>34.799999999999997</v>
      </c>
      <c r="AN87" s="12">
        <f t="shared" si="18"/>
        <v>70.099999999999994</v>
      </c>
      <c r="AO87" s="12">
        <f t="shared" si="18"/>
        <v>13.200000000000001</v>
      </c>
      <c r="AP87" s="12">
        <f t="shared" si="18"/>
        <v>12.7</v>
      </c>
      <c r="AQ87" s="12">
        <f t="shared" si="18"/>
        <v>33.700000000000003</v>
      </c>
      <c r="AR87" s="12">
        <f t="shared" si="29"/>
        <v>65.100000000000009</v>
      </c>
      <c r="AS87" s="12">
        <f t="shared" si="29"/>
        <v>81.2</v>
      </c>
      <c r="AT87" s="12">
        <f t="shared" si="29"/>
        <v>35.9</v>
      </c>
      <c r="AU87" s="12">
        <f t="shared" si="27"/>
        <v>61.9</v>
      </c>
      <c r="AV87" s="12">
        <f t="shared" si="30"/>
        <v>81.2</v>
      </c>
      <c r="AW87" s="12">
        <f t="shared" si="30"/>
        <v>19.3</v>
      </c>
      <c r="AX87" s="12">
        <f t="shared" si="28"/>
        <v>95.6</v>
      </c>
      <c r="AY87" s="9"/>
      <c r="AZ87" s="12">
        <f t="shared" si="31"/>
        <v>11</v>
      </c>
      <c r="BA87" s="12">
        <f t="shared" si="31"/>
        <v>81.2</v>
      </c>
      <c r="BB87" s="12">
        <f t="shared" si="31"/>
        <v>56.3</v>
      </c>
      <c r="BC87" s="12">
        <f t="shared" si="31"/>
        <v>49.7</v>
      </c>
      <c r="BD87" s="12">
        <f t="shared" si="32"/>
        <v>24.3</v>
      </c>
      <c r="BE87" s="12">
        <f t="shared" si="19"/>
        <v>19.3</v>
      </c>
      <c r="BF87" s="12">
        <f t="shared" si="19"/>
        <v>48.6</v>
      </c>
      <c r="BG87" s="12">
        <f t="shared" si="19"/>
        <v>24.3</v>
      </c>
      <c r="BH87" s="12">
        <f t="shared" si="19"/>
        <v>45.300000000000004</v>
      </c>
      <c r="BI87" s="12">
        <f t="shared" si="20"/>
        <v>70.7</v>
      </c>
    </row>
    <row r="88" spans="1:61" ht="15.75" customHeight="1">
      <c r="A88" s="1" t="s">
        <v>199</v>
      </c>
      <c r="B88" s="3" t="s">
        <v>161</v>
      </c>
      <c r="C88" s="4" t="s">
        <v>8</v>
      </c>
      <c r="D88" s="4">
        <v>25</v>
      </c>
      <c r="E88" s="4">
        <v>668</v>
      </c>
      <c r="F88" s="4">
        <v>25</v>
      </c>
      <c r="G88" s="4">
        <v>668</v>
      </c>
      <c r="H88" s="4">
        <v>16.5</v>
      </c>
      <c r="I88" s="4">
        <v>0.59699999999999998</v>
      </c>
      <c r="J88" s="4">
        <v>0.52200000000000002</v>
      </c>
      <c r="K88" s="4">
        <v>0.28100000000000003</v>
      </c>
      <c r="L88" s="4">
        <v>0.438</v>
      </c>
      <c r="M88" s="4">
        <v>5.0999999999999996</v>
      </c>
      <c r="N88" s="4">
        <v>8.1999999999999993</v>
      </c>
      <c r="O88" s="4">
        <v>21.2</v>
      </c>
      <c r="P88" s="4">
        <v>1.4</v>
      </c>
      <c r="Q88" s="4">
        <v>0.7</v>
      </c>
      <c r="R88" s="4">
        <v>13.9</v>
      </c>
      <c r="S88" s="4">
        <v>20.5</v>
      </c>
      <c r="T88" s="4">
        <v>118</v>
      </c>
      <c r="U88" s="4">
        <v>120</v>
      </c>
      <c r="V88" s="4"/>
      <c r="W88" s="4">
        <v>1.8</v>
      </c>
      <c r="X88" s="4">
        <v>-0.2</v>
      </c>
      <c r="Y88" s="4">
        <v>1.5</v>
      </c>
      <c r="Z88" s="4">
        <v>9.1999999999999998E-2</v>
      </c>
      <c r="AA88" s="13">
        <f>(I88/TOTAL_BASIC!$D$301)*100</f>
        <v>106.54987039293945</v>
      </c>
      <c r="AB88" s="5">
        <f t="shared" si="21"/>
        <v>1.18</v>
      </c>
      <c r="AC88" s="3">
        <f t="shared" si="1"/>
        <v>-2</v>
      </c>
      <c r="AD88" s="9">
        <f t="shared" si="22"/>
        <v>1.194</v>
      </c>
      <c r="AE88" s="16">
        <f t="shared" si="23"/>
        <v>1.0341463414634147</v>
      </c>
      <c r="AF88" s="16">
        <f t="shared" si="24"/>
        <v>1.5251798561151078</v>
      </c>
      <c r="AG88" s="9"/>
      <c r="AH88" s="9"/>
      <c r="AI88" s="12">
        <f t="shared" si="25"/>
        <v>22</v>
      </c>
      <c r="AJ88" s="12">
        <f t="shared" si="26"/>
        <v>53</v>
      </c>
      <c r="AK88" s="12">
        <f t="shared" si="26"/>
        <v>71.2</v>
      </c>
      <c r="AL88" s="12">
        <f t="shared" si="26"/>
        <v>74.5</v>
      </c>
      <c r="AM88" s="12">
        <f t="shared" si="26"/>
        <v>56.899999999999991</v>
      </c>
      <c r="AN88" s="12">
        <f t="shared" si="18"/>
        <v>27</v>
      </c>
      <c r="AO88" s="12">
        <f t="shared" si="18"/>
        <v>81.699999999999989</v>
      </c>
      <c r="AP88" s="12">
        <f t="shared" si="18"/>
        <v>57.4</v>
      </c>
      <c r="AQ88" s="12">
        <f t="shared" si="18"/>
        <v>45.300000000000004</v>
      </c>
      <c r="AR88" s="12">
        <f t="shared" si="29"/>
        <v>79</v>
      </c>
      <c r="AS88" s="12">
        <f t="shared" si="29"/>
        <v>28.1</v>
      </c>
      <c r="AT88" s="12">
        <f t="shared" si="29"/>
        <v>24.3</v>
      </c>
      <c r="AU88" s="12">
        <f t="shared" si="27"/>
        <v>59.2</v>
      </c>
      <c r="AV88" s="12">
        <f t="shared" si="30"/>
        <v>64</v>
      </c>
      <c r="AW88" s="12">
        <f t="shared" si="30"/>
        <v>81.699999999999989</v>
      </c>
      <c r="AX88" s="12">
        <f t="shared" si="28"/>
        <v>2.7999999999999972</v>
      </c>
      <c r="AY88" s="9"/>
      <c r="AZ88" s="12">
        <f t="shared" si="31"/>
        <v>80.600000000000009</v>
      </c>
      <c r="BA88" s="12">
        <f t="shared" si="31"/>
        <v>1.0999999999999999</v>
      </c>
      <c r="BB88" s="12">
        <f t="shared" si="31"/>
        <v>61.8</v>
      </c>
      <c r="BC88" s="12">
        <f t="shared" si="31"/>
        <v>60.699999999999996</v>
      </c>
      <c r="BD88" s="12">
        <f t="shared" si="32"/>
        <v>74.5</v>
      </c>
      <c r="BE88" s="12">
        <f t="shared" si="19"/>
        <v>81.699999999999989</v>
      </c>
      <c r="BF88" s="12">
        <f t="shared" si="19"/>
        <v>53.5</v>
      </c>
      <c r="BG88" s="12">
        <f t="shared" si="19"/>
        <v>74.5</v>
      </c>
      <c r="BH88" s="12">
        <f t="shared" si="19"/>
        <v>75.099999999999994</v>
      </c>
      <c r="BI88" s="12">
        <f t="shared" si="20"/>
        <v>81.699999999999989</v>
      </c>
    </row>
    <row r="89" spans="1:61" ht="15.75" customHeight="1">
      <c r="A89" s="1" t="s">
        <v>235</v>
      </c>
      <c r="B89" s="4" t="s">
        <v>91</v>
      </c>
      <c r="C89" s="4" t="s">
        <v>8</v>
      </c>
      <c r="D89" s="4">
        <v>39</v>
      </c>
      <c r="E89" s="4">
        <v>655</v>
      </c>
      <c r="F89" s="4">
        <v>39</v>
      </c>
      <c r="G89" s="4">
        <v>655</v>
      </c>
      <c r="H89" s="4">
        <v>20.100000000000001</v>
      </c>
      <c r="I89" s="4">
        <v>0.57799999999999996</v>
      </c>
      <c r="J89" s="4">
        <v>0.51</v>
      </c>
      <c r="K89" s="4">
        <v>0.33200000000000002</v>
      </c>
      <c r="L89" s="4">
        <v>0.47</v>
      </c>
      <c r="M89" s="4">
        <v>4</v>
      </c>
      <c r="N89" s="4">
        <v>7.7</v>
      </c>
      <c r="O89" s="4">
        <v>27.5</v>
      </c>
      <c r="P89" s="4">
        <v>2.6</v>
      </c>
      <c r="Q89" s="4">
        <v>1.3</v>
      </c>
      <c r="R89" s="4">
        <v>12.6</v>
      </c>
      <c r="S89" s="4">
        <v>24.7</v>
      </c>
      <c r="T89" s="4">
        <v>117</v>
      </c>
      <c r="U89" s="4">
        <v>102</v>
      </c>
      <c r="V89" s="4"/>
      <c r="W89" s="4">
        <v>1.9</v>
      </c>
      <c r="X89" s="4">
        <v>1.5</v>
      </c>
      <c r="Y89" s="4">
        <v>3.5</v>
      </c>
      <c r="Z89" s="4">
        <v>0.21199999999999999</v>
      </c>
      <c r="AA89" s="13">
        <f>(I89/TOTAL_BASIC!$D$301)*100</f>
        <v>103.15883599182413</v>
      </c>
      <c r="AB89" s="5">
        <f t="shared" si="21"/>
        <v>1.17</v>
      </c>
      <c r="AC89" s="3">
        <f t="shared" si="1"/>
        <v>15</v>
      </c>
      <c r="AD89" s="9">
        <f t="shared" si="22"/>
        <v>1.1559999999999999</v>
      </c>
      <c r="AE89" s="16">
        <f t="shared" si="23"/>
        <v>1.1133603238866396</v>
      </c>
      <c r="AF89" s="16">
        <f t="shared" si="24"/>
        <v>2.1825396825396828</v>
      </c>
      <c r="AG89" s="9"/>
      <c r="AH89" s="9"/>
      <c r="AI89" s="12">
        <f t="shared" si="25"/>
        <v>64.600000000000009</v>
      </c>
      <c r="AJ89" s="12">
        <f t="shared" si="26"/>
        <v>52.400000000000006</v>
      </c>
      <c r="AK89" s="12">
        <f t="shared" si="26"/>
        <v>86.7</v>
      </c>
      <c r="AL89" s="12">
        <f t="shared" si="26"/>
        <v>65.100000000000009</v>
      </c>
      <c r="AM89" s="12">
        <f t="shared" si="26"/>
        <v>51.300000000000004</v>
      </c>
      <c r="AN89" s="12">
        <f t="shared" si="18"/>
        <v>34.200000000000003</v>
      </c>
      <c r="AO89" s="12">
        <f t="shared" si="18"/>
        <v>90</v>
      </c>
      <c r="AP89" s="12">
        <f t="shared" si="18"/>
        <v>45.300000000000004</v>
      </c>
      <c r="AQ89" s="12">
        <f t="shared" si="18"/>
        <v>39.700000000000003</v>
      </c>
      <c r="AR89" s="12">
        <f t="shared" si="29"/>
        <v>89.5</v>
      </c>
      <c r="AS89" s="12">
        <f t="shared" si="29"/>
        <v>88.3</v>
      </c>
      <c r="AT89" s="12">
        <f t="shared" si="29"/>
        <v>49.7</v>
      </c>
      <c r="AU89" s="12">
        <f t="shared" si="27"/>
        <v>69.099999999999994</v>
      </c>
      <c r="AV89" s="12">
        <f t="shared" si="30"/>
        <v>82.8</v>
      </c>
      <c r="AW89" s="12">
        <f t="shared" si="30"/>
        <v>78.400000000000006</v>
      </c>
      <c r="AX89" s="12">
        <f t="shared" si="28"/>
        <v>95.6</v>
      </c>
      <c r="AY89" s="9"/>
      <c r="AZ89" s="12">
        <f t="shared" si="31"/>
        <v>82.8</v>
      </c>
      <c r="BA89" s="12">
        <f t="shared" si="31"/>
        <v>81.2</v>
      </c>
      <c r="BB89" s="12">
        <f t="shared" si="31"/>
        <v>85.6</v>
      </c>
      <c r="BC89" s="12">
        <f t="shared" si="31"/>
        <v>96.6</v>
      </c>
      <c r="BD89" s="12">
        <f t="shared" si="32"/>
        <v>65.100000000000009</v>
      </c>
      <c r="BE89" s="12">
        <f t="shared" si="19"/>
        <v>78.400000000000006</v>
      </c>
      <c r="BF89" s="12">
        <f t="shared" si="19"/>
        <v>90.600000000000009</v>
      </c>
      <c r="BG89" s="12">
        <f t="shared" si="19"/>
        <v>65.100000000000009</v>
      </c>
      <c r="BH89" s="12">
        <f t="shared" si="19"/>
        <v>77.900000000000006</v>
      </c>
      <c r="BI89" s="12">
        <f t="shared" si="20"/>
        <v>95.5</v>
      </c>
    </row>
    <row r="90" spans="1:61" ht="15.75" customHeight="1">
      <c r="A90" s="1" t="s">
        <v>146</v>
      </c>
      <c r="B90" s="3" t="s">
        <v>232</v>
      </c>
      <c r="C90" s="4" t="s">
        <v>8</v>
      </c>
      <c r="D90" s="4">
        <v>26</v>
      </c>
      <c r="E90" s="4">
        <v>642</v>
      </c>
      <c r="F90" s="4">
        <v>26</v>
      </c>
      <c r="G90" s="4">
        <v>642</v>
      </c>
      <c r="H90" s="4">
        <v>14.6</v>
      </c>
      <c r="I90" s="4">
        <v>0.60299999999999998</v>
      </c>
      <c r="J90" s="4">
        <v>0.58599999999999997</v>
      </c>
      <c r="K90" s="4">
        <v>0.41899999999999998</v>
      </c>
      <c r="L90" s="4">
        <v>0.16300000000000001</v>
      </c>
      <c r="M90" s="4">
        <v>4.0999999999999996</v>
      </c>
      <c r="N90" s="4">
        <v>11.5</v>
      </c>
      <c r="O90" s="4">
        <v>16.5</v>
      </c>
      <c r="P90" s="4">
        <v>1.8</v>
      </c>
      <c r="Q90" s="4">
        <v>1.4</v>
      </c>
      <c r="R90" s="4">
        <v>18.399999999999999</v>
      </c>
      <c r="S90" s="4">
        <v>19.7</v>
      </c>
      <c r="T90" s="4">
        <v>106</v>
      </c>
      <c r="U90" s="4">
        <v>114</v>
      </c>
      <c r="V90" s="4"/>
      <c r="W90" s="4">
        <v>0.5</v>
      </c>
      <c r="X90" s="4">
        <v>0.4</v>
      </c>
      <c r="Y90" s="4">
        <v>0.9</v>
      </c>
      <c r="Z90" s="4">
        <v>5.6000000000000001E-2</v>
      </c>
      <c r="AA90" s="13">
        <f>(I90/TOTAL_BASIC!$D$301)*100</f>
        <v>107.62072336171273</v>
      </c>
      <c r="AB90" s="5">
        <f t="shared" si="21"/>
        <v>1.06</v>
      </c>
      <c r="AC90" s="3">
        <f t="shared" si="1"/>
        <v>-8</v>
      </c>
      <c r="AD90" s="9">
        <f t="shared" si="22"/>
        <v>1.206</v>
      </c>
      <c r="AE90" s="16">
        <f t="shared" si="23"/>
        <v>0.83756345177664981</v>
      </c>
      <c r="AF90" s="16">
        <f t="shared" si="24"/>
        <v>0.89673913043478271</v>
      </c>
      <c r="AG90" s="9"/>
      <c r="AH90" s="9"/>
      <c r="AI90" s="12">
        <f t="shared" si="25"/>
        <v>23.200000000000003</v>
      </c>
      <c r="AJ90" s="12">
        <f t="shared" si="26"/>
        <v>51.9</v>
      </c>
      <c r="AK90" s="12">
        <f t="shared" si="26"/>
        <v>59.099999999999994</v>
      </c>
      <c r="AL90" s="12">
        <f t="shared" si="26"/>
        <v>77.900000000000006</v>
      </c>
      <c r="AM90" s="12">
        <f t="shared" si="26"/>
        <v>89.5</v>
      </c>
      <c r="AN90" s="12">
        <f t="shared" si="18"/>
        <v>53.5</v>
      </c>
      <c r="AO90" s="12">
        <f t="shared" si="18"/>
        <v>16.5</v>
      </c>
      <c r="AP90" s="12">
        <f t="shared" si="18"/>
        <v>48</v>
      </c>
      <c r="AQ90" s="12">
        <f t="shared" si="18"/>
        <v>69</v>
      </c>
      <c r="AR90" s="12">
        <f t="shared" si="29"/>
        <v>64</v>
      </c>
      <c r="AS90" s="12">
        <f t="shared" si="29"/>
        <v>51.300000000000004</v>
      </c>
      <c r="AT90" s="12">
        <f t="shared" si="29"/>
        <v>55.800000000000004</v>
      </c>
      <c r="AU90" s="12">
        <f t="shared" si="27"/>
        <v>22.700000000000003</v>
      </c>
      <c r="AV90" s="12">
        <f t="shared" si="30"/>
        <v>59.099999999999994</v>
      </c>
      <c r="AW90" s="12">
        <f t="shared" si="30"/>
        <v>44.7</v>
      </c>
      <c r="AX90" s="12">
        <f t="shared" si="28"/>
        <v>24.900000000000006</v>
      </c>
      <c r="AY90" s="9"/>
      <c r="AZ90" s="12">
        <f t="shared" si="31"/>
        <v>52.400000000000006</v>
      </c>
      <c r="BA90" s="12">
        <f t="shared" si="31"/>
        <v>33.700000000000003</v>
      </c>
      <c r="BB90" s="12">
        <f t="shared" si="31"/>
        <v>45.800000000000004</v>
      </c>
      <c r="BC90" s="12">
        <f t="shared" si="31"/>
        <v>38.6</v>
      </c>
      <c r="BD90" s="12">
        <f t="shared" si="32"/>
        <v>77.900000000000006</v>
      </c>
      <c r="BE90" s="12">
        <f t="shared" si="19"/>
        <v>44.7</v>
      </c>
      <c r="BF90" s="12">
        <f t="shared" si="19"/>
        <v>36.4</v>
      </c>
      <c r="BG90" s="12">
        <f t="shared" si="19"/>
        <v>77.900000000000006</v>
      </c>
      <c r="BH90" s="12">
        <f t="shared" si="19"/>
        <v>62.4</v>
      </c>
      <c r="BI90" s="12">
        <f t="shared" si="20"/>
        <v>40.799999999999997</v>
      </c>
    </row>
    <row r="91" spans="1:61" ht="15.75" customHeight="1">
      <c r="A91" s="1" t="s">
        <v>141</v>
      </c>
      <c r="B91" s="3" t="s">
        <v>114</v>
      </c>
      <c r="C91" s="4" t="s">
        <v>88</v>
      </c>
      <c r="D91" s="4">
        <v>41</v>
      </c>
      <c r="E91" s="4">
        <v>627</v>
      </c>
      <c r="F91" s="4">
        <v>41</v>
      </c>
      <c r="G91" s="4">
        <v>627</v>
      </c>
      <c r="H91" s="4">
        <v>8.1999999999999993</v>
      </c>
      <c r="I91" s="4">
        <v>0.60899999999999999</v>
      </c>
      <c r="J91" s="4">
        <v>0.56000000000000005</v>
      </c>
      <c r="K91" s="4">
        <v>0.56000000000000005</v>
      </c>
      <c r="L91" s="4">
        <v>0.32</v>
      </c>
      <c r="M91" s="4">
        <v>4.5</v>
      </c>
      <c r="N91" s="4">
        <v>9</v>
      </c>
      <c r="O91" s="4">
        <v>11.5</v>
      </c>
      <c r="P91" s="4">
        <v>1</v>
      </c>
      <c r="Q91" s="4">
        <v>2.5</v>
      </c>
      <c r="R91" s="4">
        <v>23.5</v>
      </c>
      <c r="S91" s="4">
        <v>10.4</v>
      </c>
      <c r="T91" s="4">
        <v>108</v>
      </c>
      <c r="U91" s="4">
        <v>113</v>
      </c>
      <c r="V91" s="4"/>
      <c r="W91" s="4">
        <v>0.4</v>
      </c>
      <c r="X91" s="4">
        <v>0.5</v>
      </c>
      <c r="Y91" s="4">
        <v>0.8</v>
      </c>
      <c r="Z91" s="4">
        <v>5.2999999999999999E-2</v>
      </c>
      <c r="AA91" s="13">
        <f>(I91/TOTAL_BASIC!$D$301)*100</f>
        <v>108.69157633048599</v>
      </c>
      <c r="AB91" s="5">
        <f t="shared" si="21"/>
        <v>1.08</v>
      </c>
      <c r="AC91" s="3">
        <f t="shared" si="1"/>
        <v>-5</v>
      </c>
      <c r="AD91" s="9">
        <f t="shared" si="22"/>
        <v>1.218</v>
      </c>
      <c r="AE91" s="16">
        <f t="shared" si="23"/>
        <v>1.1057692307692308</v>
      </c>
      <c r="AF91" s="16">
        <f t="shared" si="24"/>
        <v>0.48936170212765956</v>
      </c>
      <c r="AG91" s="9"/>
      <c r="AH91" s="9"/>
      <c r="AI91" s="12">
        <f t="shared" si="25"/>
        <v>85.6</v>
      </c>
      <c r="AJ91" s="12">
        <f t="shared" si="26"/>
        <v>51.300000000000004</v>
      </c>
      <c r="AK91" s="12">
        <f t="shared" si="26"/>
        <v>12.7</v>
      </c>
      <c r="AL91" s="12">
        <f t="shared" si="26"/>
        <v>80.600000000000009</v>
      </c>
      <c r="AM91" s="12">
        <f t="shared" si="26"/>
        <v>77.900000000000006</v>
      </c>
      <c r="AN91" s="12">
        <f t="shared" si="18"/>
        <v>82.8</v>
      </c>
      <c r="AO91" s="12">
        <f t="shared" si="18"/>
        <v>60.199999999999996</v>
      </c>
      <c r="AP91" s="12">
        <f t="shared" si="18"/>
        <v>50.8</v>
      </c>
      <c r="AQ91" s="12">
        <f t="shared" si="18"/>
        <v>49.1</v>
      </c>
      <c r="AR91" s="12">
        <f t="shared" si="29"/>
        <v>35.299999999999997</v>
      </c>
      <c r="AS91" s="12">
        <f t="shared" si="29"/>
        <v>11</v>
      </c>
      <c r="AT91" s="12">
        <f t="shared" si="29"/>
        <v>74.5</v>
      </c>
      <c r="AU91" s="12">
        <f t="shared" si="27"/>
        <v>5.6000000000000085</v>
      </c>
      <c r="AV91" s="12">
        <f t="shared" si="30"/>
        <v>2.7</v>
      </c>
      <c r="AW91" s="12">
        <f t="shared" si="30"/>
        <v>54.1</v>
      </c>
      <c r="AX91" s="12">
        <f t="shared" si="28"/>
        <v>30.400000000000006</v>
      </c>
      <c r="AY91" s="9"/>
      <c r="AZ91" s="12">
        <f t="shared" si="31"/>
        <v>46.9</v>
      </c>
      <c r="BA91" s="12">
        <f t="shared" si="31"/>
        <v>39.700000000000003</v>
      </c>
      <c r="BB91" s="12">
        <f t="shared" si="31"/>
        <v>41.9</v>
      </c>
      <c r="BC91" s="12">
        <f t="shared" si="31"/>
        <v>37.5</v>
      </c>
      <c r="BD91" s="12">
        <f t="shared" si="32"/>
        <v>80.600000000000009</v>
      </c>
      <c r="BE91" s="12">
        <f t="shared" si="19"/>
        <v>54.1</v>
      </c>
      <c r="BF91" s="12">
        <f t="shared" si="19"/>
        <v>43</v>
      </c>
      <c r="BG91" s="12">
        <f t="shared" si="19"/>
        <v>80.600000000000009</v>
      </c>
      <c r="BH91" s="12">
        <f t="shared" si="19"/>
        <v>77.3</v>
      </c>
      <c r="BI91" s="12">
        <f t="shared" si="20"/>
        <v>11</v>
      </c>
    </row>
    <row r="92" spans="1:61" ht="15.75" customHeight="1">
      <c r="A92" s="1" t="s">
        <v>179</v>
      </c>
      <c r="B92" s="3" t="s">
        <v>114</v>
      </c>
      <c r="C92" s="4" t="s">
        <v>8</v>
      </c>
      <c r="D92" s="4">
        <v>41</v>
      </c>
      <c r="E92" s="4">
        <v>616</v>
      </c>
      <c r="F92" s="4">
        <v>41</v>
      </c>
      <c r="G92" s="4">
        <v>616</v>
      </c>
      <c r="H92" s="4">
        <v>9.6</v>
      </c>
      <c r="I92" s="4">
        <v>0.47099999999999997</v>
      </c>
      <c r="J92" s="4">
        <v>0.40400000000000003</v>
      </c>
      <c r="K92" s="4">
        <v>0.38200000000000001</v>
      </c>
      <c r="L92" s="4">
        <v>0.34399999999999997</v>
      </c>
      <c r="M92" s="4">
        <v>3.5</v>
      </c>
      <c r="N92" s="4">
        <v>6.3</v>
      </c>
      <c r="O92" s="4">
        <v>12.4</v>
      </c>
      <c r="P92" s="4">
        <v>1.3</v>
      </c>
      <c r="Q92" s="4">
        <v>0.2</v>
      </c>
      <c r="R92" s="4">
        <v>11.8</v>
      </c>
      <c r="S92" s="4">
        <v>26.3</v>
      </c>
      <c r="T92" s="4">
        <v>94</v>
      </c>
      <c r="U92" s="4">
        <v>115</v>
      </c>
      <c r="V92" s="4"/>
      <c r="W92" s="4">
        <v>-0.7</v>
      </c>
      <c r="X92" s="4">
        <v>0.3</v>
      </c>
      <c r="Y92" s="4">
        <v>-0.5</v>
      </c>
      <c r="Z92" s="4">
        <v>-3.2000000000000001E-2</v>
      </c>
      <c r="AA92" s="13">
        <f>(I92/TOTAL_BASIC!$D$301)*100</f>
        <v>84.061958048700987</v>
      </c>
      <c r="AB92" s="5">
        <f t="shared" si="21"/>
        <v>0.94</v>
      </c>
      <c r="AC92" s="3">
        <f t="shared" si="1"/>
        <v>-21</v>
      </c>
      <c r="AD92" s="9">
        <f t="shared" si="22"/>
        <v>0.94199999999999995</v>
      </c>
      <c r="AE92" s="16">
        <f t="shared" si="23"/>
        <v>0.47148288973384028</v>
      </c>
      <c r="AF92" s="16">
        <f t="shared" si="24"/>
        <v>1.0508474576271185</v>
      </c>
      <c r="AG92" s="9"/>
      <c r="AH92" s="9"/>
      <c r="AI92" s="12">
        <f t="shared" si="25"/>
        <v>85.6</v>
      </c>
      <c r="AJ92" s="12">
        <f t="shared" si="26"/>
        <v>50.8</v>
      </c>
      <c r="AK92" s="12">
        <f t="shared" si="26"/>
        <v>23.7</v>
      </c>
      <c r="AL92" s="12">
        <f t="shared" si="26"/>
        <v>10.4</v>
      </c>
      <c r="AM92" s="12">
        <f t="shared" si="26"/>
        <v>6.6000000000000005</v>
      </c>
      <c r="AN92" s="12">
        <f t="shared" si="18"/>
        <v>44.1</v>
      </c>
      <c r="AO92" s="12">
        <f t="shared" si="18"/>
        <v>64.600000000000009</v>
      </c>
      <c r="AP92" s="12">
        <f t="shared" si="18"/>
        <v>39.700000000000003</v>
      </c>
      <c r="AQ92" s="12">
        <f t="shared" si="18"/>
        <v>24.3</v>
      </c>
      <c r="AR92" s="12">
        <f t="shared" si="29"/>
        <v>44.1</v>
      </c>
      <c r="AS92" s="12">
        <f t="shared" si="29"/>
        <v>23.7</v>
      </c>
      <c r="AT92" s="12">
        <f t="shared" si="29"/>
        <v>7.1</v>
      </c>
      <c r="AU92" s="12">
        <f t="shared" si="27"/>
        <v>75.7</v>
      </c>
      <c r="AV92" s="12">
        <f t="shared" si="30"/>
        <v>88.9</v>
      </c>
      <c r="AW92" s="12">
        <f t="shared" si="30"/>
        <v>8.7999999999999989</v>
      </c>
      <c r="AX92" s="12">
        <f t="shared" si="28"/>
        <v>19.399999999999991</v>
      </c>
      <c r="AY92" s="9"/>
      <c r="AZ92" s="12">
        <f t="shared" si="31"/>
        <v>3.8</v>
      </c>
      <c r="BA92" s="12">
        <f t="shared" si="31"/>
        <v>28.1</v>
      </c>
      <c r="BB92" s="12">
        <f t="shared" si="31"/>
        <v>1.0999999999999999</v>
      </c>
      <c r="BC92" s="12">
        <f t="shared" si="31"/>
        <v>4.9000000000000004</v>
      </c>
      <c r="BD92" s="12">
        <f t="shared" si="32"/>
        <v>10.4</v>
      </c>
      <c r="BE92" s="12">
        <f t="shared" si="19"/>
        <v>8.7999999999999989</v>
      </c>
      <c r="BF92" s="12">
        <f t="shared" si="19"/>
        <v>6</v>
      </c>
      <c r="BG92" s="12">
        <f t="shared" si="19"/>
        <v>10.4</v>
      </c>
      <c r="BH92" s="12">
        <f t="shared" si="19"/>
        <v>16.5</v>
      </c>
      <c r="BI92" s="12">
        <f t="shared" si="20"/>
        <v>56.899999999999991</v>
      </c>
    </row>
    <row r="93" spans="1:61" ht="15.75" customHeight="1">
      <c r="A93" s="1" t="s">
        <v>193</v>
      </c>
      <c r="B93" s="3" t="s">
        <v>91</v>
      </c>
      <c r="C93" s="4" t="s">
        <v>8</v>
      </c>
      <c r="D93" s="4">
        <v>41</v>
      </c>
      <c r="E93" s="4">
        <v>615</v>
      </c>
      <c r="F93" s="4">
        <v>41</v>
      </c>
      <c r="G93" s="4">
        <v>615</v>
      </c>
      <c r="H93" s="4">
        <v>15</v>
      </c>
      <c r="I93" s="4">
        <v>0.61499999999999999</v>
      </c>
      <c r="J93" s="4">
        <v>0.59799999999999998</v>
      </c>
      <c r="K93" s="4">
        <v>0.29299999999999998</v>
      </c>
      <c r="L93" s="4">
        <v>0.19500000000000001</v>
      </c>
      <c r="M93" s="4">
        <v>2.5</v>
      </c>
      <c r="N93" s="4">
        <v>4.5</v>
      </c>
      <c r="O93" s="4">
        <v>24.3</v>
      </c>
      <c r="P93" s="4">
        <v>1</v>
      </c>
      <c r="Q93" s="4">
        <v>0.2</v>
      </c>
      <c r="R93" s="4">
        <v>17.100000000000001</v>
      </c>
      <c r="S93" s="4">
        <v>21.2</v>
      </c>
      <c r="T93" s="4">
        <v>112</v>
      </c>
      <c r="U93" s="4">
        <v>108</v>
      </c>
      <c r="V93" s="4"/>
      <c r="W93" s="4">
        <v>1</v>
      </c>
      <c r="X93" s="4">
        <v>0.9</v>
      </c>
      <c r="Y93" s="4">
        <v>2</v>
      </c>
      <c r="Z93" s="4">
        <v>0.127</v>
      </c>
      <c r="AA93" s="13">
        <f>(I93/TOTAL_BASIC!$D$301)*100</f>
        <v>109.76242929925925</v>
      </c>
      <c r="AB93" s="5">
        <f t="shared" si="21"/>
        <v>1.1200000000000001</v>
      </c>
      <c r="AC93" s="3">
        <f t="shared" si="1"/>
        <v>4</v>
      </c>
      <c r="AD93" s="9">
        <f t="shared" si="22"/>
        <v>1.23</v>
      </c>
      <c r="AE93" s="16">
        <f t="shared" si="23"/>
        <v>1.1462264150943398</v>
      </c>
      <c r="AF93" s="16">
        <f t="shared" si="24"/>
        <v>1.4210526315789473</v>
      </c>
      <c r="AG93" s="9"/>
      <c r="AH93" s="9"/>
      <c r="AI93" s="12">
        <f t="shared" si="25"/>
        <v>85.6</v>
      </c>
      <c r="AJ93" s="12">
        <f t="shared" si="26"/>
        <v>50.2</v>
      </c>
      <c r="AK93" s="12">
        <f t="shared" si="26"/>
        <v>62.4</v>
      </c>
      <c r="AL93" s="12">
        <f t="shared" si="26"/>
        <v>85.6</v>
      </c>
      <c r="AM93" s="12">
        <f t="shared" si="26"/>
        <v>92.800000000000011</v>
      </c>
      <c r="AN93" s="12">
        <f t="shared" si="18"/>
        <v>29.2</v>
      </c>
      <c r="AO93" s="12">
        <f t="shared" si="18"/>
        <v>23.7</v>
      </c>
      <c r="AP93" s="12">
        <f t="shared" si="18"/>
        <v>27.6</v>
      </c>
      <c r="AQ93" s="12">
        <f t="shared" si="18"/>
        <v>8.2000000000000011</v>
      </c>
      <c r="AR93" s="12">
        <f t="shared" si="29"/>
        <v>83.899999999999991</v>
      </c>
      <c r="AS93" s="12">
        <f t="shared" si="29"/>
        <v>11</v>
      </c>
      <c r="AT93" s="12">
        <f t="shared" si="29"/>
        <v>7.1</v>
      </c>
      <c r="AU93" s="12">
        <f t="shared" si="27"/>
        <v>31</v>
      </c>
      <c r="AV93" s="12">
        <f t="shared" si="30"/>
        <v>66.8</v>
      </c>
      <c r="AW93" s="12">
        <f t="shared" si="30"/>
        <v>67.400000000000006</v>
      </c>
      <c r="AX93" s="12">
        <f t="shared" si="28"/>
        <v>71.3</v>
      </c>
      <c r="AY93" s="9"/>
      <c r="AZ93" s="12">
        <f t="shared" si="31"/>
        <v>67.900000000000006</v>
      </c>
      <c r="BA93" s="12">
        <f t="shared" si="31"/>
        <v>62.9</v>
      </c>
      <c r="BB93" s="12">
        <f t="shared" si="31"/>
        <v>69</v>
      </c>
      <c r="BC93" s="12">
        <f t="shared" si="31"/>
        <v>74</v>
      </c>
      <c r="BD93" s="12">
        <f t="shared" si="32"/>
        <v>85.6</v>
      </c>
      <c r="BE93" s="12">
        <f t="shared" si="19"/>
        <v>67.400000000000006</v>
      </c>
      <c r="BF93" s="12">
        <f t="shared" si="19"/>
        <v>69.599999999999994</v>
      </c>
      <c r="BG93" s="12">
        <f t="shared" si="19"/>
        <v>85.6</v>
      </c>
      <c r="BH93" s="12">
        <f t="shared" si="19"/>
        <v>81.699999999999989</v>
      </c>
      <c r="BI93" s="12">
        <f t="shared" si="20"/>
        <v>75.099999999999994</v>
      </c>
    </row>
    <row r="94" spans="1:61" ht="15.75" customHeight="1">
      <c r="A94" s="1" t="s">
        <v>186</v>
      </c>
      <c r="B94" s="3" t="s">
        <v>114</v>
      </c>
      <c r="C94" s="4" t="s">
        <v>85</v>
      </c>
      <c r="D94" s="4">
        <v>35</v>
      </c>
      <c r="E94" s="4">
        <v>609</v>
      </c>
      <c r="F94" s="4">
        <v>35</v>
      </c>
      <c r="G94" s="4">
        <v>609</v>
      </c>
      <c r="H94" s="4">
        <v>9.8000000000000007</v>
      </c>
      <c r="I94" s="4">
        <v>0.443</v>
      </c>
      <c r="J94" s="4">
        <v>0.41199999999999998</v>
      </c>
      <c r="K94" s="4">
        <v>0.33900000000000002</v>
      </c>
      <c r="L94" s="4">
        <v>0.216</v>
      </c>
      <c r="M94" s="4">
        <v>6.2</v>
      </c>
      <c r="N94" s="4">
        <v>11.7</v>
      </c>
      <c r="O94" s="4">
        <v>11.9</v>
      </c>
      <c r="P94" s="4">
        <v>3</v>
      </c>
      <c r="Q94" s="4">
        <v>2.8</v>
      </c>
      <c r="R94" s="4">
        <v>18.3</v>
      </c>
      <c r="S94" s="4">
        <v>16.399999999999999</v>
      </c>
      <c r="T94" s="4">
        <v>88</v>
      </c>
      <c r="U94" s="4">
        <v>107</v>
      </c>
      <c r="V94" s="4"/>
      <c r="W94" s="4">
        <v>-0.9</v>
      </c>
      <c r="X94" s="4">
        <v>1</v>
      </c>
      <c r="Y94" s="4">
        <v>0</v>
      </c>
      <c r="Z94" s="4">
        <v>3.0000000000000001E-3</v>
      </c>
      <c r="AA94" s="13">
        <f>(I94/TOTAL_BASIC!$D$301)*100</f>
        <v>79.064644194425767</v>
      </c>
      <c r="AB94" s="5">
        <f t="shared" si="21"/>
        <v>0.88</v>
      </c>
      <c r="AC94" s="3">
        <f t="shared" si="1"/>
        <v>-19</v>
      </c>
      <c r="AD94" s="9">
        <f t="shared" si="22"/>
        <v>0.88600000000000001</v>
      </c>
      <c r="AE94" s="16">
        <f t="shared" si="23"/>
        <v>0.72560975609756106</v>
      </c>
      <c r="AF94" s="16">
        <f t="shared" si="24"/>
        <v>0.65027322404371579</v>
      </c>
      <c r="AG94" s="9"/>
      <c r="AH94" s="9"/>
      <c r="AI94" s="12">
        <f t="shared" si="25"/>
        <v>44.7</v>
      </c>
      <c r="AJ94" s="12">
        <f t="shared" si="26"/>
        <v>49.7</v>
      </c>
      <c r="AK94" s="12">
        <f t="shared" si="26"/>
        <v>24.8</v>
      </c>
      <c r="AL94" s="12">
        <f t="shared" si="26"/>
        <v>6</v>
      </c>
      <c r="AM94" s="12">
        <f t="shared" si="26"/>
        <v>7.7</v>
      </c>
      <c r="AN94" s="12">
        <f t="shared" si="18"/>
        <v>35.299999999999997</v>
      </c>
      <c r="AO94" s="12">
        <f t="shared" si="18"/>
        <v>29.2</v>
      </c>
      <c r="AP94" s="12">
        <f t="shared" si="18"/>
        <v>67.400000000000006</v>
      </c>
      <c r="AQ94" s="12">
        <f t="shared" si="18"/>
        <v>70.099999999999994</v>
      </c>
      <c r="AR94" s="12">
        <f t="shared" si="29"/>
        <v>40.300000000000004</v>
      </c>
      <c r="AS94" s="12">
        <f t="shared" si="29"/>
        <v>94.399999999999991</v>
      </c>
      <c r="AT94" s="12">
        <f t="shared" si="29"/>
        <v>79</v>
      </c>
      <c r="AU94" s="12">
        <f t="shared" si="27"/>
        <v>23.799999999999997</v>
      </c>
      <c r="AV94" s="12">
        <f t="shared" si="30"/>
        <v>27</v>
      </c>
      <c r="AW94" s="12">
        <f t="shared" si="30"/>
        <v>3.3000000000000003</v>
      </c>
      <c r="AX94" s="12">
        <f t="shared" si="28"/>
        <v>77.400000000000006</v>
      </c>
      <c r="AY94" s="9"/>
      <c r="AZ94" s="12">
        <f t="shared" si="31"/>
        <v>1.0999999999999999</v>
      </c>
      <c r="BA94" s="12">
        <f t="shared" si="31"/>
        <v>68.5</v>
      </c>
      <c r="BB94" s="12">
        <f t="shared" si="31"/>
        <v>9.9</v>
      </c>
      <c r="BC94" s="12">
        <f t="shared" si="31"/>
        <v>12.1</v>
      </c>
      <c r="BD94" s="12">
        <f t="shared" si="32"/>
        <v>6</v>
      </c>
      <c r="BE94" s="12">
        <f t="shared" si="19"/>
        <v>3.3000000000000003</v>
      </c>
      <c r="BF94" s="12">
        <f t="shared" si="19"/>
        <v>9.3000000000000007</v>
      </c>
      <c r="BG94" s="12">
        <f t="shared" si="19"/>
        <v>6</v>
      </c>
      <c r="BH94" s="12">
        <f t="shared" si="19"/>
        <v>51.9</v>
      </c>
      <c r="BI94" s="12">
        <f t="shared" si="20"/>
        <v>22</v>
      </c>
    </row>
    <row r="95" spans="1:61" ht="15.75" customHeight="1">
      <c r="A95" s="1" t="s">
        <v>123</v>
      </c>
      <c r="B95" s="3" t="s">
        <v>240</v>
      </c>
      <c r="C95" s="4" t="s">
        <v>85</v>
      </c>
      <c r="D95" s="4">
        <v>27</v>
      </c>
      <c r="E95" s="4">
        <v>599</v>
      </c>
      <c r="F95" s="4">
        <v>27</v>
      </c>
      <c r="G95" s="4">
        <v>599</v>
      </c>
      <c r="H95" s="4">
        <v>17.600000000000001</v>
      </c>
      <c r="I95" s="4">
        <v>0.49199999999999999</v>
      </c>
      <c r="J95" s="4">
        <v>0.46500000000000002</v>
      </c>
      <c r="K95" s="4">
        <v>0.311</v>
      </c>
      <c r="L95" s="4">
        <v>0.25900000000000001</v>
      </c>
      <c r="M95" s="4">
        <v>13.3</v>
      </c>
      <c r="N95" s="4">
        <v>22.6</v>
      </c>
      <c r="O95" s="4">
        <v>12.3</v>
      </c>
      <c r="P95" s="4">
        <v>2</v>
      </c>
      <c r="Q95" s="4">
        <v>2.1</v>
      </c>
      <c r="R95" s="4">
        <v>12.3</v>
      </c>
      <c r="S95" s="4">
        <v>25.1</v>
      </c>
      <c r="T95" s="4">
        <v>100</v>
      </c>
      <c r="U95" s="4">
        <v>108</v>
      </c>
      <c r="V95" s="4"/>
      <c r="W95" s="4">
        <v>-0.1</v>
      </c>
      <c r="X95" s="4">
        <v>0.8</v>
      </c>
      <c r="Y95" s="4">
        <v>0.7</v>
      </c>
      <c r="Z95" s="4">
        <v>4.9000000000000002E-2</v>
      </c>
      <c r="AA95" s="13">
        <f>(I95/TOTAL_BASIC!$D$301)*100</f>
        <v>87.809943439407405</v>
      </c>
      <c r="AB95" s="5">
        <f t="shared" si="21"/>
        <v>1</v>
      </c>
      <c r="AC95" s="3">
        <f t="shared" si="1"/>
        <v>-8</v>
      </c>
      <c r="AD95" s="9">
        <f t="shared" si="22"/>
        <v>0.98399999999999999</v>
      </c>
      <c r="AE95" s="16">
        <f t="shared" si="23"/>
        <v>0.49003984063745021</v>
      </c>
      <c r="AF95" s="16">
        <f t="shared" si="24"/>
        <v>1</v>
      </c>
      <c r="AG95" s="9"/>
      <c r="AH95" s="9"/>
      <c r="AI95" s="12">
        <f t="shared" si="25"/>
        <v>24.8</v>
      </c>
      <c r="AJ95" s="12">
        <f t="shared" si="26"/>
        <v>49.1</v>
      </c>
      <c r="AK95" s="12">
        <f t="shared" si="26"/>
        <v>76.2</v>
      </c>
      <c r="AL95" s="12">
        <f t="shared" si="26"/>
        <v>17.599999999999998</v>
      </c>
      <c r="AM95" s="12">
        <f t="shared" si="26"/>
        <v>25.900000000000002</v>
      </c>
      <c r="AN95" s="12">
        <f t="shared" si="18"/>
        <v>31.4</v>
      </c>
      <c r="AO95" s="12">
        <f t="shared" si="18"/>
        <v>42.5</v>
      </c>
      <c r="AP95" s="12">
        <f t="shared" si="18"/>
        <v>96.6</v>
      </c>
      <c r="AQ95" s="12">
        <f t="shared" si="18"/>
        <v>99.4</v>
      </c>
      <c r="AR95" s="12">
        <f t="shared" si="29"/>
        <v>43</v>
      </c>
      <c r="AS95" s="12">
        <f t="shared" si="29"/>
        <v>64.600000000000009</v>
      </c>
      <c r="AT95" s="12">
        <f t="shared" si="29"/>
        <v>66.8</v>
      </c>
      <c r="AU95" s="12">
        <f t="shared" si="27"/>
        <v>71.900000000000006</v>
      </c>
      <c r="AV95" s="12">
        <f t="shared" si="30"/>
        <v>84.5</v>
      </c>
      <c r="AW95" s="12">
        <f t="shared" si="30"/>
        <v>24.8</v>
      </c>
      <c r="AX95" s="12">
        <f t="shared" si="28"/>
        <v>71.3</v>
      </c>
      <c r="AY95" s="9"/>
      <c r="AZ95" s="12">
        <f t="shared" si="31"/>
        <v>20.9</v>
      </c>
      <c r="BA95" s="12">
        <f t="shared" si="31"/>
        <v>58.5</v>
      </c>
      <c r="BB95" s="12">
        <f t="shared" si="31"/>
        <v>38.1</v>
      </c>
      <c r="BC95" s="12">
        <f t="shared" si="31"/>
        <v>35.299999999999997</v>
      </c>
      <c r="BD95" s="12">
        <f t="shared" si="32"/>
        <v>17.599999999999998</v>
      </c>
      <c r="BE95" s="12">
        <f t="shared" si="19"/>
        <v>24.8</v>
      </c>
      <c r="BF95" s="12">
        <f t="shared" si="19"/>
        <v>36.4</v>
      </c>
      <c r="BG95" s="12">
        <f t="shared" si="19"/>
        <v>17.599999999999998</v>
      </c>
      <c r="BH95" s="12">
        <f t="shared" si="19"/>
        <v>19.8</v>
      </c>
      <c r="BI95" s="12">
        <f t="shared" si="20"/>
        <v>49.1</v>
      </c>
    </row>
    <row r="96" spans="1:61" ht="15.75" customHeight="1">
      <c r="A96" s="1" t="s">
        <v>215</v>
      </c>
      <c r="B96" s="4" t="s">
        <v>137</v>
      </c>
      <c r="C96" s="4" t="s">
        <v>85</v>
      </c>
      <c r="D96" s="4">
        <v>31</v>
      </c>
      <c r="E96" s="4">
        <v>595</v>
      </c>
      <c r="F96" s="4">
        <v>31</v>
      </c>
      <c r="G96" s="4">
        <v>595</v>
      </c>
      <c r="H96" s="4">
        <v>15.8</v>
      </c>
      <c r="I96" s="4">
        <v>0.57699999999999996</v>
      </c>
      <c r="J96" s="4">
        <v>0.52700000000000002</v>
      </c>
      <c r="K96" s="4">
        <v>0.40500000000000003</v>
      </c>
      <c r="L96" s="4">
        <v>0.377</v>
      </c>
      <c r="M96" s="4">
        <v>9</v>
      </c>
      <c r="N96" s="4">
        <v>15.6</v>
      </c>
      <c r="O96" s="4">
        <v>12.6</v>
      </c>
      <c r="P96" s="4">
        <v>1.6</v>
      </c>
      <c r="Q96" s="4">
        <v>8.4</v>
      </c>
      <c r="R96" s="4">
        <v>22.6</v>
      </c>
      <c r="S96" s="4">
        <v>24.4</v>
      </c>
      <c r="T96" s="4">
        <v>98</v>
      </c>
      <c r="U96" s="4">
        <v>107</v>
      </c>
      <c r="V96" s="4"/>
      <c r="W96" s="4">
        <v>-0.3</v>
      </c>
      <c r="X96" s="4">
        <v>0.9</v>
      </c>
      <c r="Y96" s="4">
        <v>0.6</v>
      </c>
      <c r="Z96" s="4">
        <v>4.2999999999999997E-2</v>
      </c>
      <c r="AA96" s="13">
        <f>(I96/TOTAL_BASIC!$D$301)*100</f>
        <v>102.98036049702858</v>
      </c>
      <c r="AB96" s="5">
        <f t="shared" si="21"/>
        <v>0.98</v>
      </c>
      <c r="AC96" s="3">
        <f t="shared" si="1"/>
        <v>-9</v>
      </c>
      <c r="AD96" s="9">
        <f t="shared" si="22"/>
        <v>1.1539999999999999</v>
      </c>
      <c r="AE96" s="16">
        <f t="shared" si="23"/>
        <v>0.51639344262295084</v>
      </c>
      <c r="AF96" s="16">
        <f t="shared" si="24"/>
        <v>0.55752212389380529</v>
      </c>
      <c r="AG96" s="9"/>
      <c r="AH96" s="9"/>
      <c r="AI96" s="12">
        <f t="shared" si="25"/>
        <v>34.799999999999997</v>
      </c>
      <c r="AJ96" s="12">
        <f t="shared" si="26"/>
        <v>48.6</v>
      </c>
      <c r="AK96" s="12">
        <f t="shared" si="26"/>
        <v>65.7</v>
      </c>
      <c r="AL96" s="12">
        <f t="shared" si="26"/>
        <v>64.600000000000009</v>
      </c>
      <c r="AM96" s="12">
        <f t="shared" si="26"/>
        <v>59.599999999999994</v>
      </c>
      <c r="AN96" s="12">
        <f t="shared" si="18"/>
        <v>49.7</v>
      </c>
      <c r="AO96" s="12">
        <f t="shared" si="18"/>
        <v>74</v>
      </c>
      <c r="AP96" s="12">
        <f t="shared" si="18"/>
        <v>85.6</v>
      </c>
      <c r="AQ96" s="12">
        <f t="shared" si="18"/>
        <v>86.1</v>
      </c>
      <c r="AR96" s="12">
        <f t="shared" si="29"/>
        <v>46.400000000000006</v>
      </c>
      <c r="AS96" s="12">
        <f t="shared" si="29"/>
        <v>40.300000000000004</v>
      </c>
      <c r="AT96" s="12">
        <f t="shared" si="29"/>
        <v>100</v>
      </c>
      <c r="AU96" s="12">
        <f t="shared" si="27"/>
        <v>6.6999999999999886</v>
      </c>
      <c r="AV96" s="12">
        <f t="shared" si="30"/>
        <v>81.2</v>
      </c>
      <c r="AW96" s="12">
        <f t="shared" si="30"/>
        <v>19.3</v>
      </c>
      <c r="AX96" s="12">
        <f t="shared" si="28"/>
        <v>77.400000000000006</v>
      </c>
      <c r="AY96" s="9"/>
      <c r="AZ96" s="12">
        <f t="shared" si="31"/>
        <v>11</v>
      </c>
      <c r="BA96" s="12">
        <f t="shared" si="31"/>
        <v>62.9</v>
      </c>
      <c r="BB96" s="12">
        <f t="shared" si="31"/>
        <v>33.1</v>
      </c>
      <c r="BC96" s="12">
        <f t="shared" si="31"/>
        <v>32</v>
      </c>
      <c r="BD96" s="12">
        <f t="shared" si="32"/>
        <v>64.600000000000009</v>
      </c>
      <c r="BE96" s="12">
        <f t="shared" si="19"/>
        <v>19.3</v>
      </c>
      <c r="BF96" s="12">
        <f t="shared" si="19"/>
        <v>34.200000000000003</v>
      </c>
      <c r="BG96" s="12">
        <f t="shared" si="19"/>
        <v>64.600000000000009</v>
      </c>
      <c r="BH96" s="12">
        <f t="shared" si="19"/>
        <v>20.9</v>
      </c>
      <c r="BI96" s="12">
        <f t="shared" si="20"/>
        <v>14.899999999999999</v>
      </c>
    </row>
    <row r="97" spans="1:61" ht="15.75" customHeight="1">
      <c r="A97" s="1" t="s">
        <v>252</v>
      </c>
      <c r="B97" s="3" t="s">
        <v>240</v>
      </c>
      <c r="C97" s="4" t="s">
        <v>8</v>
      </c>
      <c r="D97" s="4">
        <v>27</v>
      </c>
      <c r="E97" s="4">
        <v>594</v>
      </c>
      <c r="F97" s="4">
        <v>27</v>
      </c>
      <c r="G97" s="4">
        <v>594</v>
      </c>
      <c r="H97" s="4">
        <v>9.1999999999999993</v>
      </c>
      <c r="I97" s="4">
        <v>0.55300000000000005</v>
      </c>
      <c r="J97" s="4">
        <v>0.497</v>
      </c>
      <c r="K97" s="4">
        <v>0.41699999999999998</v>
      </c>
      <c r="L97" s="4">
        <v>0.31</v>
      </c>
      <c r="M97" s="4">
        <v>0.8</v>
      </c>
      <c r="N97" s="4">
        <v>5</v>
      </c>
      <c r="O97" s="4">
        <v>16.899999999999999</v>
      </c>
      <c r="P97" s="4">
        <v>2.2999999999999998</v>
      </c>
      <c r="Q97" s="4">
        <v>1.3</v>
      </c>
      <c r="R97" s="4">
        <v>21.4</v>
      </c>
      <c r="S97" s="4">
        <v>18.399999999999999</v>
      </c>
      <c r="T97" s="4">
        <v>95</v>
      </c>
      <c r="U97" s="4">
        <v>112</v>
      </c>
      <c r="V97" s="4"/>
      <c r="W97" s="4">
        <v>-0.4</v>
      </c>
      <c r="X97" s="4">
        <v>0.5</v>
      </c>
      <c r="Y97" s="4">
        <v>0.1</v>
      </c>
      <c r="Z97" s="4">
        <v>8.0000000000000002E-3</v>
      </c>
      <c r="AA97" s="13">
        <f>(I97/TOTAL_BASIC!$D$301)*100</f>
        <v>98.696948621935562</v>
      </c>
      <c r="AB97" s="5">
        <f t="shared" si="21"/>
        <v>0.95</v>
      </c>
      <c r="AC97" s="3">
        <f t="shared" si="1"/>
        <v>-17</v>
      </c>
      <c r="AD97" s="9">
        <f t="shared" si="22"/>
        <v>1.1060000000000001</v>
      </c>
      <c r="AE97" s="16">
        <f t="shared" si="23"/>
        <v>0.91847826086956519</v>
      </c>
      <c r="AF97" s="16">
        <f t="shared" si="24"/>
        <v>0.78971962616822433</v>
      </c>
      <c r="AG97" s="9"/>
      <c r="AH97" s="9"/>
      <c r="AI97" s="12">
        <f t="shared" si="25"/>
        <v>24.8</v>
      </c>
      <c r="AJ97" s="12">
        <f t="shared" si="26"/>
        <v>48</v>
      </c>
      <c r="AK97" s="12">
        <f t="shared" si="26"/>
        <v>21.5</v>
      </c>
      <c r="AL97" s="12">
        <f t="shared" si="26"/>
        <v>45.800000000000004</v>
      </c>
      <c r="AM97" s="12">
        <f t="shared" si="26"/>
        <v>43</v>
      </c>
      <c r="AN97" s="12">
        <f t="shared" si="18"/>
        <v>52.400000000000006</v>
      </c>
      <c r="AO97" s="12">
        <f t="shared" si="18"/>
        <v>56.3</v>
      </c>
      <c r="AP97" s="12">
        <f t="shared" si="18"/>
        <v>2.1999999999999997</v>
      </c>
      <c r="AQ97" s="12">
        <f t="shared" si="18"/>
        <v>13.200000000000001</v>
      </c>
      <c r="AR97" s="12">
        <f t="shared" si="29"/>
        <v>65.7</v>
      </c>
      <c r="AS97" s="12">
        <f t="shared" si="29"/>
        <v>77.900000000000006</v>
      </c>
      <c r="AT97" s="12">
        <f t="shared" si="29"/>
        <v>49.7</v>
      </c>
      <c r="AU97" s="12">
        <f t="shared" si="27"/>
        <v>9.3999999999999915</v>
      </c>
      <c r="AV97" s="12">
        <f t="shared" si="30"/>
        <v>50.2</v>
      </c>
      <c r="AW97" s="12">
        <f t="shared" si="30"/>
        <v>10.4</v>
      </c>
      <c r="AX97" s="12">
        <f t="shared" si="28"/>
        <v>38.700000000000003</v>
      </c>
      <c r="AY97" s="9"/>
      <c r="AZ97" s="12">
        <f t="shared" si="31"/>
        <v>6.6000000000000005</v>
      </c>
      <c r="BA97" s="12">
        <f t="shared" si="31"/>
        <v>39.700000000000003</v>
      </c>
      <c r="BB97" s="12">
        <f t="shared" si="31"/>
        <v>13.8</v>
      </c>
      <c r="BC97" s="12">
        <f t="shared" si="31"/>
        <v>12.7</v>
      </c>
      <c r="BD97" s="12">
        <f t="shared" si="32"/>
        <v>45.800000000000004</v>
      </c>
      <c r="BE97" s="12">
        <f t="shared" si="19"/>
        <v>10.4</v>
      </c>
      <c r="BF97" s="12">
        <f t="shared" si="19"/>
        <v>13.200000000000001</v>
      </c>
      <c r="BG97" s="12">
        <f t="shared" si="19"/>
        <v>45.800000000000004</v>
      </c>
      <c r="BH97" s="12">
        <f t="shared" si="19"/>
        <v>66.8</v>
      </c>
      <c r="BI97" s="12">
        <f t="shared" si="20"/>
        <v>32</v>
      </c>
    </row>
    <row r="98" spans="1:61" ht="15.75" customHeight="1">
      <c r="A98" s="1" t="s">
        <v>237</v>
      </c>
      <c r="B98" s="3" t="s">
        <v>240</v>
      </c>
      <c r="C98" s="4" t="s">
        <v>8</v>
      </c>
      <c r="D98" s="4">
        <v>39</v>
      </c>
      <c r="E98" s="4">
        <v>589</v>
      </c>
      <c r="F98" s="4">
        <v>39</v>
      </c>
      <c r="G98" s="4">
        <v>589</v>
      </c>
      <c r="H98" s="4">
        <v>8.6</v>
      </c>
      <c r="I98" s="4">
        <v>0.51100000000000001</v>
      </c>
      <c r="J98" s="4">
        <v>0.47199999999999998</v>
      </c>
      <c r="K98" s="4">
        <v>0.503</v>
      </c>
      <c r="L98" s="4">
        <v>0.17100000000000001</v>
      </c>
      <c r="M98" s="4">
        <v>3.1</v>
      </c>
      <c r="N98" s="4">
        <v>4.4000000000000004</v>
      </c>
      <c r="O98" s="4">
        <v>14.4</v>
      </c>
      <c r="P98" s="4">
        <v>1.5</v>
      </c>
      <c r="Q98" s="4">
        <v>0.7</v>
      </c>
      <c r="R98" s="4">
        <v>14.9</v>
      </c>
      <c r="S98" s="4">
        <v>17.600000000000001</v>
      </c>
      <c r="T98" s="4">
        <v>98</v>
      </c>
      <c r="U98" s="4">
        <v>116</v>
      </c>
      <c r="V98" s="4"/>
      <c r="W98" s="4">
        <v>-0.2</v>
      </c>
      <c r="X98" s="4">
        <v>0.2</v>
      </c>
      <c r="Y98" s="4">
        <v>0</v>
      </c>
      <c r="Z98" s="4">
        <v>1E-3</v>
      </c>
      <c r="AA98" s="13">
        <f>(I98/TOTAL_BASIC!$D$301)*100</f>
        <v>91.200977840522739</v>
      </c>
      <c r="AB98" s="5">
        <f t="shared" si="21"/>
        <v>0.98</v>
      </c>
      <c r="AC98" s="3">
        <f t="shared" si="1"/>
        <v>-18</v>
      </c>
      <c r="AD98" s="9">
        <f t="shared" si="22"/>
        <v>1.022</v>
      </c>
      <c r="AE98" s="16">
        <f t="shared" si="23"/>
        <v>0.81818181818181812</v>
      </c>
      <c r="AF98" s="16">
        <f t="shared" si="24"/>
        <v>0.96644295302013428</v>
      </c>
      <c r="AG98" s="9"/>
      <c r="AH98" s="9"/>
      <c r="AI98" s="12">
        <f t="shared" si="25"/>
        <v>64.600000000000009</v>
      </c>
      <c r="AJ98" s="12">
        <f t="shared" si="26"/>
        <v>47.5</v>
      </c>
      <c r="AK98" s="12">
        <f t="shared" si="26"/>
        <v>16</v>
      </c>
      <c r="AL98" s="12">
        <f t="shared" si="26"/>
        <v>28.1</v>
      </c>
      <c r="AM98" s="12">
        <f t="shared" si="26"/>
        <v>30.9</v>
      </c>
      <c r="AN98" s="12">
        <f t="shared" si="18"/>
        <v>70.7</v>
      </c>
      <c r="AO98" s="12">
        <f t="shared" si="18"/>
        <v>18.2</v>
      </c>
      <c r="AP98" s="12">
        <f t="shared" si="18"/>
        <v>35.299999999999997</v>
      </c>
      <c r="AQ98" s="12">
        <f t="shared" si="18"/>
        <v>7.7</v>
      </c>
      <c r="AR98" s="12">
        <f t="shared" si="29"/>
        <v>54.1</v>
      </c>
      <c r="AS98" s="12">
        <f t="shared" si="29"/>
        <v>34.200000000000003</v>
      </c>
      <c r="AT98" s="12">
        <f t="shared" si="29"/>
        <v>24.3</v>
      </c>
      <c r="AU98" s="12">
        <f t="shared" si="27"/>
        <v>47.599999999999994</v>
      </c>
      <c r="AV98" s="12">
        <f t="shared" si="30"/>
        <v>43.6</v>
      </c>
      <c r="AW98" s="12">
        <f t="shared" si="30"/>
        <v>19.3</v>
      </c>
      <c r="AX98" s="12">
        <f t="shared" si="28"/>
        <v>14.400000000000006</v>
      </c>
      <c r="AY98" s="9"/>
      <c r="AZ98" s="12">
        <f t="shared" si="31"/>
        <v>13.8</v>
      </c>
      <c r="BA98" s="12">
        <f t="shared" si="31"/>
        <v>17.599999999999998</v>
      </c>
      <c r="BB98" s="12">
        <f t="shared" si="31"/>
        <v>9.9</v>
      </c>
      <c r="BC98" s="12">
        <f t="shared" si="31"/>
        <v>11</v>
      </c>
      <c r="BD98" s="12">
        <f t="shared" si="32"/>
        <v>28.1</v>
      </c>
      <c r="BE98" s="12">
        <f t="shared" si="19"/>
        <v>19.3</v>
      </c>
      <c r="BF98" s="12">
        <f t="shared" si="19"/>
        <v>9.9</v>
      </c>
      <c r="BG98" s="12">
        <f t="shared" si="19"/>
        <v>28.1</v>
      </c>
      <c r="BH98" s="12">
        <f t="shared" si="19"/>
        <v>59.599999999999994</v>
      </c>
      <c r="BI98" s="12">
        <f t="shared" si="20"/>
        <v>46.400000000000006</v>
      </c>
    </row>
    <row r="99" spans="1:61" ht="15.75" customHeight="1">
      <c r="A99" s="1" t="s">
        <v>108</v>
      </c>
      <c r="B99" s="4" t="s">
        <v>84</v>
      </c>
      <c r="C99" s="4" t="s">
        <v>8</v>
      </c>
      <c r="D99" s="4">
        <v>39</v>
      </c>
      <c r="E99" s="4">
        <v>582</v>
      </c>
      <c r="F99" s="4">
        <v>39</v>
      </c>
      <c r="G99" s="4">
        <v>582</v>
      </c>
      <c r="H99" s="4">
        <v>14.8</v>
      </c>
      <c r="I99" s="4">
        <v>0.58599999999999997</v>
      </c>
      <c r="J99" s="4">
        <v>0.52900000000000003</v>
      </c>
      <c r="K99" s="4">
        <v>0.27100000000000002</v>
      </c>
      <c r="L99" s="4">
        <v>0.27700000000000002</v>
      </c>
      <c r="M99" s="4">
        <v>8.3000000000000007</v>
      </c>
      <c r="N99" s="4">
        <v>10.1</v>
      </c>
      <c r="O99" s="4">
        <v>13.4</v>
      </c>
      <c r="P99" s="4">
        <v>1.7</v>
      </c>
      <c r="Q99" s="4">
        <v>1.2</v>
      </c>
      <c r="R99" s="4">
        <v>11.2</v>
      </c>
      <c r="S99" s="4">
        <v>15</v>
      </c>
      <c r="T99" s="4">
        <v>123</v>
      </c>
      <c r="U99" s="4">
        <v>110</v>
      </c>
      <c r="V99" s="4"/>
      <c r="W99" s="4">
        <v>1.5</v>
      </c>
      <c r="X99" s="4">
        <v>0.7</v>
      </c>
      <c r="Y99" s="4">
        <v>2.1</v>
      </c>
      <c r="Z99" s="4">
        <v>0.14499999999999999</v>
      </c>
      <c r="AA99" s="13">
        <f>(I99/TOTAL_BASIC!$D$301)*100</f>
        <v>104.58663995018848</v>
      </c>
      <c r="AB99" s="5">
        <f t="shared" si="21"/>
        <v>1.23</v>
      </c>
      <c r="AC99" s="3">
        <f t="shared" si="1"/>
        <v>13</v>
      </c>
      <c r="AD99" s="9">
        <f t="shared" si="22"/>
        <v>1.1719999999999999</v>
      </c>
      <c r="AE99" s="16">
        <f t="shared" si="23"/>
        <v>0.89333333333333331</v>
      </c>
      <c r="AF99" s="16">
        <f t="shared" si="24"/>
        <v>1.1964285714285716</v>
      </c>
      <c r="AG99" s="9"/>
      <c r="AH99" s="9"/>
      <c r="AI99" s="12">
        <f t="shared" si="25"/>
        <v>64.600000000000009</v>
      </c>
      <c r="AJ99" s="12">
        <f t="shared" si="26"/>
        <v>46.9</v>
      </c>
      <c r="AK99" s="12">
        <f t="shared" si="26"/>
        <v>59.599999999999994</v>
      </c>
      <c r="AL99" s="12">
        <f t="shared" si="26"/>
        <v>69</v>
      </c>
      <c r="AM99" s="12">
        <f t="shared" si="26"/>
        <v>61.3</v>
      </c>
      <c r="AN99" s="12">
        <f t="shared" si="18"/>
        <v>25.4</v>
      </c>
      <c r="AO99" s="12">
        <f t="shared" si="18"/>
        <v>48.6</v>
      </c>
      <c r="AP99" s="12">
        <f t="shared" si="18"/>
        <v>79.5</v>
      </c>
      <c r="AQ99" s="12">
        <f t="shared" si="18"/>
        <v>59.599999999999994</v>
      </c>
      <c r="AR99" s="12">
        <f t="shared" si="29"/>
        <v>48.6</v>
      </c>
      <c r="AS99" s="12">
        <f t="shared" si="29"/>
        <v>44.1</v>
      </c>
      <c r="AT99" s="12">
        <f t="shared" si="29"/>
        <v>46.9</v>
      </c>
      <c r="AU99" s="12">
        <f t="shared" si="27"/>
        <v>80.2</v>
      </c>
      <c r="AV99" s="12">
        <f t="shared" si="30"/>
        <v>19.3</v>
      </c>
      <c r="AW99" s="12">
        <f t="shared" si="30"/>
        <v>90.600000000000009</v>
      </c>
      <c r="AX99" s="12">
        <f t="shared" si="28"/>
        <v>58.6</v>
      </c>
      <c r="AY99" s="9"/>
      <c r="AZ99" s="12">
        <f t="shared" si="31"/>
        <v>75.599999999999994</v>
      </c>
      <c r="BA99" s="12">
        <f t="shared" si="31"/>
        <v>54.1</v>
      </c>
      <c r="BB99" s="12">
        <f t="shared" si="31"/>
        <v>70.099999999999994</v>
      </c>
      <c r="BC99" s="12">
        <f t="shared" si="31"/>
        <v>80.600000000000009</v>
      </c>
      <c r="BD99" s="12">
        <f t="shared" si="32"/>
        <v>69</v>
      </c>
      <c r="BE99" s="12">
        <f t="shared" si="19"/>
        <v>90.600000000000009</v>
      </c>
      <c r="BF99" s="12">
        <f t="shared" si="19"/>
        <v>86.7</v>
      </c>
      <c r="BG99" s="12">
        <f t="shared" si="19"/>
        <v>69</v>
      </c>
      <c r="BH99" s="12">
        <f t="shared" si="19"/>
        <v>65.100000000000009</v>
      </c>
      <c r="BI99" s="12">
        <f t="shared" si="20"/>
        <v>66.2</v>
      </c>
    </row>
    <row r="100" spans="1:61" ht="15.75" customHeight="1">
      <c r="A100" s="1" t="s">
        <v>180</v>
      </c>
      <c r="B100" s="3" t="s">
        <v>161</v>
      </c>
      <c r="C100" s="4" t="s">
        <v>85</v>
      </c>
      <c r="D100" s="4">
        <v>24</v>
      </c>
      <c r="E100" s="4">
        <v>573</v>
      </c>
      <c r="F100" s="4">
        <v>24</v>
      </c>
      <c r="G100" s="4">
        <v>573</v>
      </c>
      <c r="H100" s="4">
        <v>19.8</v>
      </c>
      <c r="I100" s="4">
        <v>0.61199999999999999</v>
      </c>
      <c r="J100" s="4">
        <v>0.57599999999999996</v>
      </c>
      <c r="K100" s="4">
        <v>0.249</v>
      </c>
      <c r="L100" s="4">
        <v>0.4</v>
      </c>
      <c r="M100" s="4">
        <v>9.1</v>
      </c>
      <c r="N100" s="4">
        <v>13.3</v>
      </c>
      <c r="O100" s="4">
        <v>12.9</v>
      </c>
      <c r="P100" s="4">
        <v>2.1</v>
      </c>
      <c r="Q100" s="4">
        <v>3.4</v>
      </c>
      <c r="R100" s="4">
        <v>13.6</v>
      </c>
      <c r="S100" s="4">
        <v>21.5</v>
      </c>
      <c r="T100" s="4">
        <v>116</v>
      </c>
      <c r="U100" s="4">
        <v>115</v>
      </c>
      <c r="V100" s="4"/>
      <c r="W100" s="4">
        <v>1.3</v>
      </c>
      <c r="X100" s="4">
        <v>0.2</v>
      </c>
      <c r="Y100" s="4">
        <v>1.6</v>
      </c>
      <c r="Z100" s="4">
        <v>0.109</v>
      </c>
      <c r="AA100" s="13">
        <f>(I100/TOTAL_BASIC!$D$301)*100</f>
        <v>109.22700281487263</v>
      </c>
      <c r="AB100" s="5">
        <f t="shared" si="21"/>
        <v>1.1599999999999999</v>
      </c>
      <c r="AC100" s="3">
        <f t="shared" si="1"/>
        <v>1</v>
      </c>
      <c r="AD100" s="9">
        <f t="shared" si="22"/>
        <v>1.224</v>
      </c>
      <c r="AE100" s="16">
        <f t="shared" si="23"/>
        <v>0.6</v>
      </c>
      <c r="AF100" s="16">
        <f t="shared" si="24"/>
        <v>0.94852941176470595</v>
      </c>
      <c r="AG100" s="9"/>
      <c r="AH100" s="9"/>
      <c r="AI100" s="12">
        <f t="shared" si="25"/>
        <v>19.8</v>
      </c>
      <c r="AJ100" s="12">
        <f t="shared" si="26"/>
        <v>46.400000000000006</v>
      </c>
      <c r="AK100" s="12">
        <f t="shared" si="26"/>
        <v>84.5</v>
      </c>
      <c r="AL100" s="12">
        <f t="shared" si="26"/>
        <v>82.8</v>
      </c>
      <c r="AM100" s="12">
        <f t="shared" si="26"/>
        <v>86.1</v>
      </c>
      <c r="AN100" s="12">
        <f t="shared" si="18"/>
        <v>21.5</v>
      </c>
      <c r="AO100" s="12">
        <f t="shared" si="18"/>
        <v>76.2</v>
      </c>
      <c r="AP100" s="12">
        <f t="shared" si="18"/>
        <v>86.1</v>
      </c>
      <c r="AQ100" s="12">
        <f t="shared" si="18"/>
        <v>77.900000000000006</v>
      </c>
      <c r="AR100" s="12">
        <f t="shared" si="29"/>
        <v>47.5</v>
      </c>
      <c r="AS100" s="12">
        <f t="shared" si="29"/>
        <v>70.7</v>
      </c>
      <c r="AT100" s="12">
        <f t="shared" si="29"/>
        <v>82.8</v>
      </c>
      <c r="AU100" s="12">
        <f t="shared" si="27"/>
        <v>61.9</v>
      </c>
      <c r="AV100" s="12">
        <f t="shared" si="30"/>
        <v>69.599999999999994</v>
      </c>
      <c r="AW100" s="12">
        <f t="shared" si="30"/>
        <v>76.2</v>
      </c>
      <c r="AX100" s="12">
        <f t="shared" si="28"/>
        <v>19.399999999999991</v>
      </c>
      <c r="AY100" s="9"/>
      <c r="AZ100" s="12">
        <f t="shared" si="31"/>
        <v>74</v>
      </c>
      <c r="BA100" s="12">
        <f t="shared" si="31"/>
        <v>17.599999999999998</v>
      </c>
      <c r="BB100" s="12">
        <f t="shared" si="31"/>
        <v>63.5</v>
      </c>
      <c r="BC100" s="12">
        <f t="shared" si="31"/>
        <v>67.900000000000006</v>
      </c>
      <c r="BD100" s="12">
        <f t="shared" si="32"/>
        <v>82.8</v>
      </c>
      <c r="BE100" s="12">
        <f t="shared" si="19"/>
        <v>76.2</v>
      </c>
      <c r="BF100" s="12">
        <f t="shared" si="19"/>
        <v>61.8</v>
      </c>
      <c r="BG100" s="12">
        <f t="shared" si="19"/>
        <v>82.8</v>
      </c>
      <c r="BH100" s="12">
        <f t="shared" si="19"/>
        <v>34.799999999999997</v>
      </c>
      <c r="BI100" s="12">
        <f t="shared" si="20"/>
        <v>44.7</v>
      </c>
    </row>
    <row r="101" spans="1:61" ht="15.75" customHeight="1">
      <c r="A101" s="1" t="s">
        <v>134</v>
      </c>
      <c r="B101" s="3" t="s">
        <v>99</v>
      </c>
      <c r="C101" s="4" t="s">
        <v>85</v>
      </c>
      <c r="D101" s="4">
        <v>32</v>
      </c>
      <c r="E101" s="4">
        <v>572</v>
      </c>
      <c r="F101" s="4">
        <v>32</v>
      </c>
      <c r="G101" s="4">
        <v>572</v>
      </c>
      <c r="H101" s="4">
        <v>11.8</v>
      </c>
      <c r="I101" s="4">
        <v>0.53500000000000003</v>
      </c>
      <c r="J101" s="4">
        <v>0.51200000000000001</v>
      </c>
      <c r="K101" s="4">
        <v>0.42099999999999999</v>
      </c>
      <c r="L101" s="4">
        <v>0.22600000000000001</v>
      </c>
      <c r="M101" s="4">
        <v>7.5</v>
      </c>
      <c r="N101" s="4">
        <v>13</v>
      </c>
      <c r="O101" s="4">
        <v>8.3000000000000007</v>
      </c>
      <c r="P101" s="4">
        <v>2</v>
      </c>
      <c r="Q101" s="4">
        <v>2.4</v>
      </c>
      <c r="R101" s="4">
        <v>17.399999999999999</v>
      </c>
      <c r="S101" s="4">
        <v>17</v>
      </c>
      <c r="T101" s="4">
        <v>101</v>
      </c>
      <c r="U101" s="4">
        <v>106</v>
      </c>
      <c r="V101" s="4"/>
      <c r="W101" s="4">
        <v>0</v>
      </c>
      <c r="X101" s="4">
        <v>1</v>
      </c>
      <c r="Y101" s="4">
        <v>1</v>
      </c>
      <c r="Z101" s="4">
        <v>6.9000000000000006E-2</v>
      </c>
      <c r="AA101" s="13">
        <f>(I101/TOTAL_BASIC!$D$301)*100</f>
        <v>95.484389715615777</v>
      </c>
      <c r="AB101" s="5">
        <f t="shared" si="21"/>
        <v>1.01</v>
      </c>
      <c r="AC101" s="3">
        <f t="shared" ref="AC101:AC164" si="33">T101-U101</f>
        <v>-5</v>
      </c>
      <c r="AD101" s="9">
        <f t="shared" si="22"/>
        <v>1.07</v>
      </c>
      <c r="AE101" s="16">
        <f t="shared" si="23"/>
        <v>0.4882352941176471</v>
      </c>
      <c r="AF101" s="16">
        <f t="shared" si="24"/>
        <v>0.47701149425287365</v>
      </c>
      <c r="AG101" s="9"/>
      <c r="AH101" s="9"/>
      <c r="AI101" s="12">
        <f t="shared" si="25"/>
        <v>35.299999999999997</v>
      </c>
      <c r="AJ101" s="12">
        <f t="shared" si="26"/>
        <v>45.800000000000004</v>
      </c>
      <c r="AK101" s="12">
        <f t="shared" si="26"/>
        <v>41.9</v>
      </c>
      <c r="AL101" s="12">
        <f t="shared" si="26"/>
        <v>38.6</v>
      </c>
      <c r="AM101" s="12">
        <f t="shared" si="26"/>
        <v>51.9</v>
      </c>
      <c r="AN101" s="12">
        <f t="shared" si="18"/>
        <v>54.1</v>
      </c>
      <c r="AO101" s="12">
        <f t="shared" si="18"/>
        <v>33.1</v>
      </c>
      <c r="AP101" s="12">
        <f t="shared" si="18"/>
        <v>74</v>
      </c>
      <c r="AQ101" s="12">
        <f t="shared" si="18"/>
        <v>76.2</v>
      </c>
      <c r="AR101" s="12">
        <f t="shared" si="29"/>
        <v>19.3</v>
      </c>
      <c r="AS101" s="12">
        <f t="shared" si="29"/>
        <v>64.600000000000009</v>
      </c>
      <c r="AT101" s="12">
        <f t="shared" si="29"/>
        <v>71.8</v>
      </c>
      <c r="AU101" s="12">
        <f t="shared" si="27"/>
        <v>30.400000000000006</v>
      </c>
      <c r="AV101" s="12">
        <f t="shared" si="30"/>
        <v>34.200000000000003</v>
      </c>
      <c r="AW101" s="12">
        <f t="shared" si="30"/>
        <v>28.7</v>
      </c>
      <c r="AX101" s="12">
        <f t="shared" si="28"/>
        <v>82.9</v>
      </c>
      <c r="AY101" s="9"/>
      <c r="AZ101" s="12">
        <f t="shared" si="31"/>
        <v>24.8</v>
      </c>
      <c r="BA101" s="12">
        <f t="shared" si="31"/>
        <v>68.5</v>
      </c>
      <c r="BB101" s="12">
        <f t="shared" si="31"/>
        <v>50.2</v>
      </c>
      <c r="BC101" s="12">
        <f t="shared" si="31"/>
        <v>45.300000000000004</v>
      </c>
      <c r="BD101" s="12">
        <f t="shared" si="32"/>
        <v>38.6</v>
      </c>
      <c r="BE101" s="12">
        <f t="shared" si="19"/>
        <v>28.7</v>
      </c>
      <c r="BF101" s="12">
        <f t="shared" si="19"/>
        <v>43</v>
      </c>
      <c r="BG101" s="12">
        <f t="shared" si="19"/>
        <v>38.6</v>
      </c>
      <c r="BH101" s="12">
        <f t="shared" si="19"/>
        <v>18.7</v>
      </c>
      <c r="BI101" s="12">
        <f t="shared" si="20"/>
        <v>9.3000000000000007</v>
      </c>
    </row>
    <row r="102" spans="1:61" ht="15.75" customHeight="1">
      <c r="A102" s="1" t="s">
        <v>210</v>
      </c>
      <c r="B102" s="3" t="s">
        <v>96</v>
      </c>
      <c r="C102" s="4" t="s">
        <v>8</v>
      </c>
      <c r="D102" s="4">
        <v>41</v>
      </c>
      <c r="E102" s="4">
        <v>571</v>
      </c>
      <c r="F102" s="4">
        <v>41</v>
      </c>
      <c r="G102" s="4">
        <v>571</v>
      </c>
      <c r="H102" s="4">
        <v>10.6</v>
      </c>
      <c r="I102" s="4">
        <v>0.5</v>
      </c>
      <c r="J102" s="4">
        <v>0.46700000000000003</v>
      </c>
      <c r="K102" s="4">
        <v>0.503</v>
      </c>
      <c r="L102" s="4">
        <v>0.17599999999999999</v>
      </c>
      <c r="M102" s="4">
        <v>7.2</v>
      </c>
      <c r="N102" s="4">
        <v>9.6</v>
      </c>
      <c r="O102" s="4">
        <v>10.1</v>
      </c>
      <c r="P102" s="4">
        <v>2.2999999999999998</v>
      </c>
      <c r="Q102" s="4">
        <v>1.2</v>
      </c>
      <c r="R102" s="4">
        <v>14.5</v>
      </c>
      <c r="S102" s="4">
        <v>14.9</v>
      </c>
      <c r="T102" s="4">
        <v>106</v>
      </c>
      <c r="U102" s="4">
        <v>107</v>
      </c>
      <c r="V102" s="4"/>
      <c r="W102" s="4">
        <v>0.3</v>
      </c>
      <c r="X102" s="4">
        <v>0.9</v>
      </c>
      <c r="Y102" s="4">
        <v>1.2</v>
      </c>
      <c r="Z102" s="4">
        <v>8.4000000000000005E-2</v>
      </c>
      <c r="AA102" s="13">
        <f>(I102/TOTAL_BASIC!$D$301)*100</f>
        <v>89.237747397771756</v>
      </c>
      <c r="AB102" s="5">
        <f t="shared" si="21"/>
        <v>1.06</v>
      </c>
      <c r="AC102" s="3">
        <f t="shared" si="33"/>
        <v>-1</v>
      </c>
      <c r="AD102" s="9">
        <f t="shared" si="22"/>
        <v>1</v>
      </c>
      <c r="AE102" s="16">
        <f t="shared" si="23"/>
        <v>0.6778523489932885</v>
      </c>
      <c r="AF102" s="16">
        <f t="shared" si="24"/>
        <v>0.69655172413793098</v>
      </c>
      <c r="AG102" s="9"/>
      <c r="AH102" s="9"/>
      <c r="AI102" s="12">
        <f t="shared" si="25"/>
        <v>85.6</v>
      </c>
      <c r="AJ102" s="12">
        <f t="shared" si="26"/>
        <v>45.300000000000004</v>
      </c>
      <c r="AK102" s="12">
        <f t="shared" si="26"/>
        <v>33.1</v>
      </c>
      <c r="AL102" s="12">
        <f t="shared" si="26"/>
        <v>20.9</v>
      </c>
      <c r="AM102" s="12">
        <f t="shared" si="26"/>
        <v>27.6</v>
      </c>
      <c r="AN102" s="12">
        <f t="shared" si="18"/>
        <v>70.7</v>
      </c>
      <c r="AO102" s="12">
        <f t="shared" si="18"/>
        <v>19.8</v>
      </c>
      <c r="AP102" s="12">
        <f t="shared" si="18"/>
        <v>72.3</v>
      </c>
      <c r="AQ102" s="12">
        <f t="shared" si="18"/>
        <v>55.800000000000004</v>
      </c>
      <c r="AR102" s="12">
        <f t="shared" si="29"/>
        <v>27.6</v>
      </c>
      <c r="AS102" s="12">
        <f t="shared" si="29"/>
        <v>77.900000000000006</v>
      </c>
      <c r="AT102" s="12">
        <f t="shared" si="29"/>
        <v>46.9</v>
      </c>
      <c r="AU102" s="12">
        <f t="shared" si="27"/>
        <v>52.5</v>
      </c>
      <c r="AV102" s="12">
        <f t="shared" si="30"/>
        <v>18.7</v>
      </c>
      <c r="AW102" s="12">
        <f t="shared" si="30"/>
        <v>44.7</v>
      </c>
      <c r="AX102" s="12">
        <f t="shared" si="28"/>
        <v>77.400000000000006</v>
      </c>
      <c r="AY102" s="9"/>
      <c r="AZ102" s="12">
        <f t="shared" si="31"/>
        <v>43</v>
      </c>
      <c r="BA102" s="12">
        <f t="shared" si="31"/>
        <v>62.9</v>
      </c>
      <c r="BB102" s="12">
        <f t="shared" si="31"/>
        <v>56.3</v>
      </c>
      <c r="BC102" s="12">
        <f t="shared" si="31"/>
        <v>56.899999999999991</v>
      </c>
      <c r="BD102" s="12">
        <f t="shared" si="32"/>
        <v>20.9</v>
      </c>
      <c r="BE102" s="12">
        <f t="shared" si="19"/>
        <v>44.7</v>
      </c>
      <c r="BF102" s="12">
        <f t="shared" si="19"/>
        <v>57.999999999999993</v>
      </c>
      <c r="BG102" s="12">
        <f t="shared" si="19"/>
        <v>20.9</v>
      </c>
      <c r="BH102" s="12">
        <f t="shared" si="19"/>
        <v>44.7</v>
      </c>
      <c r="BI102" s="12">
        <f t="shared" si="20"/>
        <v>25.900000000000002</v>
      </c>
    </row>
    <row r="103" spans="1:61" ht="15.75" customHeight="1">
      <c r="A103" s="1" t="s">
        <v>162</v>
      </c>
      <c r="B103" s="3" t="s">
        <v>84</v>
      </c>
      <c r="C103" s="4" t="s">
        <v>88</v>
      </c>
      <c r="D103" s="4">
        <v>41</v>
      </c>
      <c r="E103" s="4">
        <v>565</v>
      </c>
      <c r="F103" s="4">
        <v>41</v>
      </c>
      <c r="G103" s="4">
        <v>565</v>
      </c>
      <c r="H103" s="4">
        <v>18.3</v>
      </c>
      <c r="I103" s="4">
        <v>0.622</v>
      </c>
      <c r="J103" s="4">
        <v>0.59599999999999997</v>
      </c>
      <c r="K103" s="4">
        <v>0.45300000000000001</v>
      </c>
      <c r="L103" s="4">
        <v>0.17199999999999999</v>
      </c>
      <c r="M103" s="4">
        <v>7</v>
      </c>
      <c r="N103" s="4">
        <v>11.1</v>
      </c>
      <c r="O103" s="4">
        <v>8.3000000000000007</v>
      </c>
      <c r="P103" s="4">
        <v>1.2</v>
      </c>
      <c r="Q103" s="4">
        <v>4.0999999999999996</v>
      </c>
      <c r="R103" s="4">
        <v>8.4</v>
      </c>
      <c r="S103" s="4">
        <v>17.8</v>
      </c>
      <c r="T103" s="4">
        <v>123</v>
      </c>
      <c r="U103" s="4">
        <v>109</v>
      </c>
      <c r="V103" s="4"/>
      <c r="W103" s="4">
        <v>1.5</v>
      </c>
      <c r="X103" s="4">
        <v>0.7</v>
      </c>
      <c r="Y103" s="4">
        <v>2.2999999999999998</v>
      </c>
      <c r="Z103" s="4">
        <v>0.16</v>
      </c>
      <c r="AA103" s="13">
        <f>(I103/TOTAL_BASIC!$D$301)*100</f>
        <v>111.01175776282805</v>
      </c>
      <c r="AB103" s="5">
        <f t="shared" si="21"/>
        <v>1.23</v>
      </c>
      <c r="AC103" s="3">
        <f t="shared" si="33"/>
        <v>14</v>
      </c>
      <c r="AD103" s="9">
        <f t="shared" si="22"/>
        <v>1.244</v>
      </c>
      <c r="AE103" s="16">
        <f t="shared" si="23"/>
        <v>0.4662921348314607</v>
      </c>
      <c r="AF103" s="16">
        <f t="shared" si="24"/>
        <v>0.98809523809523814</v>
      </c>
      <c r="AG103" s="9"/>
      <c r="AH103" s="9"/>
      <c r="AI103" s="12">
        <f t="shared" si="25"/>
        <v>85.6</v>
      </c>
      <c r="AJ103" s="12">
        <f t="shared" si="26"/>
        <v>44.7</v>
      </c>
      <c r="AK103" s="12">
        <f t="shared" si="26"/>
        <v>77.900000000000006</v>
      </c>
      <c r="AL103" s="12">
        <f t="shared" si="26"/>
        <v>88.9</v>
      </c>
      <c r="AM103" s="12">
        <f t="shared" si="26"/>
        <v>92.2</v>
      </c>
      <c r="AN103" s="12">
        <f t="shared" si="18"/>
        <v>59.599999999999994</v>
      </c>
      <c r="AO103" s="12">
        <f t="shared" si="18"/>
        <v>18.7</v>
      </c>
      <c r="AP103" s="12">
        <f t="shared" si="18"/>
        <v>71.2</v>
      </c>
      <c r="AQ103" s="12">
        <f t="shared" si="18"/>
        <v>65.100000000000009</v>
      </c>
      <c r="AR103" s="12">
        <f t="shared" si="29"/>
        <v>19.3</v>
      </c>
      <c r="AS103" s="12">
        <f t="shared" si="29"/>
        <v>19.8</v>
      </c>
      <c r="AT103" s="12">
        <f t="shared" si="29"/>
        <v>88.9</v>
      </c>
      <c r="AU103" s="12">
        <f t="shared" si="27"/>
        <v>92.9</v>
      </c>
      <c r="AV103" s="12">
        <f t="shared" si="30"/>
        <v>45.300000000000004</v>
      </c>
      <c r="AW103" s="12">
        <f t="shared" si="30"/>
        <v>90.600000000000009</v>
      </c>
      <c r="AX103" s="12">
        <f t="shared" si="28"/>
        <v>64.7</v>
      </c>
      <c r="AY103" s="9"/>
      <c r="AZ103" s="12">
        <f t="shared" si="31"/>
        <v>75.599999999999994</v>
      </c>
      <c r="BA103" s="12">
        <f t="shared" si="31"/>
        <v>54.1</v>
      </c>
      <c r="BB103" s="12">
        <f t="shared" si="31"/>
        <v>73.400000000000006</v>
      </c>
      <c r="BC103" s="12">
        <f t="shared" si="31"/>
        <v>83.899999999999991</v>
      </c>
      <c r="BD103" s="12">
        <f t="shared" si="32"/>
        <v>88.9</v>
      </c>
      <c r="BE103" s="12">
        <f t="shared" si="19"/>
        <v>90.600000000000009</v>
      </c>
      <c r="BF103" s="12">
        <f t="shared" si="19"/>
        <v>89.5</v>
      </c>
      <c r="BG103" s="12">
        <f t="shared" si="19"/>
        <v>88.9</v>
      </c>
      <c r="BH103" s="12">
        <f t="shared" si="19"/>
        <v>16</v>
      </c>
      <c r="BI103" s="12">
        <f t="shared" si="20"/>
        <v>48</v>
      </c>
    </row>
    <row r="104" spans="1:61" ht="15.75" customHeight="1">
      <c r="A104" s="1" t="s">
        <v>203</v>
      </c>
      <c r="B104" s="3" t="s">
        <v>232</v>
      </c>
      <c r="C104" s="4" t="s">
        <v>119</v>
      </c>
      <c r="D104" s="4">
        <v>37</v>
      </c>
      <c r="E104" s="4">
        <v>563</v>
      </c>
      <c r="F104" s="4">
        <v>37</v>
      </c>
      <c r="G104" s="4">
        <v>563</v>
      </c>
      <c r="H104" s="4">
        <v>11.8</v>
      </c>
      <c r="I104" s="4">
        <v>0.57499999999999996</v>
      </c>
      <c r="J104" s="4">
        <v>0.52700000000000002</v>
      </c>
      <c r="K104" s="4">
        <v>0.497</v>
      </c>
      <c r="L104" s="4">
        <v>0.249</v>
      </c>
      <c r="M104" s="4">
        <v>5.8</v>
      </c>
      <c r="N104" s="4">
        <v>8.8000000000000007</v>
      </c>
      <c r="O104" s="4">
        <v>8.1</v>
      </c>
      <c r="P104" s="4">
        <v>1.2</v>
      </c>
      <c r="Q104" s="4">
        <v>0.3</v>
      </c>
      <c r="R104" s="4">
        <v>13.9</v>
      </c>
      <c r="S104" s="4">
        <v>19</v>
      </c>
      <c r="T104" s="4">
        <v>108</v>
      </c>
      <c r="U104" s="4">
        <v>118</v>
      </c>
      <c r="V104" s="4"/>
      <c r="W104" s="4">
        <v>0.6</v>
      </c>
      <c r="X104" s="4">
        <v>0</v>
      </c>
      <c r="Y104" s="4">
        <v>0.6</v>
      </c>
      <c r="Z104" s="4">
        <v>0.04</v>
      </c>
      <c r="AA104" s="13">
        <f>(I104/TOTAL_BASIC!$D$301)*100</f>
        <v>102.62340950743751</v>
      </c>
      <c r="AB104" s="5">
        <f t="shared" si="21"/>
        <v>1.08</v>
      </c>
      <c r="AC104" s="3">
        <f t="shared" si="33"/>
        <v>-10</v>
      </c>
      <c r="AD104" s="9">
        <f t="shared" si="22"/>
        <v>1.1499999999999999</v>
      </c>
      <c r="AE104" s="16">
        <f t="shared" si="23"/>
        <v>0.4263157894736842</v>
      </c>
      <c r="AF104" s="16">
        <f t="shared" si="24"/>
        <v>0.58273381294964022</v>
      </c>
      <c r="AG104" s="9"/>
      <c r="AH104" s="9"/>
      <c r="AI104" s="12">
        <f t="shared" si="25"/>
        <v>51.300000000000004</v>
      </c>
      <c r="AJ104" s="12">
        <f t="shared" si="26"/>
        <v>44.1</v>
      </c>
      <c r="AK104" s="12">
        <f t="shared" si="26"/>
        <v>41.9</v>
      </c>
      <c r="AL104" s="12">
        <f t="shared" si="26"/>
        <v>62.9</v>
      </c>
      <c r="AM104" s="12">
        <f t="shared" si="26"/>
        <v>59.599999999999994</v>
      </c>
      <c r="AN104" s="12">
        <f t="shared" si="18"/>
        <v>68.5</v>
      </c>
      <c r="AO104" s="12">
        <f t="shared" si="18"/>
        <v>39.200000000000003</v>
      </c>
      <c r="AP104" s="12">
        <f t="shared" si="18"/>
        <v>62.9</v>
      </c>
      <c r="AQ104" s="12">
        <f t="shared" si="18"/>
        <v>48</v>
      </c>
      <c r="AR104" s="12">
        <f t="shared" si="29"/>
        <v>17.100000000000001</v>
      </c>
      <c r="AS104" s="12">
        <f t="shared" si="29"/>
        <v>19.8</v>
      </c>
      <c r="AT104" s="12">
        <f t="shared" si="29"/>
        <v>10.4</v>
      </c>
      <c r="AU104" s="12">
        <f t="shared" si="27"/>
        <v>59.2</v>
      </c>
      <c r="AV104" s="12">
        <f t="shared" si="30"/>
        <v>55.800000000000004</v>
      </c>
      <c r="AW104" s="12">
        <f t="shared" si="30"/>
        <v>54.1</v>
      </c>
      <c r="AX104" s="12">
        <f t="shared" si="28"/>
        <v>6.6999999999999886</v>
      </c>
      <c r="AY104" s="9"/>
      <c r="AZ104" s="12">
        <f t="shared" si="31"/>
        <v>56.3</v>
      </c>
      <c r="BA104" s="12">
        <f t="shared" si="31"/>
        <v>4.3999999999999995</v>
      </c>
      <c r="BB104" s="12">
        <f t="shared" si="31"/>
        <v>33.1</v>
      </c>
      <c r="BC104" s="12">
        <f t="shared" si="31"/>
        <v>30.3</v>
      </c>
      <c r="BD104" s="12">
        <f t="shared" si="32"/>
        <v>62.9</v>
      </c>
      <c r="BE104" s="12">
        <f t="shared" si="19"/>
        <v>54.1</v>
      </c>
      <c r="BF104" s="12">
        <f t="shared" si="19"/>
        <v>30.3</v>
      </c>
      <c r="BG104" s="12">
        <f t="shared" si="19"/>
        <v>62.9</v>
      </c>
      <c r="BH104" s="12">
        <f t="shared" si="19"/>
        <v>11</v>
      </c>
      <c r="BI104" s="12">
        <f t="shared" si="20"/>
        <v>17.100000000000001</v>
      </c>
    </row>
    <row r="105" spans="1:61" ht="15.75" customHeight="1">
      <c r="A105" s="1" t="s">
        <v>147</v>
      </c>
      <c r="B105" s="3" t="s">
        <v>131</v>
      </c>
      <c r="C105" s="4" t="s">
        <v>8</v>
      </c>
      <c r="D105" s="4">
        <v>19</v>
      </c>
      <c r="E105" s="4">
        <v>553</v>
      </c>
      <c r="F105" s="4">
        <v>19</v>
      </c>
      <c r="G105" s="4">
        <v>553</v>
      </c>
      <c r="H105" s="4">
        <v>15.6</v>
      </c>
      <c r="I105" s="4">
        <v>0.51500000000000001</v>
      </c>
      <c r="J105" s="4">
        <v>0.45</v>
      </c>
      <c r="K105" s="4">
        <v>0.30599999999999999</v>
      </c>
      <c r="L105" s="4">
        <v>0.40100000000000002</v>
      </c>
      <c r="M105" s="4">
        <v>2.6</v>
      </c>
      <c r="N105" s="4">
        <v>6.2</v>
      </c>
      <c r="O105" s="4">
        <v>27.7</v>
      </c>
      <c r="P105" s="4">
        <v>1.6</v>
      </c>
      <c r="Q105" s="4">
        <v>1.7</v>
      </c>
      <c r="R105" s="4">
        <v>11.2</v>
      </c>
      <c r="S105" s="4">
        <v>23.1</v>
      </c>
      <c r="T105" s="4">
        <v>107</v>
      </c>
      <c r="U105" s="4">
        <v>112</v>
      </c>
      <c r="V105" s="4"/>
      <c r="W105" s="4">
        <v>0.6</v>
      </c>
      <c r="X105" s="4">
        <v>0.5</v>
      </c>
      <c r="Y105" s="4">
        <v>1</v>
      </c>
      <c r="Z105" s="4">
        <v>7.4999999999999997E-2</v>
      </c>
      <c r="AA105" s="13">
        <f>(I105/TOTAL_BASIC!$D$301)*100</f>
        <v>91.914879819704908</v>
      </c>
      <c r="AB105" s="5">
        <f t="shared" si="21"/>
        <v>1.07</v>
      </c>
      <c r="AC105" s="3">
        <f t="shared" si="33"/>
        <v>-5</v>
      </c>
      <c r="AD105" s="9">
        <f t="shared" si="22"/>
        <v>1.03</v>
      </c>
      <c r="AE105" s="16">
        <f t="shared" si="23"/>
        <v>1.1991341991341991</v>
      </c>
      <c r="AF105" s="16">
        <f t="shared" si="24"/>
        <v>2.4732142857142856</v>
      </c>
      <c r="AG105" s="9"/>
      <c r="AH105" s="9"/>
      <c r="AI105" s="12">
        <f t="shared" si="25"/>
        <v>14.899999999999999</v>
      </c>
      <c r="AJ105" s="12">
        <f t="shared" si="26"/>
        <v>43.6</v>
      </c>
      <c r="AK105" s="12">
        <f t="shared" si="26"/>
        <v>64.600000000000009</v>
      </c>
      <c r="AL105" s="12">
        <f t="shared" si="26"/>
        <v>30.9</v>
      </c>
      <c r="AM105" s="12">
        <f t="shared" si="26"/>
        <v>18.2</v>
      </c>
      <c r="AN105" s="12">
        <f t="shared" si="18"/>
        <v>30.9</v>
      </c>
      <c r="AO105" s="12">
        <f t="shared" si="18"/>
        <v>76.7</v>
      </c>
      <c r="AP105" s="12">
        <f t="shared" si="18"/>
        <v>28.7</v>
      </c>
      <c r="AQ105" s="12">
        <f t="shared" si="18"/>
        <v>22.6</v>
      </c>
      <c r="AR105" s="12">
        <f t="shared" si="29"/>
        <v>90</v>
      </c>
      <c r="AS105" s="12">
        <f t="shared" si="29"/>
        <v>40.300000000000004</v>
      </c>
      <c r="AT105" s="12">
        <f t="shared" si="29"/>
        <v>62.4</v>
      </c>
      <c r="AU105" s="12">
        <f t="shared" si="27"/>
        <v>80.2</v>
      </c>
      <c r="AV105" s="12">
        <f t="shared" si="30"/>
        <v>76.2</v>
      </c>
      <c r="AW105" s="12">
        <f t="shared" si="30"/>
        <v>50.2</v>
      </c>
      <c r="AX105" s="12">
        <f t="shared" si="28"/>
        <v>38.700000000000003</v>
      </c>
      <c r="AY105" s="9"/>
      <c r="AZ105" s="12">
        <f t="shared" si="31"/>
        <v>56.3</v>
      </c>
      <c r="BA105" s="12">
        <f t="shared" si="31"/>
        <v>39.700000000000003</v>
      </c>
      <c r="BB105" s="12">
        <f t="shared" si="31"/>
        <v>50.2</v>
      </c>
      <c r="BC105" s="12">
        <f t="shared" si="31"/>
        <v>51.300000000000004</v>
      </c>
      <c r="BD105" s="12">
        <f t="shared" si="32"/>
        <v>30.9</v>
      </c>
      <c r="BE105" s="12">
        <f t="shared" si="19"/>
        <v>50.2</v>
      </c>
      <c r="BF105" s="12">
        <f t="shared" si="19"/>
        <v>43</v>
      </c>
      <c r="BG105" s="12">
        <f t="shared" si="19"/>
        <v>30.9</v>
      </c>
      <c r="BH105" s="12">
        <f t="shared" si="19"/>
        <v>84.5</v>
      </c>
      <c r="BI105" s="12">
        <f t="shared" si="20"/>
        <v>98.8</v>
      </c>
    </row>
    <row r="106" spans="1:61" ht="15.75" customHeight="1">
      <c r="A106" s="1" t="s">
        <v>196</v>
      </c>
      <c r="B106" s="3" t="s">
        <v>99</v>
      </c>
      <c r="C106" s="4" t="s">
        <v>85</v>
      </c>
      <c r="D106" s="4">
        <v>38</v>
      </c>
      <c r="E106" s="4">
        <v>550</v>
      </c>
      <c r="F106" s="4">
        <v>38</v>
      </c>
      <c r="G106" s="4">
        <v>550</v>
      </c>
      <c r="H106" s="4">
        <v>17.5</v>
      </c>
      <c r="I106" s="4">
        <v>0.58099999999999996</v>
      </c>
      <c r="J106" s="4">
        <v>0.55800000000000005</v>
      </c>
      <c r="K106" s="4">
        <v>0.377</v>
      </c>
      <c r="L106" s="4">
        <v>0.13600000000000001</v>
      </c>
      <c r="M106" s="4">
        <v>7.2</v>
      </c>
      <c r="N106" s="4">
        <v>11.1</v>
      </c>
      <c r="O106" s="4">
        <v>9.5</v>
      </c>
      <c r="P106" s="4">
        <v>1.5</v>
      </c>
      <c r="Q106" s="4">
        <v>2.4</v>
      </c>
      <c r="R106" s="4">
        <v>4.5</v>
      </c>
      <c r="S106" s="4">
        <v>17.899999999999999</v>
      </c>
      <c r="T106" s="4">
        <v>123</v>
      </c>
      <c r="U106" s="4">
        <v>108</v>
      </c>
      <c r="V106" s="4"/>
      <c r="W106" s="4">
        <v>1.5</v>
      </c>
      <c r="X106" s="4">
        <v>0.8</v>
      </c>
      <c r="Y106" s="4">
        <v>2.2999999999999998</v>
      </c>
      <c r="Z106" s="4">
        <v>0.16500000000000001</v>
      </c>
      <c r="AA106" s="13">
        <f>(I106/TOTAL_BASIC!$D$301)*100</f>
        <v>103.69426247621077</v>
      </c>
      <c r="AB106" s="5">
        <f t="shared" si="21"/>
        <v>1.23</v>
      </c>
      <c r="AC106" s="3">
        <f t="shared" si="33"/>
        <v>15</v>
      </c>
      <c r="AD106" s="9">
        <f t="shared" si="22"/>
        <v>1.1619999999999999</v>
      </c>
      <c r="AE106" s="16">
        <f t="shared" si="23"/>
        <v>0.53072625698324027</v>
      </c>
      <c r="AF106" s="16">
        <f t="shared" si="24"/>
        <v>2.1111111111111112</v>
      </c>
      <c r="AG106" s="9"/>
      <c r="AH106" s="9"/>
      <c r="AI106" s="12">
        <f t="shared" si="25"/>
        <v>59.599999999999994</v>
      </c>
      <c r="AJ106" s="12">
        <f t="shared" si="26"/>
        <v>43</v>
      </c>
      <c r="AK106" s="12">
        <f t="shared" si="26"/>
        <v>75.599999999999994</v>
      </c>
      <c r="AL106" s="12">
        <f t="shared" si="26"/>
        <v>67.900000000000006</v>
      </c>
      <c r="AM106" s="12">
        <f t="shared" si="26"/>
        <v>76.2</v>
      </c>
      <c r="AN106" s="12">
        <f t="shared" si="18"/>
        <v>43</v>
      </c>
      <c r="AO106" s="12">
        <f t="shared" si="18"/>
        <v>11.600000000000001</v>
      </c>
      <c r="AP106" s="12">
        <f t="shared" si="18"/>
        <v>72.3</v>
      </c>
      <c r="AQ106" s="12">
        <f t="shared" si="18"/>
        <v>65.100000000000009</v>
      </c>
      <c r="AR106" s="12">
        <f t="shared" si="29"/>
        <v>25.4</v>
      </c>
      <c r="AS106" s="12">
        <f t="shared" si="29"/>
        <v>34.200000000000003</v>
      </c>
      <c r="AT106" s="12">
        <f t="shared" si="29"/>
        <v>71.8</v>
      </c>
      <c r="AU106" s="12">
        <f t="shared" si="27"/>
        <v>100</v>
      </c>
      <c r="AV106" s="12">
        <f t="shared" si="30"/>
        <v>45.800000000000004</v>
      </c>
      <c r="AW106" s="12">
        <f t="shared" si="30"/>
        <v>90.600000000000009</v>
      </c>
      <c r="AX106" s="12">
        <f t="shared" si="28"/>
        <v>71.3</v>
      </c>
      <c r="AY106" s="9"/>
      <c r="AZ106" s="12">
        <f t="shared" si="31"/>
        <v>75.599999999999994</v>
      </c>
      <c r="BA106" s="12">
        <f t="shared" si="31"/>
        <v>58.5</v>
      </c>
      <c r="BB106" s="12">
        <f t="shared" si="31"/>
        <v>73.400000000000006</v>
      </c>
      <c r="BC106" s="12">
        <f t="shared" si="31"/>
        <v>85.6</v>
      </c>
      <c r="BD106" s="12">
        <f t="shared" si="32"/>
        <v>67.900000000000006</v>
      </c>
      <c r="BE106" s="12">
        <f t="shared" si="19"/>
        <v>90.600000000000009</v>
      </c>
      <c r="BF106" s="12">
        <f t="shared" si="19"/>
        <v>90.600000000000009</v>
      </c>
      <c r="BG106" s="12">
        <f t="shared" si="19"/>
        <v>67.900000000000006</v>
      </c>
      <c r="BH106" s="12">
        <f t="shared" si="19"/>
        <v>23.7</v>
      </c>
      <c r="BI106" s="12">
        <f t="shared" si="20"/>
        <v>94.399999999999991</v>
      </c>
    </row>
    <row r="107" spans="1:61" ht="15.75" customHeight="1">
      <c r="A107" s="1" t="s">
        <v>231</v>
      </c>
      <c r="B107" s="3" t="s">
        <v>107</v>
      </c>
      <c r="C107" s="4" t="s">
        <v>85</v>
      </c>
      <c r="D107" s="4">
        <v>27</v>
      </c>
      <c r="E107" s="4">
        <v>544</v>
      </c>
      <c r="F107" s="4">
        <v>27</v>
      </c>
      <c r="G107" s="4">
        <v>544</v>
      </c>
      <c r="H107" s="4">
        <v>17.2</v>
      </c>
      <c r="I107" s="4">
        <v>0.58799999999999997</v>
      </c>
      <c r="J107" s="4">
        <v>0.54600000000000004</v>
      </c>
      <c r="K107" s="4">
        <v>6.5000000000000002E-2</v>
      </c>
      <c r="L107" s="4">
        <v>0.375</v>
      </c>
      <c r="M107" s="4">
        <v>7.6</v>
      </c>
      <c r="N107" s="4">
        <v>13.1</v>
      </c>
      <c r="O107" s="4">
        <v>9</v>
      </c>
      <c r="P107" s="4">
        <v>1.8</v>
      </c>
      <c r="Q107" s="4">
        <v>1.6</v>
      </c>
      <c r="R107" s="4">
        <v>14.6</v>
      </c>
      <c r="S107" s="4">
        <v>23.8</v>
      </c>
      <c r="T107" s="4">
        <v>106</v>
      </c>
      <c r="U107" s="4">
        <v>111</v>
      </c>
      <c r="V107" s="4"/>
      <c r="W107" s="4">
        <v>0.5</v>
      </c>
      <c r="X107" s="4">
        <v>0.5</v>
      </c>
      <c r="Y107" s="4">
        <v>1</v>
      </c>
      <c r="Z107" s="4">
        <v>7.5999999999999998E-2</v>
      </c>
      <c r="AA107" s="13">
        <f>(I107/TOTAL_BASIC!$D$301)*100</f>
        <v>104.94359093977958</v>
      </c>
      <c r="AB107" s="5">
        <f t="shared" si="21"/>
        <v>1.06</v>
      </c>
      <c r="AC107" s="3">
        <f t="shared" si="33"/>
        <v>-5</v>
      </c>
      <c r="AD107" s="9">
        <f t="shared" si="22"/>
        <v>1.1759999999999999</v>
      </c>
      <c r="AE107" s="16">
        <f t="shared" si="23"/>
        <v>0.37815126050420167</v>
      </c>
      <c r="AF107" s="16">
        <f t="shared" si="24"/>
        <v>0.61643835616438358</v>
      </c>
      <c r="AG107" s="9"/>
      <c r="AH107" s="9"/>
      <c r="AI107" s="12">
        <f t="shared" si="25"/>
        <v>24.8</v>
      </c>
      <c r="AJ107" s="12">
        <f t="shared" si="26"/>
        <v>41.9</v>
      </c>
      <c r="AK107" s="12">
        <f t="shared" si="26"/>
        <v>74.5</v>
      </c>
      <c r="AL107" s="12">
        <f t="shared" si="26"/>
        <v>71.2</v>
      </c>
      <c r="AM107" s="12">
        <f t="shared" si="26"/>
        <v>70.099999999999994</v>
      </c>
      <c r="AN107" s="12">
        <f t="shared" si="18"/>
        <v>8.7999999999999989</v>
      </c>
      <c r="AO107" s="12">
        <f t="shared" si="18"/>
        <v>73.400000000000006</v>
      </c>
      <c r="AP107" s="12">
        <f t="shared" si="18"/>
        <v>75.099999999999994</v>
      </c>
      <c r="AQ107" s="12">
        <f t="shared" si="18"/>
        <v>76.7</v>
      </c>
      <c r="AR107" s="12">
        <f t="shared" si="29"/>
        <v>23.7</v>
      </c>
      <c r="AS107" s="12">
        <f t="shared" si="29"/>
        <v>51.300000000000004</v>
      </c>
      <c r="AT107" s="12">
        <f t="shared" si="29"/>
        <v>60.199999999999996</v>
      </c>
      <c r="AU107" s="12">
        <f t="shared" si="27"/>
        <v>50.9</v>
      </c>
      <c r="AV107" s="12">
        <f t="shared" si="30"/>
        <v>79.5</v>
      </c>
      <c r="AW107" s="12">
        <f t="shared" si="30"/>
        <v>44.7</v>
      </c>
      <c r="AX107" s="12">
        <f t="shared" si="28"/>
        <v>48.699999999999996</v>
      </c>
      <c r="AY107" s="9"/>
      <c r="AZ107" s="12">
        <f t="shared" si="31"/>
        <v>52.400000000000006</v>
      </c>
      <c r="BA107" s="12">
        <f t="shared" si="31"/>
        <v>39.700000000000003</v>
      </c>
      <c r="BB107" s="12">
        <f t="shared" si="31"/>
        <v>50.2</v>
      </c>
      <c r="BC107" s="12">
        <f t="shared" si="31"/>
        <v>52.400000000000006</v>
      </c>
      <c r="BD107" s="12">
        <f t="shared" si="32"/>
        <v>71.2</v>
      </c>
      <c r="BE107" s="12">
        <f t="shared" si="19"/>
        <v>44.7</v>
      </c>
      <c r="BF107" s="12">
        <f t="shared" si="19"/>
        <v>43</v>
      </c>
      <c r="BG107" s="12">
        <f t="shared" si="19"/>
        <v>71.2</v>
      </c>
      <c r="BH107" s="12">
        <f t="shared" si="19"/>
        <v>5.5</v>
      </c>
      <c r="BI107" s="12">
        <f t="shared" si="20"/>
        <v>19.8</v>
      </c>
    </row>
    <row r="108" spans="1:61" ht="15.75" customHeight="1">
      <c r="A108" s="1" t="s">
        <v>228</v>
      </c>
      <c r="B108" s="3" t="s">
        <v>161</v>
      </c>
      <c r="C108" s="4" t="s">
        <v>8</v>
      </c>
      <c r="D108" s="4">
        <v>40</v>
      </c>
      <c r="E108" s="4">
        <v>544</v>
      </c>
      <c r="F108" s="4">
        <v>40</v>
      </c>
      <c r="G108" s="4">
        <v>544</v>
      </c>
      <c r="H108" s="4">
        <v>10.4</v>
      </c>
      <c r="I108" s="4">
        <v>0.52900000000000003</v>
      </c>
      <c r="J108" s="4">
        <v>0.47299999999999998</v>
      </c>
      <c r="K108" s="4">
        <v>0.72499999999999998</v>
      </c>
      <c r="L108" s="4">
        <v>0.27500000000000002</v>
      </c>
      <c r="M108" s="4">
        <v>2</v>
      </c>
      <c r="N108" s="4">
        <v>5.0999999999999996</v>
      </c>
      <c r="O108" s="4">
        <v>12</v>
      </c>
      <c r="P108" s="4">
        <v>1.3</v>
      </c>
      <c r="Q108" s="4">
        <v>0</v>
      </c>
      <c r="R108" s="4">
        <v>8.9</v>
      </c>
      <c r="S108" s="4">
        <v>18.2</v>
      </c>
      <c r="T108" s="4">
        <v>110</v>
      </c>
      <c r="U108" s="4">
        <v>122</v>
      </c>
      <c r="V108" s="4"/>
      <c r="W108" s="4">
        <v>0.6</v>
      </c>
      <c r="X108" s="4">
        <v>-0.3</v>
      </c>
      <c r="Y108" s="4">
        <v>0.3</v>
      </c>
      <c r="Z108" s="4">
        <v>2.1999999999999999E-2</v>
      </c>
      <c r="AA108" s="13">
        <f>(I108/TOTAL_BASIC!$D$301)*100</f>
        <v>94.413536746842524</v>
      </c>
      <c r="AB108" s="5">
        <f t="shared" si="21"/>
        <v>1.1000000000000001</v>
      </c>
      <c r="AC108" s="3">
        <f t="shared" si="33"/>
        <v>-12</v>
      </c>
      <c r="AD108" s="9">
        <f t="shared" si="22"/>
        <v>1.0580000000000001</v>
      </c>
      <c r="AE108" s="16">
        <f t="shared" si="23"/>
        <v>0.65934065934065933</v>
      </c>
      <c r="AF108" s="16">
        <f t="shared" si="24"/>
        <v>1.348314606741573</v>
      </c>
      <c r="AG108" s="9"/>
      <c r="AH108" s="9"/>
      <c r="AI108" s="12">
        <f t="shared" si="25"/>
        <v>72.899999999999991</v>
      </c>
      <c r="AJ108" s="12">
        <f t="shared" si="26"/>
        <v>41.9</v>
      </c>
      <c r="AK108" s="12">
        <f t="shared" si="26"/>
        <v>30.3</v>
      </c>
      <c r="AL108" s="12">
        <f t="shared" si="26"/>
        <v>37</v>
      </c>
      <c r="AM108" s="12">
        <f t="shared" si="26"/>
        <v>32</v>
      </c>
      <c r="AN108" s="12">
        <f t="shared" si="18"/>
        <v>95.5</v>
      </c>
      <c r="AO108" s="12">
        <f t="shared" si="18"/>
        <v>47.5</v>
      </c>
      <c r="AP108" s="12">
        <f t="shared" si="18"/>
        <v>14.899999999999999</v>
      </c>
      <c r="AQ108" s="12">
        <f t="shared" si="18"/>
        <v>14.299999999999999</v>
      </c>
      <c r="AR108" s="12">
        <f t="shared" si="29"/>
        <v>40.799999999999997</v>
      </c>
      <c r="AS108" s="12">
        <f t="shared" si="29"/>
        <v>23.7</v>
      </c>
      <c r="AT108" s="12">
        <f t="shared" si="29"/>
        <v>0</v>
      </c>
      <c r="AU108" s="12">
        <f t="shared" si="27"/>
        <v>90.1</v>
      </c>
      <c r="AV108" s="12">
        <f t="shared" si="30"/>
        <v>49.1</v>
      </c>
      <c r="AW108" s="12">
        <f t="shared" si="30"/>
        <v>60.699999999999996</v>
      </c>
      <c r="AX108" s="12">
        <f t="shared" si="28"/>
        <v>1.2000000000000028</v>
      </c>
      <c r="AY108" s="9"/>
      <c r="AZ108" s="12">
        <f t="shared" si="31"/>
        <v>56.3</v>
      </c>
      <c r="BA108" s="12">
        <f t="shared" si="31"/>
        <v>0</v>
      </c>
      <c r="BB108" s="12">
        <f t="shared" si="31"/>
        <v>24.8</v>
      </c>
      <c r="BC108" s="12">
        <f t="shared" si="31"/>
        <v>20.399999999999999</v>
      </c>
      <c r="BD108" s="12">
        <f t="shared" si="32"/>
        <v>37</v>
      </c>
      <c r="BE108" s="12">
        <f t="shared" si="19"/>
        <v>60.699999999999996</v>
      </c>
      <c r="BF108" s="12">
        <f t="shared" si="19"/>
        <v>25.4</v>
      </c>
      <c r="BG108" s="12">
        <f t="shared" si="19"/>
        <v>37</v>
      </c>
      <c r="BH108" s="12">
        <f t="shared" si="19"/>
        <v>42.5</v>
      </c>
      <c r="BI108" s="12">
        <f t="shared" si="20"/>
        <v>73.400000000000006</v>
      </c>
    </row>
    <row r="109" spans="1:61" ht="15.75" customHeight="1">
      <c r="A109" s="1" t="s">
        <v>225</v>
      </c>
      <c r="B109" s="3" t="s">
        <v>93</v>
      </c>
      <c r="C109" s="4" t="s">
        <v>85</v>
      </c>
      <c r="D109" s="4">
        <v>33</v>
      </c>
      <c r="E109" s="4">
        <v>543</v>
      </c>
      <c r="F109" s="4">
        <v>33</v>
      </c>
      <c r="G109" s="4">
        <v>543</v>
      </c>
      <c r="H109" s="4">
        <v>11.8</v>
      </c>
      <c r="I109" s="4">
        <v>0.58599999999999997</v>
      </c>
      <c r="J109" s="4">
        <v>0.45</v>
      </c>
      <c r="K109" s="4">
        <v>0.49199999999999999</v>
      </c>
      <c r="L109" s="4">
        <v>0.84599999999999997</v>
      </c>
      <c r="M109" s="4">
        <v>4.7</v>
      </c>
      <c r="N109" s="4">
        <v>10.1</v>
      </c>
      <c r="O109" s="4">
        <v>12.2</v>
      </c>
      <c r="P109" s="4">
        <v>1.6</v>
      </c>
      <c r="Q109" s="4">
        <v>1.3</v>
      </c>
      <c r="R109" s="4">
        <v>20.100000000000001</v>
      </c>
      <c r="S109" s="4">
        <v>18.600000000000001</v>
      </c>
      <c r="T109" s="4">
        <v>106</v>
      </c>
      <c r="U109" s="4">
        <v>112</v>
      </c>
      <c r="V109" s="4"/>
      <c r="W109" s="4">
        <v>0.4</v>
      </c>
      <c r="X109" s="4">
        <v>0.5</v>
      </c>
      <c r="Y109" s="4">
        <v>0.9</v>
      </c>
      <c r="Z109" s="4">
        <v>6.6000000000000003E-2</v>
      </c>
      <c r="AA109" s="13">
        <f>(I109/TOTAL_BASIC!$D$301)*100</f>
        <v>104.58663995018848</v>
      </c>
      <c r="AB109" s="5">
        <f t="shared" si="21"/>
        <v>1.06</v>
      </c>
      <c r="AC109" s="3">
        <f t="shared" si="33"/>
        <v>-6</v>
      </c>
      <c r="AD109" s="9">
        <f t="shared" si="22"/>
        <v>1.1719999999999999</v>
      </c>
      <c r="AE109" s="16">
        <f t="shared" si="23"/>
        <v>0.65591397849462352</v>
      </c>
      <c r="AF109" s="16">
        <f t="shared" si="24"/>
        <v>0.60696517412935314</v>
      </c>
      <c r="AG109" s="9"/>
      <c r="AH109" s="9"/>
      <c r="AI109" s="12">
        <f t="shared" si="25"/>
        <v>39.700000000000003</v>
      </c>
      <c r="AJ109" s="12">
        <f t="shared" si="26"/>
        <v>41.4</v>
      </c>
      <c r="AK109" s="12">
        <f t="shared" si="26"/>
        <v>41.9</v>
      </c>
      <c r="AL109" s="12">
        <f t="shared" si="26"/>
        <v>69</v>
      </c>
      <c r="AM109" s="12">
        <f t="shared" si="26"/>
        <v>18.2</v>
      </c>
      <c r="AN109" s="12">
        <f t="shared" si="18"/>
        <v>66.2</v>
      </c>
      <c r="AO109" s="12">
        <f t="shared" si="18"/>
        <v>98.8</v>
      </c>
      <c r="AP109" s="12">
        <f t="shared" si="18"/>
        <v>53</v>
      </c>
      <c r="AQ109" s="12">
        <f t="shared" si="18"/>
        <v>59.599999999999994</v>
      </c>
      <c r="AR109" s="12">
        <f t="shared" si="29"/>
        <v>42.5</v>
      </c>
      <c r="AS109" s="12">
        <f t="shared" si="29"/>
        <v>40.300000000000004</v>
      </c>
      <c r="AT109" s="12">
        <f t="shared" si="29"/>
        <v>49.7</v>
      </c>
      <c r="AU109" s="12">
        <f t="shared" si="27"/>
        <v>13.299999999999997</v>
      </c>
      <c r="AV109" s="12">
        <f t="shared" si="30"/>
        <v>53</v>
      </c>
      <c r="AW109" s="12">
        <f t="shared" si="30"/>
        <v>44.7</v>
      </c>
      <c r="AX109" s="12">
        <f t="shared" si="28"/>
        <v>38.700000000000003</v>
      </c>
      <c r="AY109" s="9"/>
      <c r="AZ109" s="12">
        <f t="shared" si="31"/>
        <v>46.9</v>
      </c>
      <c r="BA109" s="12">
        <f t="shared" si="31"/>
        <v>39.700000000000003</v>
      </c>
      <c r="BB109" s="12">
        <f t="shared" si="31"/>
        <v>45.800000000000004</v>
      </c>
      <c r="BC109" s="12">
        <f t="shared" si="31"/>
        <v>41.4</v>
      </c>
      <c r="BD109" s="12">
        <f t="shared" si="32"/>
        <v>69</v>
      </c>
      <c r="BE109" s="12">
        <f t="shared" si="19"/>
        <v>44.7</v>
      </c>
      <c r="BF109" s="12">
        <f t="shared" si="19"/>
        <v>41.4</v>
      </c>
      <c r="BG109" s="12">
        <f t="shared" si="19"/>
        <v>69</v>
      </c>
      <c r="BH109" s="12">
        <f t="shared" si="19"/>
        <v>41.9</v>
      </c>
      <c r="BI109" s="12">
        <f t="shared" si="20"/>
        <v>18.2</v>
      </c>
    </row>
    <row r="110" spans="1:61" ht="15.75" customHeight="1">
      <c r="A110" s="1" t="s">
        <v>243</v>
      </c>
      <c r="B110" s="3" t="s">
        <v>128</v>
      </c>
      <c r="C110" s="4" t="s">
        <v>8</v>
      </c>
      <c r="D110" s="4">
        <v>41</v>
      </c>
      <c r="E110" s="4">
        <v>532</v>
      </c>
      <c r="F110" s="4">
        <v>41</v>
      </c>
      <c r="G110" s="4">
        <v>532</v>
      </c>
      <c r="H110" s="4">
        <v>8.8000000000000007</v>
      </c>
      <c r="I110" s="4">
        <v>0.51700000000000002</v>
      </c>
      <c r="J110" s="4">
        <v>0.47</v>
      </c>
      <c r="K110" s="4">
        <v>0.377</v>
      </c>
      <c r="L110" s="4">
        <v>0.20399999999999999</v>
      </c>
      <c r="M110" s="4">
        <v>2.4</v>
      </c>
      <c r="N110" s="4">
        <v>6.8</v>
      </c>
      <c r="O110" s="4">
        <v>12.3</v>
      </c>
      <c r="P110" s="4">
        <v>0.9</v>
      </c>
      <c r="Q110" s="4">
        <v>0.7</v>
      </c>
      <c r="R110" s="4">
        <v>14.2</v>
      </c>
      <c r="S110" s="4">
        <v>16.8</v>
      </c>
      <c r="T110" s="4">
        <v>103</v>
      </c>
      <c r="U110" s="4">
        <v>110</v>
      </c>
      <c r="V110" s="4"/>
      <c r="W110" s="4">
        <v>0.2</v>
      </c>
      <c r="X110" s="4">
        <v>0.6</v>
      </c>
      <c r="Y110" s="4">
        <v>0.8</v>
      </c>
      <c r="Z110" s="4">
        <v>5.8999999999999997E-2</v>
      </c>
      <c r="AA110" s="13">
        <f>(I110/TOTAL_BASIC!$D$301)*100</f>
        <v>92.271830809295992</v>
      </c>
      <c r="AB110" s="5">
        <f t="shared" si="21"/>
        <v>1.03</v>
      </c>
      <c r="AC110" s="3">
        <f t="shared" si="33"/>
        <v>-7</v>
      </c>
      <c r="AD110" s="9">
        <f t="shared" si="22"/>
        <v>1.034</v>
      </c>
      <c r="AE110" s="16">
        <f t="shared" si="23"/>
        <v>0.73214285714285721</v>
      </c>
      <c r="AF110" s="16">
        <f t="shared" si="24"/>
        <v>0.86619718309859162</v>
      </c>
      <c r="AG110" s="9"/>
      <c r="AH110" s="9"/>
      <c r="AI110" s="12">
        <f t="shared" si="25"/>
        <v>85.6</v>
      </c>
      <c r="AJ110" s="12">
        <f t="shared" si="26"/>
        <v>40.799999999999997</v>
      </c>
      <c r="AK110" s="12">
        <f t="shared" si="26"/>
        <v>17.599999999999998</v>
      </c>
      <c r="AL110" s="12">
        <f t="shared" si="26"/>
        <v>32</v>
      </c>
      <c r="AM110" s="12">
        <f t="shared" si="26"/>
        <v>29.2</v>
      </c>
      <c r="AN110" s="12">
        <f t="shared" si="18"/>
        <v>43</v>
      </c>
      <c r="AO110" s="12">
        <f t="shared" si="18"/>
        <v>27</v>
      </c>
      <c r="AP110" s="12">
        <f t="shared" si="18"/>
        <v>24.8</v>
      </c>
      <c r="AQ110" s="12">
        <f t="shared" si="18"/>
        <v>32</v>
      </c>
      <c r="AR110" s="12">
        <f t="shared" si="29"/>
        <v>43</v>
      </c>
      <c r="AS110" s="12">
        <f t="shared" si="29"/>
        <v>8.2000000000000011</v>
      </c>
      <c r="AT110" s="12">
        <f t="shared" si="29"/>
        <v>24.3</v>
      </c>
      <c r="AU110" s="12">
        <f t="shared" si="27"/>
        <v>55.9</v>
      </c>
      <c r="AV110" s="12">
        <f t="shared" si="30"/>
        <v>32</v>
      </c>
      <c r="AW110" s="12">
        <f t="shared" si="30"/>
        <v>33.700000000000003</v>
      </c>
      <c r="AX110" s="12">
        <f t="shared" si="28"/>
        <v>58.6</v>
      </c>
      <c r="AY110" s="9"/>
      <c r="AZ110" s="12">
        <f t="shared" si="31"/>
        <v>38.1</v>
      </c>
      <c r="BA110" s="12">
        <f t="shared" si="31"/>
        <v>47.5</v>
      </c>
      <c r="BB110" s="12">
        <f t="shared" si="31"/>
        <v>41.9</v>
      </c>
      <c r="BC110" s="12">
        <f t="shared" si="31"/>
        <v>40.300000000000004</v>
      </c>
      <c r="BD110" s="12">
        <f t="shared" si="32"/>
        <v>32</v>
      </c>
      <c r="BE110" s="12">
        <f t="shared" si="19"/>
        <v>33.700000000000003</v>
      </c>
      <c r="BF110" s="12">
        <f t="shared" si="19"/>
        <v>38.6</v>
      </c>
      <c r="BG110" s="12">
        <f t="shared" si="19"/>
        <v>32</v>
      </c>
      <c r="BH110" s="12">
        <f t="shared" si="19"/>
        <v>54.1</v>
      </c>
      <c r="BI110" s="12">
        <f t="shared" si="20"/>
        <v>37.5</v>
      </c>
    </row>
    <row r="111" spans="1:61" ht="15.75" customHeight="1">
      <c r="A111" s="1" t="s">
        <v>248</v>
      </c>
      <c r="B111" s="3" t="s">
        <v>84</v>
      </c>
      <c r="C111" s="4" t="s">
        <v>85</v>
      </c>
      <c r="D111" s="4">
        <v>18</v>
      </c>
      <c r="E111" s="4">
        <v>531</v>
      </c>
      <c r="F111" s="4">
        <v>18</v>
      </c>
      <c r="G111" s="4">
        <v>531</v>
      </c>
      <c r="H111" s="4">
        <v>11.5</v>
      </c>
      <c r="I111" s="4">
        <v>0.61399999999999999</v>
      </c>
      <c r="J111" s="4">
        <v>0.57299999999999995</v>
      </c>
      <c r="K111" s="4">
        <v>0.58499999999999996</v>
      </c>
      <c r="L111" s="4">
        <v>0.246</v>
      </c>
      <c r="M111" s="4">
        <v>5.3</v>
      </c>
      <c r="N111" s="4">
        <v>6.3</v>
      </c>
      <c r="O111" s="4">
        <v>10.199999999999999</v>
      </c>
      <c r="P111" s="4">
        <v>2.2000000000000002</v>
      </c>
      <c r="Q111" s="4">
        <v>0.2</v>
      </c>
      <c r="R111" s="4">
        <v>18.2</v>
      </c>
      <c r="S111" s="4">
        <v>14.8</v>
      </c>
      <c r="T111" s="4">
        <v>112</v>
      </c>
      <c r="U111" s="4">
        <v>111</v>
      </c>
      <c r="V111" s="4"/>
      <c r="W111" s="4">
        <v>0.7</v>
      </c>
      <c r="X111" s="4">
        <v>0.5</v>
      </c>
      <c r="Y111" s="4">
        <v>1.2</v>
      </c>
      <c r="Z111" s="4">
        <v>8.7999999999999995E-2</v>
      </c>
      <c r="AA111" s="13">
        <f>(I111/TOTAL_BASIC!$D$301)*100</f>
        <v>109.5839538044637</v>
      </c>
      <c r="AB111" s="5">
        <f t="shared" si="21"/>
        <v>1.1200000000000001</v>
      </c>
      <c r="AC111" s="3">
        <f t="shared" si="33"/>
        <v>1</v>
      </c>
      <c r="AD111" s="9">
        <f t="shared" si="22"/>
        <v>1.228</v>
      </c>
      <c r="AE111" s="16">
        <f t="shared" si="23"/>
        <v>0.68918918918918914</v>
      </c>
      <c r="AF111" s="16">
        <f t="shared" si="24"/>
        <v>0.56043956043956045</v>
      </c>
      <c r="AG111" s="9"/>
      <c r="AH111" s="9"/>
      <c r="AI111" s="12">
        <f t="shared" si="25"/>
        <v>12.7</v>
      </c>
      <c r="AJ111" s="12">
        <f t="shared" si="26"/>
        <v>40.300000000000004</v>
      </c>
      <c r="AK111" s="12">
        <f t="shared" si="26"/>
        <v>40.799999999999997</v>
      </c>
      <c r="AL111" s="12">
        <f t="shared" si="26"/>
        <v>84.5</v>
      </c>
      <c r="AM111" s="12">
        <f t="shared" si="26"/>
        <v>82.8</v>
      </c>
      <c r="AN111" s="12">
        <f t="shared" si="18"/>
        <v>83.399999999999991</v>
      </c>
      <c r="AO111" s="12">
        <f t="shared" si="18"/>
        <v>38.6</v>
      </c>
      <c r="AP111" s="12">
        <f t="shared" si="18"/>
        <v>59.099999999999994</v>
      </c>
      <c r="AQ111" s="12">
        <f t="shared" si="18"/>
        <v>24.3</v>
      </c>
      <c r="AR111" s="12">
        <f t="shared" si="29"/>
        <v>29.2</v>
      </c>
      <c r="AS111" s="12">
        <f t="shared" si="29"/>
        <v>75.099999999999994</v>
      </c>
      <c r="AT111" s="12">
        <f t="shared" si="29"/>
        <v>7.1</v>
      </c>
      <c r="AU111" s="12">
        <f t="shared" si="27"/>
        <v>24.900000000000006</v>
      </c>
      <c r="AV111" s="12">
        <f t="shared" si="30"/>
        <v>17.599999999999998</v>
      </c>
      <c r="AW111" s="12">
        <f t="shared" si="30"/>
        <v>67.400000000000006</v>
      </c>
      <c r="AX111" s="12">
        <f t="shared" si="28"/>
        <v>48.699999999999996</v>
      </c>
      <c r="AY111" s="9"/>
      <c r="AZ111" s="12">
        <f t="shared" si="31"/>
        <v>61.8</v>
      </c>
      <c r="BA111" s="12">
        <f t="shared" si="31"/>
        <v>39.700000000000003</v>
      </c>
      <c r="BB111" s="12">
        <f t="shared" si="31"/>
        <v>56.3</v>
      </c>
      <c r="BC111" s="12">
        <f t="shared" si="31"/>
        <v>59.099999999999994</v>
      </c>
      <c r="BD111" s="12">
        <f t="shared" si="32"/>
        <v>84.5</v>
      </c>
      <c r="BE111" s="12">
        <f t="shared" si="19"/>
        <v>67.400000000000006</v>
      </c>
      <c r="BF111" s="12">
        <f t="shared" si="19"/>
        <v>61.8</v>
      </c>
      <c r="BG111" s="12">
        <f t="shared" si="19"/>
        <v>84.5</v>
      </c>
      <c r="BH111" s="12">
        <f t="shared" si="19"/>
        <v>45.800000000000004</v>
      </c>
      <c r="BI111" s="12">
        <f t="shared" si="20"/>
        <v>15.4</v>
      </c>
    </row>
    <row r="112" spans="1:61" ht="15.75" customHeight="1">
      <c r="A112" s="1" t="s">
        <v>262</v>
      </c>
      <c r="B112" s="3" t="s">
        <v>131</v>
      </c>
      <c r="C112" s="4" t="s">
        <v>8</v>
      </c>
      <c r="D112" s="4">
        <v>24</v>
      </c>
      <c r="E112" s="4">
        <v>528</v>
      </c>
      <c r="F112" s="4">
        <v>24</v>
      </c>
      <c r="G112" s="4">
        <v>528</v>
      </c>
      <c r="H112" s="4">
        <v>16.899999999999999</v>
      </c>
      <c r="I112" s="4">
        <v>0.55700000000000005</v>
      </c>
      <c r="J112" s="4">
        <v>0.50600000000000001</v>
      </c>
      <c r="K112" s="4">
        <v>0.33100000000000002</v>
      </c>
      <c r="L112" s="4">
        <v>0.36</v>
      </c>
      <c r="M112" s="4">
        <v>2.1</v>
      </c>
      <c r="N112" s="4">
        <v>7.4</v>
      </c>
      <c r="O112" s="4">
        <v>38.200000000000003</v>
      </c>
      <c r="P112" s="4">
        <v>2.5</v>
      </c>
      <c r="Q112" s="4">
        <v>1.1000000000000001</v>
      </c>
      <c r="R112" s="4">
        <v>19.399999999999999</v>
      </c>
      <c r="S112" s="4">
        <v>20.399999999999999</v>
      </c>
      <c r="T112" s="4">
        <v>108</v>
      </c>
      <c r="U112" s="4">
        <v>110</v>
      </c>
      <c r="V112" s="4"/>
      <c r="W112" s="4">
        <v>0.6</v>
      </c>
      <c r="X112" s="4">
        <v>0.6</v>
      </c>
      <c r="Y112" s="4">
        <v>1.3</v>
      </c>
      <c r="Z112" s="4">
        <v>9.5000000000000001E-2</v>
      </c>
      <c r="AA112" s="13">
        <f>(I112/TOTAL_BASIC!$D$301)*100</f>
        <v>99.410850601117744</v>
      </c>
      <c r="AB112" s="5">
        <f t="shared" si="21"/>
        <v>1.08</v>
      </c>
      <c r="AC112" s="3">
        <f t="shared" si="33"/>
        <v>-2</v>
      </c>
      <c r="AD112" s="9">
        <f t="shared" si="22"/>
        <v>1.1140000000000001</v>
      </c>
      <c r="AE112" s="16">
        <f t="shared" si="23"/>
        <v>1.8725490196078434</v>
      </c>
      <c r="AF112" s="16">
        <f t="shared" si="24"/>
        <v>1.9690721649484539</v>
      </c>
      <c r="AG112" s="9"/>
      <c r="AH112" s="9"/>
      <c r="AI112" s="12">
        <f t="shared" si="25"/>
        <v>19.8</v>
      </c>
      <c r="AJ112" s="12">
        <f t="shared" si="26"/>
        <v>39.700000000000003</v>
      </c>
      <c r="AK112" s="12">
        <f t="shared" si="26"/>
        <v>72.3</v>
      </c>
      <c r="AL112" s="12">
        <f t="shared" si="26"/>
        <v>48.6</v>
      </c>
      <c r="AM112" s="12">
        <f t="shared" si="26"/>
        <v>49.1</v>
      </c>
      <c r="AN112" s="12">
        <f t="shared" si="18"/>
        <v>33.700000000000003</v>
      </c>
      <c r="AO112" s="12">
        <f t="shared" si="18"/>
        <v>67.900000000000006</v>
      </c>
      <c r="AP112" s="12">
        <f t="shared" si="18"/>
        <v>18.2</v>
      </c>
      <c r="AQ112" s="12">
        <f t="shared" si="18"/>
        <v>37.5</v>
      </c>
      <c r="AR112" s="12">
        <f t="shared" si="29"/>
        <v>97.2</v>
      </c>
      <c r="AS112" s="12">
        <f t="shared" si="29"/>
        <v>83.399999999999991</v>
      </c>
      <c r="AT112" s="12">
        <f t="shared" si="29"/>
        <v>44.1</v>
      </c>
      <c r="AU112" s="12">
        <f t="shared" si="27"/>
        <v>17.200000000000003</v>
      </c>
      <c r="AV112" s="12">
        <f t="shared" si="30"/>
        <v>63.5</v>
      </c>
      <c r="AW112" s="12">
        <f t="shared" si="30"/>
        <v>54.1</v>
      </c>
      <c r="AX112" s="12">
        <f t="shared" si="28"/>
        <v>58.6</v>
      </c>
      <c r="AY112" s="9"/>
      <c r="AZ112" s="12">
        <f t="shared" si="31"/>
        <v>56.3</v>
      </c>
      <c r="BA112" s="12">
        <f t="shared" si="31"/>
        <v>47.5</v>
      </c>
      <c r="BB112" s="12">
        <f t="shared" si="31"/>
        <v>59.099999999999994</v>
      </c>
      <c r="BC112" s="12">
        <f t="shared" si="31"/>
        <v>64</v>
      </c>
      <c r="BD112" s="12">
        <f t="shared" si="32"/>
        <v>48.6</v>
      </c>
      <c r="BE112" s="12">
        <f t="shared" si="19"/>
        <v>54.1</v>
      </c>
      <c r="BF112" s="12">
        <f t="shared" si="19"/>
        <v>53.5</v>
      </c>
      <c r="BG112" s="12">
        <f t="shared" si="19"/>
        <v>48.6</v>
      </c>
      <c r="BH112" s="12">
        <f t="shared" si="19"/>
        <v>97.7</v>
      </c>
      <c r="BI112" s="12">
        <f t="shared" si="20"/>
        <v>92.800000000000011</v>
      </c>
    </row>
    <row r="113" spans="1:61" ht="15.75" customHeight="1">
      <c r="A113" s="1" t="s">
        <v>136</v>
      </c>
      <c r="B113" s="3" t="s">
        <v>240</v>
      </c>
      <c r="C113" s="4" t="s">
        <v>8</v>
      </c>
      <c r="D113" s="4">
        <v>17</v>
      </c>
      <c r="E113" s="4">
        <v>519</v>
      </c>
      <c r="F113" s="4">
        <v>17</v>
      </c>
      <c r="G113" s="4">
        <v>519</v>
      </c>
      <c r="H113" s="4">
        <v>21.8</v>
      </c>
      <c r="I113" s="4">
        <v>0.64700000000000002</v>
      </c>
      <c r="J113" s="4">
        <v>0.60099999999999998</v>
      </c>
      <c r="K113" s="4">
        <v>0.436</v>
      </c>
      <c r="L113" s="4">
        <v>0.374</v>
      </c>
      <c r="M113" s="4">
        <v>0.7</v>
      </c>
      <c r="N113" s="4">
        <v>4.0999999999999996</v>
      </c>
      <c r="O113" s="4">
        <v>32.799999999999997</v>
      </c>
      <c r="P113" s="4">
        <v>1.6</v>
      </c>
      <c r="Q113" s="4">
        <v>0</v>
      </c>
      <c r="R113" s="4">
        <v>14.5</v>
      </c>
      <c r="S113" s="4">
        <v>28.2</v>
      </c>
      <c r="T113" s="4">
        <v>117</v>
      </c>
      <c r="U113" s="4">
        <v>116</v>
      </c>
      <c r="V113" s="4"/>
      <c r="W113" s="4">
        <v>1.7</v>
      </c>
      <c r="X113" s="4">
        <v>0.2</v>
      </c>
      <c r="Y113" s="4">
        <v>1.9</v>
      </c>
      <c r="Z113" s="4">
        <v>0.14299999999999999</v>
      </c>
      <c r="AA113" s="13">
        <f>(I113/TOTAL_BASIC!$D$301)*100</f>
        <v>115.47364513271665</v>
      </c>
      <c r="AB113" s="5">
        <f t="shared" si="21"/>
        <v>1.17</v>
      </c>
      <c r="AC113" s="3">
        <f t="shared" si="33"/>
        <v>1</v>
      </c>
      <c r="AD113" s="9">
        <f t="shared" si="22"/>
        <v>1.294</v>
      </c>
      <c r="AE113" s="16">
        <f t="shared" si="23"/>
        <v>1.1631205673758864</v>
      </c>
      <c r="AF113" s="16">
        <f t="shared" si="24"/>
        <v>2.262068965517241</v>
      </c>
      <c r="AG113" s="9"/>
      <c r="AH113" s="9"/>
      <c r="AI113" s="12">
        <f t="shared" si="25"/>
        <v>10.4</v>
      </c>
      <c r="AJ113" s="12">
        <f t="shared" si="26"/>
        <v>39.200000000000003</v>
      </c>
      <c r="AK113" s="12">
        <f t="shared" si="26"/>
        <v>92.800000000000011</v>
      </c>
      <c r="AL113" s="12">
        <f t="shared" si="26"/>
        <v>95.5</v>
      </c>
      <c r="AM113" s="12">
        <f t="shared" si="26"/>
        <v>93.899999999999991</v>
      </c>
      <c r="AN113" s="12">
        <f t="shared" si="18"/>
        <v>57.4</v>
      </c>
      <c r="AO113" s="12">
        <f t="shared" si="18"/>
        <v>72.899999999999991</v>
      </c>
      <c r="AP113" s="12">
        <f t="shared" si="18"/>
        <v>1.0999999999999999</v>
      </c>
      <c r="AQ113" s="12">
        <f t="shared" si="18"/>
        <v>5.5</v>
      </c>
      <c r="AR113" s="12">
        <f t="shared" si="29"/>
        <v>95</v>
      </c>
      <c r="AS113" s="12">
        <f t="shared" si="29"/>
        <v>40.300000000000004</v>
      </c>
      <c r="AT113" s="12">
        <f t="shared" si="29"/>
        <v>0</v>
      </c>
      <c r="AU113" s="12">
        <f t="shared" si="27"/>
        <v>52.5</v>
      </c>
      <c r="AV113" s="12">
        <f t="shared" si="30"/>
        <v>93.899999999999991</v>
      </c>
      <c r="AW113" s="12">
        <f t="shared" si="30"/>
        <v>78.400000000000006</v>
      </c>
      <c r="AX113" s="12">
        <f t="shared" si="28"/>
        <v>14.400000000000006</v>
      </c>
      <c r="AY113" s="9"/>
      <c r="AZ113" s="12">
        <f t="shared" si="31"/>
        <v>79.5</v>
      </c>
      <c r="BA113" s="12">
        <f t="shared" si="31"/>
        <v>17.599999999999998</v>
      </c>
      <c r="BB113" s="12">
        <f t="shared" si="31"/>
        <v>68.5</v>
      </c>
      <c r="BC113" s="12">
        <f t="shared" si="31"/>
        <v>79.5</v>
      </c>
      <c r="BD113" s="12">
        <f t="shared" si="32"/>
        <v>95.5</v>
      </c>
      <c r="BE113" s="12">
        <f t="shared" si="19"/>
        <v>78.400000000000006</v>
      </c>
      <c r="BF113" s="12">
        <f t="shared" si="19"/>
        <v>61.8</v>
      </c>
      <c r="BG113" s="12">
        <f t="shared" si="19"/>
        <v>95.5</v>
      </c>
      <c r="BH113" s="12">
        <f t="shared" si="19"/>
        <v>83.399999999999991</v>
      </c>
      <c r="BI113" s="12">
        <f t="shared" si="20"/>
        <v>97.2</v>
      </c>
    </row>
    <row r="114" spans="1:61" ht="15.75" customHeight="1">
      <c r="A114" s="1" t="s">
        <v>221</v>
      </c>
      <c r="B114" s="3" t="s">
        <v>157</v>
      </c>
      <c r="C114" s="4" t="s">
        <v>8</v>
      </c>
      <c r="D114" s="4">
        <v>36</v>
      </c>
      <c r="E114" s="4">
        <v>502</v>
      </c>
      <c r="F114" s="4">
        <v>36</v>
      </c>
      <c r="G114" s="4">
        <v>502</v>
      </c>
      <c r="H114" s="4">
        <v>11.8</v>
      </c>
      <c r="I114" s="4">
        <v>0.57499999999999996</v>
      </c>
      <c r="J114" s="4">
        <v>0.53300000000000003</v>
      </c>
      <c r="K114" s="4">
        <v>0.54100000000000004</v>
      </c>
      <c r="L114" s="4">
        <v>0.221</v>
      </c>
      <c r="M114" s="4">
        <v>1.3</v>
      </c>
      <c r="N114" s="4">
        <v>4.7</v>
      </c>
      <c r="O114" s="4">
        <v>19.399999999999999</v>
      </c>
      <c r="P114" s="4">
        <v>1</v>
      </c>
      <c r="Q114" s="4">
        <v>0.8</v>
      </c>
      <c r="R114" s="4">
        <v>11.9</v>
      </c>
      <c r="S114" s="4">
        <v>13.2</v>
      </c>
      <c r="T114" s="4">
        <v>123</v>
      </c>
      <c r="U114" s="4">
        <v>115</v>
      </c>
      <c r="V114" s="4"/>
      <c r="W114" s="4">
        <v>1.1000000000000001</v>
      </c>
      <c r="X114" s="4">
        <v>0.2</v>
      </c>
      <c r="Y114" s="4">
        <v>1.4</v>
      </c>
      <c r="Z114" s="4">
        <v>0.108</v>
      </c>
      <c r="AA114" s="13">
        <f>(I114/TOTAL_BASIC!$D$301)*100</f>
        <v>102.62340950743751</v>
      </c>
      <c r="AB114" s="5">
        <f t="shared" si="21"/>
        <v>1.23</v>
      </c>
      <c r="AC114" s="3">
        <f t="shared" si="33"/>
        <v>8</v>
      </c>
      <c r="AD114" s="9">
        <f t="shared" si="22"/>
        <v>1.1499999999999999</v>
      </c>
      <c r="AE114" s="16">
        <f t="shared" si="23"/>
        <v>1.4696969696969697</v>
      </c>
      <c r="AF114" s="16">
        <f t="shared" si="24"/>
        <v>1.6302521008403359</v>
      </c>
      <c r="AG114" s="9"/>
      <c r="AH114" s="9"/>
      <c r="AI114" s="12">
        <f t="shared" si="25"/>
        <v>47.5</v>
      </c>
      <c r="AJ114" s="12">
        <f t="shared" si="26"/>
        <v>38.6</v>
      </c>
      <c r="AK114" s="12">
        <f t="shared" si="26"/>
        <v>41.9</v>
      </c>
      <c r="AL114" s="12">
        <f t="shared" si="26"/>
        <v>62.9</v>
      </c>
      <c r="AM114" s="12">
        <f t="shared" si="26"/>
        <v>64.600000000000009</v>
      </c>
      <c r="AN114" s="12">
        <f t="shared" si="18"/>
        <v>78.400000000000006</v>
      </c>
      <c r="AO114" s="12">
        <f t="shared" si="18"/>
        <v>30.3</v>
      </c>
      <c r="AP114" s="12">
        <f t="shared" si="18"/>
        <v>9.3000000000000007</v>
      </c>
      <c r="AQ114" s="12">
        <f t="shared" si="18"/>
        <v>9.3000000000000007</v>
      </c>
      <c r="AR114" s="12">
        <f t="shared" si="29"/>
        <v>73.400000000000006</v>
      </c>
      <c r="AS114" s="12">
        <f t="shared" si="29"/>
        <v>11</v>
      </c>
      <c r="AT114" s="12">
        <f t="shared" si="29"/>
        <v>30.3</v>
      </c>
      <c r="AU114" s="12">
        <f t="shared" si="27"/>
        <v>73.5</v>
      </c>
      <c r="AV114" s="12">
        <f t="shared" si="30"/>
        <v>12.7</v>
      </c>
      <c r="AW114" s="12">
        <f t="shared" si="30"/>
        <v>90.600000000000009</v>
      </c>
      <c r="AX114" s="12">
        <f t="shared" si="28"/>
        <v>19.399999999999991</v>
      </c>
      <c r="AY114" s="9"/>
      <c r="AZ114" s="12">
        <f t="shared" si="31"/>
        <v>69</v>
      </c>
      <c r="BA114" s="12">
        <f t="shared" si="31"/>
        <v>17.599999999999998</v>
      </c>
      <c r="BB114" s="12">
        <f t="shared" si="31"/>
        <v>60.699999999999996</v>
      </c>
      <c r="BC114" s="12">
        <f t="shared" si="31"/>
        <v>67.400000000000006</v>
      </c>
      <c r="BD114" s="12">
        <f t="shared" si="32"/>
        <v>62.9</v>
      </c>
      <c r="BE114" s="12">
        <f t="shared" si="19"/>
        <v>90.600000000000009</v>
      </c>
      <c r="BF114" s="12">
        <f t="shared" si="19"/>
        <v>75.599999999999994</v>
      </c>
      <c r="BG114" s="12">
        <f t="shared" si="19"/>
        <v>62.9</v>
      </c>
      <c r="BH114" s="12">
        <f t="shared" si="19"/>
        <v>92.800000000000011</v>
      </c>
      <c r="BI114" s="12">
        <f t="shared" si="20"/>
        <v>85</v>
      </c>
    </row>
    <row r="115" spans="1:61" ht="15.75" customHeight="1">
      <c r="A115" s="1" t="s">
        <v>160</v>
      </c>
      <c r="B115" s="3" t="s">
        <v>161</v>
      </c>
      <c r="C115" s="4" t="s">
        <v>8</v>
      </c>
      <c r="D115" s="4">
        <v>17</v>
      </c>
      <c r="E115" s="4">
        <v>500</v>
      </c>
      <c r="F115" s="4">
        <v>17</v>
      </c>
      <c r="G115" s="4">
        <v>500</v>
      </c>
      <c r="H115" s="4">
        <v>19</v>
      </c>
      <c r="I115" s="4">
        <v>0.54300000000000004</v>
      </c>
      <c r="J115" s="4">
        <v>0.45100000000000001</v>
      </c>
      <c r="K115" s="4">
        <v>0.254</v>
      </c>
      <c r="L115" s="4">
        <v>0.439</v>
      </c>
      <c r="M115" s="4">
        <v>3.9</v>
      </c>
      <c r="N115" s="4">
        <v>7.1</v>
      </c>
      <c r="O115" s="4">
        <v>21.1</v>
      </c>
      <c r="P115" s="4">
        <v>2</v>
      </c>
      <c r="Q115" s="4">
        <v>1.5</v>
      </c>
      <c r="R115" s="4">
        <v>11</v>
      </c>
      <c r="S115" s="4">
        <v>28.9</v>
      </c>
      <c r="T115" s="4">
        <v>110</v>
      </c>
      <c r="U115" s="4">
        <v>119</v>
      </c>
      <c r="V115" s="4"/>
      <c r="W115" s="4">
        <v>1</v>
      </c>
      <c r="X115" s="4">
        <v>-0.1</v>
      </c>
      <c r="Y115" s="4">
        <v>0.9</v>
      </c>
      <c r="Z115" s="4">
        <v>7.0999999999999994E-2</v>
      </c>
      <c r="AA115" s="13">
        <f>(I115/TOTAL_BASIC!$D$301)*100</f>
        <v>96.912193673980127</v>
      </c>
      <c r="AB115" s="5">
        <f t="shared" si="21"/>
        <v>1.1000000000000001</v>
      </c>
      <c r="AC115" s="3">
        <f t="shared" si="33"/>
        <v>-9</v>
      </c>
      <c r="AD115" s="9">
        <f t="shared" si="22"/>
        <v>1.0860000000000001</v>
      </c>
      <c r="AE115" s="16">
        <f t="shared" si="23"/>
        <v>0.73010380622837379</v>
      </c>
      <c r="AF115" s="16">
        <f t="shared" si="24"/>
        <v>1.9181818181818182</v>
      </c>
      <c r="AG115" s="9"/>
      <c r="AH115" s="9"/>
      <c r="AI115" s="12">
        <f t="shared" si="25"/>
        <v>10.4</v>
      </c>
      <c r="AJ115" s="12">
        <f t="shared" si="26"/>
        <v>38.1</v>
      </c>
      <c r="AK115" s="12">
        <f t="shared" si="26"/>
        <v>79.5</v>
      </c>
      <c r="AL115" s="12">
        <f t="shared" si="26"/>
        <v>43</v>
      </c>
      <c r="AM115" s="12">
        <f t="shared" si="26"/>
        <v>20.399999999999999</v>
      </c>
      <c r="AN115" s="12">
        <f t="shared" si="18"/>
        <v>23.200000000000003</v>
      </c>
      <c r="AO115" s="12">
        <f t="shared" si="18"/>
        <v>82.3</v>
      </c>
      <c r="AP115" s="12">
        <f t="shared" si="18"/>
        <v>44.1</v>
      </c>
      <c r="AQ115" s="12">
        <f t="shared" si="18"/>
        <v>35.9</v>
      </c>
      <c r="AR115" s="12">
        <f t="shared" si="29"/>
        <v>78.400000000000006</v>
      </c>
      <c r="AS115" s="12">
        <f t="shared" si="29"/>
        <v>64.600000000000009</v>
      </c>
      <c r="AT115" s="12">
        <f t="shared" si="29"/>
        <v>57.999999999999993</v>
      </c>
      <c r="AU115" s="12">
        <f t="shared" si="27"/>
        <v>81.3</v>
      </c>
      <c r="AV115" s="12">
        <f t="shared" si="30"/>
        <v>95.5</v>
      </c>
      <c r="AW115" s="12">
        <f t="shared" si="30"/>
        <v>60.699999999999996</v>
      </c>
      <c r="AX115" s="12">
        <f t="shared" si="28"/>
        <v>4.5</v>
      </c>
      <c r="AY115" s="9"/>
      <c r="AZ115" s="12">
        <f t="shared" si="31"/>
        <v>67.900000000000006</v>
      </c>
      <c r="BA115" s="12">
        <f t="shared" si="31"/>
        <v>2.7</v>
      </c>
      <c r="BB115" s="12">
        <f t="shared" si="31"/>
        <v>45.800000000000004</v>
      </c>
      <c r="BC115" s="12">
        <f t="shared" si="31"/>
        <v>49.7</v>
      </c>
      <c r="BD115" s="12">
        <f t="shared" si="32"/>
        <v>43</v>
      </c>
      <c r="BE115" s="12">
        <f t="shared" si="19"/>
        <v>60.699999999999996</v>
      </c>
      <c r="BF115" s="12">
        <f t="shared" si="19"/>
        <v>34.200000000000003</v>
      </c>
      <c r="BG115" s="12">
        <f t="shared" si="19"/>
        <v>43</v>
      </c>
      <c r="BH115" s="12">
        <f t="shared" si="19"/>
        <v>53.5</v>
      </c>
      <c r="BI115" s="12">
        <f t="shared" si="20"/>
        <v>91.100000000000009</v>
      </c>
    </row>
    <row r="116" spans="1:61" ht="15.75" customHeight="1">
      <c r="A116" s="1" t="s">
        <v>187</v>
      </c>
      <c r="B116" s="3" t="s">
        <v>117</v>
      </c>
      <c r="C116" s="4" t="s">
        <v>119</v>
      </c>
      <c r="D116" s="4">
        <v>38</v>
      </c>
      <c r="E116" s="4">
        <v>498</v>
      </c>
      <c r="F116" s="4">
        <v>38</v>
      </c>
      <c r="G116" s="4">
        <v>498</v>
      </c>
      <c r="H116" s="4">
        <v>5.5</v>
      </c>
      <c r="I116" s="4">
        <v>0.58599999999999997</v>
      </c>
      <c r="J116" s="4">
        <v>0.57699999999999996</v>
      </c>
      <c r="K116" s="4">
        <v>0</v>
      </c>
      <c r="L116" s="4">
        <v>3.7999999999999999E-2</v>
      </c>
      <c r="M116" s="4">
        <v>5.2</v>
      </c>
      <c r="N116" s="4">
        <v>10.4</v>
      </c>
      <c r="O116" s="4">
        <v>2.1</v>
      </c>
      <c r="P116" s="4">
        <v>1</v>
      </c>
      <c r="Q116" s="4">
        <v>3.6</v>
      </c>
      <c r="R116" s="4">
        <v>32.1</v>
      </c>
      <c r="S116" s="4">
        <v>7.1</v>
      </c>
      <c r="T116" s="4">
        <v>91</v>
      </c>
      <c r="U116" s="4">
        <v>109</v>
      </c>
      <c r="V116" s="4"/>
      <c r="W116" s="4">
        <v>-0.3</v>
      </c>
      <c r="X116" s="4">
        <v>0.7</v>
      </c>
      <c r="Y116" s="4">
        <v>0.4</v>
      </c>
      <c r="Z116" s="4">
        <v>3.2000000000000001E-2</v>
      </c>
      <c r="AA116" s="13">
        <f>(I116/TOTAL_BASIC!$D$301)*100</f>
        <v>104.58663995018848</v>
      </c>
      <c r="AB116" s="5">
        <f t="shared" si="21"/>
        <v>0.91</v>
      </c>
      <c r="AC116" s="3">
        <f t="shared" si="33"/>
        <v>-18</v>
      </c>
      <c r="AD116" s="9">
        <f t="shared" si="22"/>
        <v>1.1719999999999999</v>
      </c>
      <c r="AE116" s="16">
        <f t="shared" si="23"/>
        <v>0.29577464788732399</v>
      </c>
      <c r="AF116" s="16">
        <f t="shared" si="24"/>
        <v>6.5420560747663545E-2</v>
      </c>
      <c r="AG116" s="9"/>
      <c r="AH116" s="9"/>
      <c r="AI116" s="12">
        <f t="shared" si="25"/>
        <v>59.599999999999994</v>
      </c>
      <c r="AJ116" s="12">
        <f t="shared" si="26"/>
        <v>37.5</v>
      </c>
      <c r="AK116" s="12">
        <f t="shared" si="26"/>
        <v>2.7</v>
      </c>
      <c r="AL116" s="12">
        <f t="shared" si="26"/>
        <v>69</v>
      </c>
      <c r="AM116" s="12">
        <f t="shared" si="26"/>
        <v>87.2</v>
      </c>
      <c r="AN116" s="12">
        <f t="shared" si="18"/>
        <v>0</v>
      </c>
      <c r="AO116" s="12">
        <f t="shared" si="18"/>
        <v>0</v>
      </c>
      <c r="AP116" s="12">
        <f t="shared" si="18"/>
        <v>58.5</v>
      </c>
      <c r="AQ116" s="12">
        <f t="shared" si="18"/>
        <v>61.8</v>
      </c>
      <c r="AR116" s="12">
        <f t="shared" si="29"/>
        <v>0</v>
      </c>
      <c r="AS116" s="12">
        <f t="shared" si="29"/>
        <v>11</v>
      </c>
      <c r="AT116" s="12">
        <f t="shared" si="29"/>
        <v>85</v>
      </c>
      <c r="AU116" s="12">
        <f t="shared" si="27"/>
        <v>0</v>
      </c>
      <c r="AV116" s="12">
        <f t="shared" si="30"/>
        <v>0</v>
      </c>
      <c r="AW116" s="12">
        <f t="shared" si="30"/>
        <v>6</v>
      </c>
      <c r="AX116" s="12">
        <f t="shared" si="28"/>
        <v>64.7</v>
      </c>
      <c r="AY116" s="9"/>
      <c r="AZ116" s="12">
        <f t="shared" si="31"/>
        <v>11</v>
      </c>
      <c r="BA116" s="12">
        <f t="shared" si="31"/>
        <v>54.1</v>
      </c>
      <c r="BB116" s="12">
        <f t="shared" si="31"/>
        <v>28.7</v>
      </c>
      <c r="BC116" s="12">
        <f t="shared" si="31"/>
        <v>25.900000000000002</v>
      </c>
      <c r="BD116" s="12">
        <f t="shared" si="32"/>
        <v>69</v>
      </c>
      <c r="BE116" s="12">
        <f t="shared" si="19"/>
        <v>6</v>
      </c>
      <c r="BF116" s="12">
        <f t="shared" si="19"/>
        <v>9.9</v>
      </c>
      <c r="BG116" s="12">
        <f t="shared" si="19"/>
        <v>69</v>
      </c>
      <c r="BH116" s="12">
        <f t="shared" si="19"/>
        <v>1.0999999999999999</v>
      </c>
      <c r="BI116" s="12">
        <f t="shared" si="20"/>
        <v>0</v>
      </c>
    </row>
    <row r="117" spans="1:61" ht="15.75" customHeight="1">
      <c r="A117" s="1" t="s">
        <v>213</v>
      </c>
      <c r="B117" s="3" t="s">
        <v>131</v>
      </c>
      <c r="C117" s="4" t="s">
        <v>8</v>
      </c>
      <c r="D117" s="4">
        <v>37</v>
      </c>
      <c r="E117" s="4">
        <v>496</v>
      </c>
      <c r="F117" s="4">
        <v>37</v>
      </c>
      <c r="G117" s="4">
        <v>496</v>
      </c>
      <c r="H117" s="4">
        <v>7.9</v>
      </c>
      <c r="I117" s="4">
        <v>0.496</v>
      </c>
      <c r="J117" s="4">
        <v>0.47699999999999998</v>
      </c>
      <c r="K117" s="4">
        <v>0.73099999999999998</v>
      </c>
      <c r="L117" s="4">
        <v>0.111</v>
      </c>
      <c r="M117" s="4">
        <v>0.7</v>
      </c>
      <c r="N117" s="4">
        <v>5.2</v>
      </c>
      <c r="O117" s="4">
        <v>14.1</v>
      </c>
      <c r="P117" s="4">
        <v>1.1000000000000001</v>
      </c>
      <c r="Q117" s="4">
        <v>1.4</v>
      </c>
      <c r="R117" s="4">
        <v>13.5</v>
      </c>
      <c r="S117" s="4">
        <v>18.2</v>
      </c>
      <c r="T117" s="4">
        <v>93</v>
      </c>
      <c r="U117" s="4">
        <v>113</v>
      </c>
      <c r="V117" s="4"/>
      <c r="W117" s="4">
        <v>-0.4</v>
      </c>
      <c r="X117" s="4">
        <v>0.3</v>
      </c>
      <c r="Y117" s="4">
        <v>-0.1</v>
      </c>
      <c r="Z117" s="4">
        <v>-8.9999999999999993E-3</v>
      </c>
      <c r="AA117" s="13">
        <f>(I117/TOTAL_BASIC!$D$301)*100</f>
        <v>88.523845418589573</v>
      </c>
      <c r="AB117" s="5">
        <f t="shared" si="21"/>
        <v>0.93</v>
      </c>
      <c r="AC117" s="3">
        <f t="shared" si="33"/>
        <v>-20</v>
      </c>
      <c r="AD117" s="9">
        <f t="shared" si="22"/>
        <v>0.99199999999999999</v>
      </c>
      <c r="AE117" s="16">
        <f t="shared" si="23"/>
        <v>0.77472527472527475</v>
      </c>
      <c r="AF117" s="16">
        <f t="shared" si="24"/>
        <v>1.0444444444444445</v>
      </c>
      <c r="AG117" s="9"/>
      <c r="AH117" s="9"/>
      <c r="AI117" s="12">
        <f t="shared" si="25"/>
        <v>51.300000000000004</v>
      </c>
      <c r="AJ117" s="12">
        <f t="shared" si="26"/>
        <v>37</v>
      </c>
      <c r="AK117" s="12">
        <f t="shared" si="26"/>
        <v>11</v>
      </c>
      <c r="AL117" s="12">
        <f t="shared" si="26"/>
        <v>19.3</v>
      </c>
      <c r="AM117" s="12">
        <f t="shared" si="26"/>
        <v>33.700000000000003</v>
      </c>
      <c r="AN117" s="12">
        <f t="shared" si="18"/>
        <v>96.6</v>
      </c>
      <c r="AO117" s="12">
        <f t="shared" si="18"/>
        <v>7.7</v>
      </c>
      <c r="AP117" s="12">
        <f t="shared" si="18"/>
        <v>1.0999999999999999</v>
      </c>
      <c r="AQ117" s="12">
        <f t="shared" si="18"/>
        <v>16</v>
      </c>
      <c r="AR117" s="12">
        <f t="shared" si="29"/>
        <v>50.2</v>
      </c>
      <c r="AS117" s="12">
        <f t="shared" si="29"/>
        <v>16.5</v>
      </c>
      <c r="AT117" s="12">
        <f t="shared" si="29"/>
        <v>55.800000000000004</v>
      </c>
      <c r="AU117" s="12">
        <f t="shared" si="27"/>
        <v>63.6</v>
      </c>
      <c r="AV117" s="12">
        <f t="shared" si="30"/>
        <v>49.1</v>
      </c>
      <c r="AW117" s="12">
        <f t="shared" si="30"/>
        <v>8.2000000000000011</v>
      </c>
      <c r="AX117" s="12">
        <f t="shared" si="28"/>
        <v>30.400000000000006</v>
      </c>
      <c r="AY117" s="9"/>
      <c r="AZ117" s="12">
        <f t="shared" si="31"/>
        <v>6.6000000000000005</v>
      </c>
      <c r="BA117" s="12">
        <f t="shared" si="31"/>
        <v>28.1</v>
      </c>
      <c r="BB117" s="12">
        <f t="shared" si="31"/>
        <v>8.7999999999999989</v>
      </c>
      <c r="BC117" s="12">
        <f t="shared" si="31"/>
        <v>8.2000000000000011</v>
      </c>
      <c r="BD117" s="12">
        <f t="shared" si="32"/>
        <v>19.3</v>
      </c>
      <c r="BE117" s="12">
        <f t="shared" si="19"/>
        <v>8.2000000000000011</v>
      </c>
      <c r="BF117" s="12">
        <f t="shared" si="19"/>
        <v>6.6000000000000005</v>
      </c>
      <c r="BG117" s="12">
        <f t="shared" si="19"/>
        <v>19.3</v>
      </c>
      <c r="BH117" s="12">
        <f t="shared" si="19"/>
        <v>57.4</v>
      </c>
      <c r="BI117" s="12">
        <f t="shared" si="20"/>
        <v>56.3</v>
      </c>
    </row>
    <row r="118" spans="1:61" ht="15.75" customHeight="1">
      <c r="A118" s="1" t="s">
        <v>249</v>
      </c>
      <c r="B118" s="3" t="s">
        <v>114</v>
      </c>
      <c r="C118" s="4" t="s">
        <v>8</v>
      </c>
      <c r="D118" s="4">
        <v>32</v>
      </c>
      <c r="E118" s="4">
        <v>491</v>
      </c>
      <c r="F118" s="4">
        <v>32</v>
      </c>
      <c r="G118" s="4">
        <v>491</v>
      </c>
      <c r="H118" s="4">
        <v>11.2</v>
      </c>
      <c r="I118" s="4">
        <v>0.55300000000000005</v>
      </c>
      <c r="J118" s="4">
        <v>0.51700000000000002</v>
      </c>
      <c r="K118" s="4">
        <v>0.69799999999999995</v>
      </c>
      <c r="L118" s="4">
        <v>0.24099999999999999</v>
      </c>
      <c r="M118" s="4">
        <v>2.8</v>
      </c>
      <c r="N118" s="4">
        <v>7.8</v>
      </c>
      <c r="O118" s="4">
        <v>8.1999999999999993</v>
      </c>
      <c r="P118" s="4">
        <v>2.6</v>
      </c>
      <c r="Q118" s="4">
        <v>0.6</v>
      </c>
      <c r="R118" s="4">
        <v>10.5</v>
      </c>
      <c r="S118" s="4">
        <v>12.7</v>
      </c>
      <c r="T118" s="4">
        <v>110</v>
      </c>
      <c r="U118" s="4">
        <v>111</v>
      </c>
      <c r="V118" s="4"/>
      <c r="W118" s="4">
        <v>0.4</v>
      </c>
      <c r="X118" s="4">
        <v>0.5</v>
      </c>
      <c r="Y118" s="4">
        <v>0.9</v>
      </c>
      <c r="Z118" s="4">
        <v>7.4999999999999997E-2</v>
      </c>
      <c r="AA118" s="13">
        <f>(I118/TOTAL_BASIC!$D$301)*100</f>
        <v>98.696948621935562</v>
      </c>
      <c r="AB118" s="5">
        <f t="shared" si="21"/>
        <v>1.1000000000000001</v>
      </c>
      <c r="AC118" s="3">
        <f t="shared" si="33"/>
        <v>-1</v>
      </c>
      <c r="AD118" s="9">
        <f t="shared" si="22"/>
        <v>1.1060000000000001</v>
      </c>
      <c r="AE118" s="16">
        <f t="shared" si="23"/>
        <v>0.64566929133858264</v>
      </c>
      <c r="AF118" s="16">
        <f t="shared" si="24"/>
        <v>0.78095238095238084</v>
      </c>
      <c r="AG118" s="9"/>
      <c r="AH118" s="9"/>
      <c r="AI118" s="12">
        <f t="shared" si="25"/>
        <v>35.299999999999997</v>
      </c>
      <c r="AJ118" s="12">
        <f t="shared" si="26"/>
        <v>36.4</v>
      </c>
      <c r="AK118" s="12">
        <f t="shared" si="26"/>
        <v>39.200000000000003</v>
      </c>
      <c r="AL118" s="12">
        <f t="shared" si="26"/>
        <v>45.800000000000004</v>
      </c>
      <c r="AM118" s="12">
        <f t="shared" si="26"/>
        <v>53.5</v>
      </c>
      <c r="AN118" s="12">
        <f t="shared" si="18"/>
        <v>93.300000000000011</v>
      </c>
      <c r="AO118" s="12">
        <f t="shared" si="18"/>
        <v>37.5</v>
      </c>
      <c r="AP118" s="12">
        <f t="shared" si="18"/>
        <v>30.3</v>
      </c>
      <c r="AQ118" s="12">
        <f t="shared" si="18"/>
        <v>41.9</v>
      </c>
      <c r="AR118" s="12">
        <f t="shared" si="29"/>
        <v>18.7</v>
      </c>
      <c r="AS118" s="12">
        <f t="shared" si="29"/>
        <v>88.3</v>
      </c>
      <c r="AT118" s="12">
        <f t="shared" si="29"/>
        <v>19.8</v>
      </c>
      <c r="AU118" s="12">
        <f t="shared" si="27"/>
        <v>84.6</v>
      </c>
      <c r="AV118" s="12">
        <f t="shared" si="30"/>
        <v>9.3000000000000007</v>
      </c>
      <c r="AW118" s="12">
        <f t="shared" si="30"/>
        <v>60.699999999999996</v>
      </c>
      <c r="AX118" s="12">
        <f t="shared" si="28"/>
        <v>48.699999999999996</v>
      </c>
      <c r="AY118" s="9"/>
      <c r="AZ118" s="12">
        <f t="shared" si="31"/>
        <v>46.9</v>
      </c>
      <c r="BA118" s="12">
        <f t="shared" si="31"/>
        <v>39.700000000000003</v>
      </c>
      <c r="BB118" s="12">
        <f t="shared" si="31"/>
        <v>45.800000000000004</v>
      </c>
      <c r="BC118" s="12">
        <f t="shared" si="31"/>
        <v>51.300000000000004</v>
      </c>
      <c r="BD118" s="12">
        <f t="shared" si="32"/>
        <v>45.800000000000004</v>
      </c>
      <c r="BE118" s="12">
        <f t="shared" si="19"/>
        <v>60.699999999999996</v>
      </c>
      <c r="BF118" s="12">
        <f t="shared" si="19"/>
        <v>57.999999999999993</v>
      </c>
      <c r="BG118" s="12">
        <f t="shared" si="19"/>
        <v>45.800000000000004</v>
      </c>
      <c r="BH118" s="12">
        <f t="shared" si="19"/>
        <v>39.700000000000003</v>
      </c>
      <c r="BI118" s="12">
        <f t="shared" si="20"/>
        <v>30.9</v>
      </c>
    </row>
    <row r="119" spans="1:61" ht="15.75" customHeight="1">
      <c r="A119" s="1" t="s">
        <v>234</v>
      </c>
      <c r="B119" s="3" t="s">
        <v>232</v>
      </c>
      <c r="C119" s="4" t="s">
        <v>85</v>
      </c>
      <c r="D119" s="4">
        <v>37</v>
      </c>
      <c r="E119" s="4">
        <v>490</v>
      </c>
      <c r="F119" s="4">
        <v>37</v>
      </c>
      <c r="G119" s="4">
        <v>490</v>
      </c>
      <c r="H119" s="4">
        <v>12.2</v>
      </c>
      <c r="I119" s="4">
        <v>0.57999999999999996</v>
      </c>
      <c r="J119" s="4">
        <v>0.55600000000000005</v>
      </c>
      <c r="K119" s="4">
        <v>1.7000000000000001E-2</v>
      </c>
      <c r="L119" s="4">
        <v>0.44800000000000001</v>
      </c>
      <c r="M119" s="4">
        <v>8.6999999999999993</v>
      </c>
      <c r="N119" s="4">
        <v>13.2</v>
      </c>
      <c r="O119" s="4">
        <v>5.9</v>
      </c>
      <c r="P119" s="4">
        <v>1.7</v>
      </c>
      <c r="Q119" s="4">
        <v>3.2</v>
      </c>
      <c r="R119" s="4">
        <v>16.8</v>
      </c>
      <c r="S119" s="4">
        <v>15.3</v>
      </c>
      <c r="T119" s="4">
        <v>107</v>
      </c>
      <c r="U119" s="4">
        <v>114</v>
      </c>
      <c r="V119" s="4"/>
      <c r="W119" s="4">
        <v>0.4</v>
      </c>
      <c r="X119" s="4">
        <v>0.3</v>
      </c>
      <c r="Y119" s="4">
        <v>0.7</v>
      </c>
      <c r="Z119" s="4">
        <v>5.6000000000000001E-2</v>
      </c>
      <c r="AA119" s="13">
        <f>(I119/TOTAL_BASIC!$D$301)*100</f>
        <v>103.51578698141523</v>
      </c>
      <c r="AB119" s="5">
        <f t="shared" si="21"/>
        <v>1.07</v>
      </c>
      <c r="AC119" s="3">
        <f t="shared" si="33"/>
        <v>-7</v>
      </c>
      <c r="AD119" s="9">
        <f t="shared" si="22"/>
        <v>1.1599999999999999</v>
      </c>
      <c r="AE119" s="16">
        <f t="shared" si="23"/>
        <v>0.38562091503267976</v>
      </c>
      <c r="AF119" s="16">
        <f t="shared" si="24"/>
        <v>0.35119047619047622</v>
      </c>
      <c r="AG119" s="9"/>
      <c r="AH119" s="9"/>
      <c r="AI119" s="12">
        <f t="shared" si="25"/>
        <v>51.300000000000004</v>
      </c>
      <c r="AJ119" s="12">
        <f t="shared" si="26"/>
        <v>35.9</v>
      </c>
      <c r="AK119" s="12">
        <f t="shared" si="26"/>
        <v>45.800000000000004</v>
      </c>
      <c r="AL119" s="12">
        <f t="shared" si="26"/>
        <v>66.8</v>
      </c>
      <c r="AM119" s="12">
        <f t="shared" si="26"/>
        <v>75.099999999999994</v>
      </c>
      <c r="AN119" s="12">
        <f t="shared" si="18"/>
        <v>3.8</v>
      </c>
      <c r="AO119" s="12">
        <f t="shared" si="18"/>
        <v>83.899999999999991</v>
      </c>
      <c r="AP119" s="12">
        <f t="shared" si="18"/>
        <v>83.899999999999991</v>
      </c>
      <c r="AQ119" s="12">
        <f t="shared" si="18"/>
        <v>77.3</v>
      </c>
      <c r="AR119" s="12">
        <f t="shared" si="29"/>
        <v>4.3999999999999995</v>
      </c>
      <c r="AS119" s="12">
        <f t="shared" si="29"/>
        <v>44.1</v>
      </c>
      <c r="AT119" s="12">
        <f t="shared" si="29"/>
        <v>81.2</v>
      </c>
      <c r="AU119" s="12">
        <f t="shared" si="27"/>
        <v>34.299999999999997</v>
      </c>
      <c r="AV119" s="12">
        <f t="shared" si="30"/>
        <v>20.9</v>
      </c>
      <c r="AW119" s="12">
        <f t="shared" si="30"/>
        <v>50.2</v>
      </c>
      <c r="AX119" s="12">
        <f t="shared" si="28"/>
        <v>24.900000000000006</v>
      </c>
      <c r="AY119" s="9"/>
      <c r="AZ119" s="12">
        <f t="shared" si="31"/>
        <v>46.9</v>
      </c>
      <c r="BA119" s="12">
        <f t="shared" si="31"/>
        <v>28.1</v>
      </c>
      <c r="BB119" s="12">
        <f t="shared" si="31"/>
        <v>38.1</v>
      </c>
      <c r="BC119" s="12">
        <f t="shared" si="31"/>
        <v>38.6</v>
      </c>
      <c r="BD119" s="12">
        <f t="shared" si="32"/>
        <v>66.8</v>
      </c>
      <c r="BE119" s="12">
        <f t="shared" si="19"/>
        <v>50.2</v>
      </c>
      <c r="BF119" s="12">
        <f t="shared" si="19"/>
        <v>38.6</v>
      </c>
      <c r="BG119" s="12">
        <f t="shared" si="19"/>
        <v>66.8</v>
      </c>
      <c r="BH119" s="12">
        <f t="shared" si="19"/>
        <v>6.6000000000000005</v>
      </c>
      <c r="BI119" s="12">
        <f t="shared" si="20"/>
        <v>2.7</v>
      </c>
    </row>
    <row r="120" spans="1:61" ht="15.75" customHeight="1">
      <c r="A120" s="1" t="s">
        <v>206</v>
      </c>
      <c r="B120" s="3" t="s">
        <v>157</v>
      </c>
      <c r="C120" s="4" t="s">
        <v>85</v>
      </c>
      <c r="D120" s="4">
        <v>35</v>
      </c>
      <c r="E120" s="4">
        <v>482</v>
      </c>
      <c r="F120" s="4">
        <v>35</v>
      </c>
      <c r="G120" s="4">
        <v>482</v>
      </c>
      <c r="H120" s="4">
        <v>10.7</v>
      </c>
      <c r="I120" s="4">
        <v>0.54200000000000004</v>
      </c>
      <c r="J120" s="4">
        <v>0.52300000000000002</v>
      </c>
      <c r="K120" s="4">
        <v>0.21099999999999999</v>
      </c>
      <c r="L120" s="4">
        <v>0.28399999999999997</v>
      </c>
      <c r="M120" s="4">
        <v>5.7</v>
      </c>
      <c r="N120" s="4">
        <v>14.9</v>
      </c>
      <c r="O120" s="4">
        <v>14.7</v>
      </c>
      <c r="P120" s="4">
        <v>1.7</v>
      </c>
      <c r="Q120" s="4">
        <v>2.2999999999999998</v>
      </c>
      <c r="R120" s="4">
        <v>23.2</v>
      </c>
      <c r="S120" s="4">
        <v>14.5</v>
      </c>
      <c r="T120" s="4">
        <v>103</v>
      </c>
      <c r="U120" s="4">
        <v>108</v>
      </c>
      <c r="V120" s="4"/>
      <c r="W120" s="4">
        <v>0.1</v>
      </c>
      <c r="X120" s="4">
        <v>0.7</v>
      </c>
      <c r="Y120" s="4">
        <v>0.8</v>
      </c>
      <c r="Z120" s="4">
        <v>6.6000000000000003E-2</v>
      </c>
      <c r="AA120" s="13">
        <f>(I120/TOTAL_BASIC!$D$301)*100</f>
        <v>96.733718179184592</v>
      </c>
      <c r="AB120" s="5">
        <f t="shared" si="21"/>
        <v>1.03</v>
      </c>
      <c r="AC120" s="3">
        <f t="shared" si="33"/>
        <v>-5</v>
      </c>
      <c r="AD120" s="9">
        <f t="shared" si="22"/>
        <v>1.0840000000000001</v>
      </c>
      <c r="AE120" s="16">
        <f t="shared" si="23"/>
        <v>1.0137931034482759</v>
      </c>
      <c r="AF120" s="16">
        <f t="shared" si="24"/>
        <v>0.63362068965517238</v>
      </c>
      <c r="AG120" s="9"/>
      <c r="AH120" s="9"/>
      <c r="AI120" s="12">
        <f t="shared" si="25"/>
        <v>44.7</v>
      </c>
      <c r="AJ120" s="12">
        <f t="shared" si="26"/>
        <v>35.299999999999997</v>
      </c>
      <c r="AK120" s="12">
        <f t="shared" si="26"/>
        <v>34.799999999999997</v>
      </c>
      <c r="AL120" s="12">
        <f t="shared" si="26"/>
        <v>41.9</v>
      </c>
      <c r="AM120" s="12">
        <f t="shared" si="26"/>
        <v>57.4</v>
      </c>
      <c r="AN120" s="12">
        <f t="shared" si="18"/>
        <v>17.599999999999998</v>
      </c>
      <c r="AO120" s="12">
        <f t="shared" si="18"/>
        <v>49.1</v>
      </c>
      <c r="AP120" s="12">
        <f t="shared" si="18"/>
        <v>61.3</v>
      </c>
      <c r="AQ120" s="12">
        <f t="shared" si="18"/>
        <v>83.399999999999991</v>
      </c>
      <c r="AR120" s="12">
        <f t="shared" si="29"/>
        <v>56.3</v>
      </c>
      <c r="AS120" s="12">
        <f t="shared" si="29"/>
        <v>44.1</v>
      </c>
      <c r="AT120" s="12">
        <f t="shared" si="29"/>
        <v>70.7</v>
      </c>
      <c r="AU120" s="12">
        <f t="shared" si="27"/>
        <v>6.1000000000000085</v>
      </c>
      <c r="AV120" s="12">
        <f t="shared" si="30"/>
        <v>17.100000000000001</v>
      </c>
      <c r="AW120" s="12">
        <f t="shared" si="30"/>
        <v>33.700000000000003</v>
      </c>
      <c r="AX120" s="12">
        <f t="shared" si="28"/>
        <v>71.3</v>
      </c>
      <c r="AY120" s="9"/>
      <c r="AZ120" s="12">
        <f t="shared" si="31"/>
        <v>32.5</v>
      </c>
      <c r="BA120" s="12">
        <f t="shared" si="31"/>
        <v>54.1</v>
      </c>
      <c r="BB120" s="12">
        <f t="shared" si="31"/>
        <v>41.9</v>
      </c>
      <c r="BC120" s="12">
        <f t="shared" si="31"/>
        <v>41.4</v>
      </c>
      <c r="BD120" s="12">
        <f t="shared" si="32"/>
        <v>41.9</v>
      </c>
      <c r="BE120" s="12">
        <f t="shared" si="19"/>
        <v>33.700000000000003</v>
      </c>
      <c r="BF120" s="12">
        <f t="shared" si="19"/>
        <v>43</v>
      </c>
      <c r="BG120" s="12">
        <f t="shared" si="19"/>
        <v>41.9</v>
      </c>
      <c r="BH120" s="12">
        <f t="shared" si="19"/>
        <v>72.899999999999991</v>
      </c>
      <c r="BI120" s="12">
        <f t="shared" si="20"/>
        <v>21.5</v>
      </c>
    </row>
    <row r="121" spans="1:61" ht="15.75" customHeight="1">
      <c r="A121" s="1" t="s">
        <v>264</v>
      </c>
      <c r="B121" s="3" t="s">
        <v>84</v>
      </c>
      <c r="C121" s="4" t="s">
        <v>112</v>
      </c>
      <c r="D121" s="4">
        <v>26</v>
      </c>
      <c r="E121" s="4">
        <v>476</v>
      </c>
      <c r="F121" s="4">
        <v>26</v>
      </c>
      <c r="G121" s="4">
        <v>476</v>
      </c>
      <c r="H121" s="4">
        <v>9.9</v>
      </c>
      <c r="I121" s="4">
        <v>0.56799999999999995</v>
      </c>
      <c r="J121" s="4">
        <v>0.54500000000000004</v>
      </c>
      <c r="K121" s="4">
        <v>0.66900000000000004</v>
      </c>
      <c r="L121" s="4">
        <v>0.124</v>
      </c>
      <c r="M121" s="4">
        <v>4</v>
      </c>
      <c r="N121" s="4">
        <v>8</v>
      </c>
      <c r="O121" s="4">
        <v>5.4</v>
      </c>
      <c r="P121" s="4">
        <v>1.6</v>
      </c>
      <c r="Q121" s="4">
        <v>1.9</v>
      </c>
      <c r="R121" s="4">
        <v>10.5</v>
      </c>
      <c r="S121" s="4">
        <v>13.4</v>
      </c>
      <c r="T121" s="4">
        <v>111</v>
      </c>
      <c r="U121" s="4">
        <v>110</v>
      </c>
      <c r="V121" s="4"/>
      <c r="W121" s="4">
        <v>0.5</v>
      </c>
      <c r="X121" s="4">
        <v>0.5</v>
      </c>
      <c r="Y121" s="4">
        <v>1</v>
      </c>
      <c r="Z121" s="4">
        <v>8.4000000000000005E-2</v>
      </c>
      <c r="AA121" s="13">
        <f>(I121/TOTAL_BASIC!$D$301)*100</f>
        <v>101.37408104386871</v>
      </c>
      <c r="AB121" s="5">
        <f t="shared" si="21"/>
        <v>1.1100000000000001</v>
      </c>
      <c r="AC121" s="3">
        <f t="shared" si="33"/>
        <v>1</v>
      </c>
      <c r="AD121" s="9">
        <f t="shared" si="22"/>
        <v>1.1359999999999999</v>
      </c>
      <c r="AE121" s="16">
        <f t="shared" si="23"/>
        <v>0.40298507462686567</v>
      </c>
      <c r="AF121" s="16">
        <f t="shared" si="24"/>
        <v>0.51428571428571435</v>
      </c>
      <c r="AG121" s="9"/>
      <c r="AH121" s="9"/>
      <c r="AI121" s="12">
        <f t="shared" si="25"/>
        <v>23.200000000000003</v>
      </c>
      <c r="AJ121" s="12">
        <f t="shared" si="26"/>
        <v>34.799999999999997</v>
      </c>
      <c r="AK121" s="12">
        <f t="shared" si="26"/>
        <v>25.4</v>
      </c>
      <c r="AL121" s="12">
        <f t="shared" si="26"/>
        <v>60.699999999999996</v>
      </c>
      <c r="AM121" s="12">
        <f t="shared" si="26"/>
        <v>68.5</v>
      </c>
      <c r="AN121" s="12">
        <f t="shared" si="18"/>
        <v>90</v>
      </c>
      <c r="AO121" s="12">
        <f t="shared" si="18"/>
        <v>11</v>
      </c>
      <c r="AP121" s="12">
        <f t="shared" si="18"/>
        <v>45.300000000000004</v>
      </c>
      <c r="AQ121" s="12">
        <f t="shared" si="18"/>
        <v>43.6</v>
      </c>
      <c r="AR121" s="12">
        <f t="shared" si="29"/>
        <v>2.1999999999999997</v>
      </c>
      <c r="AS121" s="12">
        <f t="shared" si="29"/>
        <v>40.300000000000004</v>
      </c>
      <c r="AT121" s="12">
        <f t="shared" si="29"/>
        <v>64</v>
      </c>
      <c r="AU121" s="12">
        <f t="shared" si="27"/>
        <v>84.6</v>
      </c>
      <c r="AV121" s="12">
        <f t="shared" si="30"/>
        <v>14.299999999999999</v>
      </c>
      <c r="AW121" s="12">
        <f t="shared" si="30"/>
        <v>64.600000000000009</v>
      </c>
      <c r="AX121" s="12">
        <f t="shared" si="28"/>
        <v>58.6</v>
      </c>
      <c r="AY121" s="9"/>
      <c r="AZ121" s="12">
        <f t="shared" si="31"/>
        <v>52.400000000000006</v>
      </c>
      <c r="BA121" s="12">
        <f t="shared" si="31"/>
        <v>39.700000000000003</v>
      </c>
      <c r="BB121" s="12">
        <f t="shared" si="31"/>
        <v>50.2</v>
      </c>
      <c r="BC121" s="12">
        <f t="shared" si="31"/>
        <v>56.899999999999991</v>
      </c>
      <c r="BD121" s="12">
        <f t="shared" si="32"/>
        <v>60.699999999999996</v>
      </c>
      <c r="BE121" s="12">
        <f t="shared" si="19"/>
        <v>64.600000000000009</v>
      </c>
      <c r="BF121" s="12">
        <f t="shared" si="19"/>
        <v>61.8</v>
      </c>
      <c r="BG121" s="12">
        <f t="shared" si="19"/>
        <v>60.699999999999996</v>
      </c>
      <c r="BH121" s="12">
        <f t="shared" si="19"/>
        <v>9.3000000000000007</v>
      </c>
      <c r="BI121" s="12">
        <f t="shared" si="20"/>
        <v>12.7</v>
      </c>
    </row>
    <row r="122" spans="1:61" ht="15.75" customHeight="1">
      <c r="A122" s="1" t="s">
        <v>254</v>
      </c>
      <c r="B122" s="3" t="s">
        <v>232</v>
      </c>
      <c r="C122" s="4" t="s">
        <v>8</v>
      </c>
      <c r="D122" s="4">
        <v>30</v>
      </c>
      <c r="E122" s="4">
        <v>475</v>
      </c>
      <c r="F122" s="4">
        <v>30</v>
      </c>
      <c r="G122" s="4">
        <v>475</v>
      </c>
      <c r="H122" s="4">
        <v>10.3</v>
      </c>
      <c r="I122" s="4">
        <v>0.56499999999999995</v>
      </c>
      <c r="J122" s="4">
        <v>0.504</v>
      </c>
      <c r="K122" s="4">
        <v>0.84099999999999997</v>
      </c>
      <c r="L122" s="4">
        <v>0.29199999999999998</v>
      </c>
      <c r="M122" s="4">
        <v>4</v>
      </c>
      <c r="N122" s="4">
        <v>6</v>
      </c>
      <c r="O122" s="4">
        <v>7.6</v>
      </c>
      <c r="P122" s="4">
        <v>1.8</v>
      </c>
      <c r="Q122" s="4">
        <v>0.6</v>
      </c>
      <c r="R122" s="4">
        <v>7.3</v>
      </c>
      <c r="S122" s="4">
        <v>13</v>
      </c>
      <c r="T122" s="4">
        <v>119</v>
      </c>
      <c r="U122" s="4">
        <v>118</v>
      </c>
      <c r="V122" s="4"/>
      <c r="W122" s="4">
        <v>0.8</v>
      </c>
      <c r="X122" s="4">
        <v>0</v>
      </c>
      <c r="Y122" s="4">
        <v>0.8</v>
      </c>
      <c r="Z122" s="4">
        <v>6.9000000000000006E-2</v>
      </c>
      <c r="AA122" s="13">
        <f>(I122/TOTAL_BASIC!$D$301)*100</f>
        <v>100.83865455948207</v>
      </c>
      <c r="AB122" s="5">
        <f t="shared" si="21"/>
        <v>1.19</v>
      </c>
      <c r="AC122" s="3">
        <f t="shared" si="33"/>
        <v>1</v>
      </c>
      <c r="AD122" s="9">
        <f t="shared" si="22"/>
        <v>1.1299999999999999</v>
      </c>
      <c r="AE122" s="16">
        <f t="shared" si="23"/>
        <v>0.58461538461538454</v>
      </c>
      <c r="AF122" s="16">
        <f t="shared" si="24"/>
        <v>1.0410958904109588</v>
      </c>
      <c r="AG122" s="9"/>
      <c r="AH122" s="9"/>
      <c r="AI122" s="12">
        <f t="shared" si="25"/>
        <v>32</v>
      </c>
      <c r="AJ122" s="12">
        <f t="shared" si="26"/>
        <v>34.200000000000003</v>
      </c>
      <c r="AK122" s="12">
        <f t="shared" si="26"/>
        <v>28.7</v>
      </c>
      <c r="AL122" s="12">
        <f t="shared" si="26"/>
        <v>57.999999999999993</v>
      </c>
      <c r="AM122" s="12">
        <f t="shared" si="26"/>
        <v>47.5</v>
      </c>
      <c r="AN122" s="12">
        <f t="shared" si="18"/>
        <v>100</v>
      </c>
      <c r="AO122" s="12">
        <f t="shared" si="18"/>
        <v>53.5</v>
      </c>
      <c r="AP122" s="12">
        <f t="shared" si="18"/>
        <v>45.300000000000004</v>
      </c>
      <c r="AQ122" s="12">
        <f t="shared" si="18"/>
        <v>20.9</v>
      </c>
      <c r="AR122" s="12">
        <f t="shared" si="29"/>
        <v>12.1</v>
      </c>
      <c r="AS122" s="12">
        <f t="shared" si="29"/>
        <v>51.300000000000004</v>
      </c>
      <c r="AT122" s="12">
        <f t="shared" si="29"/>
        <v>19.8</v>
      </c>
      <c r="AU122" s="12">
        <f t="shared" si="27"/>
        <v>96.7</v>
      </c>
      <c r="AV122" s="12">
        <f t="shared" si="30"/>
        <v>12.1</v>
      </c>
      <c r="AW122" s="12">
        <f t="shared" si="30"/>
        <v>82.3</v>
      </c>
      <c r="AX122" s="12">
        <f t="shared" si="28"/>
        <v>6.6999999999999886</v>
      </c>
      <c r="AY122" s="9"/>
      <c r="AZ122" s="12">
        <f t="shared" si="31"/>
        <v>64.600000000000009</v>
      </c>
      <c r="BA122" s="12">
        <f t="shared" si="31"/>
        <v>4.3999999999999995</v>
      </c>
      <c r="BB122" s="12">
        <f t="shared" si="31"/>
        <v>41.9</v>
      </c>
      <c r="BC122" s="12">
        <f t="shared" si="31"/>
        <v>45.300000000000004</v>
      </c>
      <c r="BD122" s="12">
        <f t="shared" si="32"/>
        <v>57.999999999999993</v>
      </c>
      <c r="BE122" s="12">
        <f t="shared" si="19"/>
        <v>82.3</v>
      </c>
      <c r="BF122" s="12">
        <f t="shared" si="19"/>
        <v>61.8</v>
      </c>
      <c r="BG122" s="12">
        <f t="shared" si="19"/>
        <v>57.999999999999993</v>
      </c>
      <c r="BH122" s="12">
        <f t="shared" si="19"/>
        <v>31.4</v>
      </c>
      <c r="BI122" s="12">
        <f t="shared" si="20"/>
        <v>55.800000000000004</v>
      </c>
    </row>
    <row r="123" spans="1:61" ht="15.75" customHeight="1">
      <c r="A123" s="1" t="s">
        <v>133</v>
      </c>
      <c r="B123" s="3" t="s">
        <v>99</v>
      </c>
      <c r="C123" s="4" t="s">
        <v>8</v>
      </c>
      <c r="D123" s="4">
        <v>32</v>
      </c>
      <c r="E123" s="4">
        <v>461</v>
      </c>
      <c r="F123" s="4">
        <v>32</v>
      </c>
      <c r="G123" s="4">
        <v>461</v>
      </c>
      <c r="H123" s="4">
        <v>9</v>
      </c>
      <c r="I123" s="4">
        <v>0.48799999999999999</v>
      </c>
      <c r="J123" s="4">
        <v>0.43099999999999999</v>
      </c>
      <c r="K123" s="4">
        <v>0.34799999999999998</v>
      </c>
      <c r="L123" s="4">
        <v>0.26100000000000001</v>
      </c>
      <c r="M123" s="4">
        <v>1</v>
      </c>
      <c r="N123" s="4">
        <v>3.9</v>
      </c>
      <c r="O123" s="4">
        <v>19.8</v>
      </c>
      <c r="P123" s="4">
        <v>1.8</v>
      </c>
      <c r="Q123" s="4">
        <v>0.4</v>
      </c>
      <c r="R123" s="4">
        <v>17.7</v>
      </c>
      <c r="S123" s="4">
        <v>18.100000000000001</v>
      </c>
      <c r="T123" s="4">
        <v>97</v>
      </c>
      <c r="U123" s="4">
        <v>111</v>
      </c>
      <c r="V123" s="4"/>
      <c r="W123" s="4">
        <v>-0.2</v>
      </c>
      <c r="X123" s="4">
        <v>0.4</v>
      </c>
      <c r="Y123" s="4">
        <v>0.2</v>
      </c>
      <c r="Z123" s="4">
        <v>2.1000000000000001E-2</v>
      </c>
      <c r="AA123" s="13">
        <f>(I123/TOTAL_BASIC!$D$301)*100</f>
        <v>87.096041460225223</v>
      </c>
      <c r="AB123" s="5">
        <f t="shared" si="21"/>
        <v>0.97</v>
      </c>
      <c r="AC123" s="3">
        <f t="shared" si="33"/>
        <v>-14</v>
      </c>
      <c r="AD123" s="9">
        <f t="shared" si="22"/>
        <v>0.97599999999999998</v>
      </c>
      <c r="AE123" s="16">
        <f t="shared" si="23"/>
        <v>1.0939226519337015</v>
      </c>
      <c r="AF123" s="16">
        <f t="shared" si="24"/>
        <v>1.1186440677966103</v>
      </c>
      <c r="AG123" s="9"/>
      <c r="AH123" s="9"/>
      <c r="AI123" s="12">
        <f t="shared" si="25"/>
        <v>35.299999999999997</v>
      </c>
      <c r="AJ123" s="12">
        <f t="shared" si="26"/>
        <v>33.700000000000003</v>
      </c>
      <c r="AK123" s="12">
        <f t="shared" si="26"/>
        <v>18.7</v>
      </c>
      <c r="AL123" s="12">
        <f t="shared" si="26"/>
        <v>16.5</v>
      </c>
      <c r="AM123" s="12">
        <f t="shared" si="26"/>
        <v>10.4</v>
      </c>
      <c r="AN123" s="12">
        <f t="shared" si="18"/>
        <v>36.4</v>
      </c>
      <c r="AO123" s="12">
        <f t="shared" si="18"/>
        <v>43.6</v>
      </c>
      <c r="AP123" s="12">
        <f t="shared" si="18"/>
        <v>6</v>
      </c>
      <c r="AQ123" s="12">
        <f t="shared" si="18"/>
        <v>3.8</v>
      </c>
      <c r="AR123" s="12">
        <f t="shared" si="29"/>
        <v>75.599999999999994</v>
      </c>
      <c r="AS123" s="12">
        <f t="shared" si="29"/>
        <v>51.300000000000004</v>
      </c>
      <c r="AT123" s="12">
        <f t="shared" si="29"/>
        <v>14.899999999999999</v>
      </c>
      <c r="AU123" s="12">
        <f t="shared" si="27"/>
        <v>28.200000000000003</v>
      </c>
      <c r="AV123" s="12">
        <f t="shared" si="30"/>
        <v>48</v>
      </c>
      <c r="AW123" s="12">
        <f t="shared" si="30"/>
        <v>15.4</v>
      </c>
      <c r="AX123" s="12">
        <f t="shared" si="28"/>
        <v>48.699999999999996</v>
      </c>
      <c r="AY123" s="9"/>
      <c r="AZ123" s="12">
        <f t="shared" si="31"/>
        <v>13.8</v>
      </c>
      <c r="BA123" s="12">
        <f t="shared" si="31"/>
        <v>33.700000000000003</v>
      </c>
      <c r="BB123" s="12">
        <f t="shared" si="31"/>
        <v>20.9</v>
      </c>
      <c r="BC123" s="12">
        <f t="shared" si="31"/>
        <v>19.3</v>
      </c>
      <c r="BD123" s="12">
        <f t="shared" si="32"/>
        <v>16.5</v>
      </c>
      <c r="BE123" s="12">
        <f t="shared" si="19"/>
        <v>15.4</v>
      </c>
      <c r="BF123" s="12">
        <f t="shared" si="19"/>
        <v>18.2</v>
      </c>
      <c r="BG123" s="12">
        <f t="shared" si="19"/>
        <v>16.5</v>
      </c>
      <c r="BH123" s="12">
        <f t="shared" si="19"/>
        <v>76.7</v>
      </c>
      <c r="BI123" s="12">
        <f t="shared" si="20"/>
        <v>62.9</v>
      </c>
    </row>
    <row r="124" spans="1:61" ht="15.75" customHeight="1">
      <c r="A124" s="1" t="s">
        <v>172</v>
      </c>
      <c r="B124" s="3" t="s">
        <v>107</v>
      </c>
      <c r="C124" s="4" t="s">
        <v>88</v>
      </c>
      <c r="D124" s="4">
        <v>18</v>
      </c>
      <c r="E124" s="4">
        <v>455</v>
      </c>
      <c r="F124" s="4">
        <v>18</v>
      </c>
      <c r="G124" s="4">
        <v>455</v>
      </c>
      <c r="H124" s="4">
        <v>20</v>
      </c>
      <c r="I124" s="4">
        <v>0.56100000000000005</v>
      </c>
      <c r="J124" s="4">
        <v>0.53</v>
      </c>
      <c r="K124" s="4">
        <v>2.1999999999999999E-2</v>
      </c>
      <c r="L124" s="4">
        <v>0.34799999999999998</v>
      </c>
      <c r="M124" s="4">
        <v>8.8000000000000007</v>
      </c>
      <c r="N124" s="4">
        <v>14</v>
      </c>
      <c r="O124" s="4">
        <v>19.5</v>
      </c>
      <c r="P124" s="4">
        <v>0.9</v>
      </c>
      <c r="Q124" s="4">
        <v>6.7</v>
      </c>
      <c r="R124" s="4">
        <v>13.1</v>
      </c>
      <c r="S124" s="4">
        <v>23.6</v>
      </c>
      <c r="T124" s="4">
        <v>108</v>
      </c>
      <c r="U124" s="4">
        <v>110</v>
      </c>
      <c r="V124" s="4"/>
      <c r="W124" s="4">
        <v>0.6</v>
      </c>
      <c r="X124" s="4">
        <v>0.5</v>
      </c>
      <c r="Y124" s="4">
        <v>1.1000000000000001</v>
      </c>
      <c r="Z124" s="4">
        <v>9.8000000000000004E-2</v>
      </c>
      <c r="AA124" s="13">
        <f>(I124/TOTAL_BASIC!$D$301)*100</f>
        <v>100.12475258029991</v>
      </c>
      <c r="AB124" s="5">
        <f t="shared" si="21"/>
        <v>1.08</v>
      </c>
      <c r="AC124" s="3">
        <f t="shared" si="33"/>
        <v>-2</v>
      </c>
      <c r="AD124" s="9">
        <f t="shared" si="22"/>
        <v>1.1220000000000001</v>
      </c>
      <c r="AE124" s="16">
        <f t="shared" si="23"/>
        <v>0.82627118644067787</v>
      </c>
      <c r="AF124" s="16">
        <f t="shared" si="24"/>
        <v>1.4885496183206108</v>
      </c>
      <c r="AG124" s="9"/>
      <c r="AH124" s="9"/>
      <c r="AI124" s="12">
        <f t="shared" si="25"/>
        <v>12.7</v>
      </c>
      <c r="AJ124" s="12">
        <f t="shared" si="26"/>
        <v>33.1</v>
      </c>
      <c r="AK124" s="12">
        <f t="shared" si="26"/>
        <v>86.1</v>
      </c>
      <c r="AL124" s="12">
        <f t="shared" si="26"/>
        <v>54.1</v>
      </c>
      <c r="AM124" s="12">
        <f t="shared" si="26"/>
        <v>62.9</v>
      </c>
      <c r="AN124" s="12">
        <f t="shared" si="18"/>
        <v>4.3999999999999995</v>
      </c>
      <c r="AO124" s="12">
        <f t="shared" si="18"/>
        <v>66.2</v>
      </c>
      <c r="AP124" s="12">
        <f t="shared" si="18"/>
        <v>84.5</v>
      </c>
      <c r="AQ124" s="12">
        <f t="shared" si="18"/>
        <v>80.100000000000009</v>
      </c>
      <c r="AR124" s="12">
        <f t="shared" si="29"/>
        <v>74.5</v>
      </c>
      <c r="AS124" s="12">
        <f t="shared" si="29"/>
        <v>8.2000000000000011</v>
      </c>
      <c r="AT124" s="12">
        <f t="shared" si="29"/>
        <v>97.2</v>
      </c>
      <c r="AU124" s="12">
        <f t="shared" si="27"/>
        <v>65.8</v>
      </c>
      <c r="AV124" s="12">
        <f t="shared" si="30"/>
        <v>79</v>
      </c>
      <c r="AW124" s="12">
        <f t="shared" si="30"/>
        <v>54.1</v>
      </c>
      <c r="AX124" s="12">
        <f t="shared" si="28"/>
        <v>58.6</v>
      </c>
      <c r="AY124" s="9"/>
      <c r="AZ124" s="12">
        <f t="shared" si="31"/>
        <v>56.3</v>
      </c>
      <c r="BA124" s="12">
        <f t="shared" si="31"/>
        <v>39.700000000000003</v>
      </c>
      <c r="BB124" s="12">
        <f t="shared" si="31"/>
        <v>53.5</v>
      </c>
      <c r="BC124" s="12">
        <f t="shared" si="31"/>
        <v>64.600000000000009</v>
      </c>
      <c r="BD124" s="12">
        <f t="shared" si="32"/>
        <v>54.1</v>
      </c>
      <c r="BE124" s="12">
        <f t="shared" si="19"/>
        <v>54.1</v>
      </c>
      <c r="BF124" s="12">
        <f t="shared" si="19"/>
        <v>53.5</v>
      </c>
      <c r="BG124" s="12">
        <f t="shared" si="19"/>
        <v>54.1</v>
      </c>
      <c r="BH124" s="12">
        <f t="shared" si="19"/>
        <v>61.8</v>
      </c>
      <c r="BI124" s="12">
        <f t="shared" si="20"/>
        <v>80.100000000000009</v>
      </c>
    </row>
    <row r="125" spans="1:61" ht="15.75" customHeight="1">
      <c r="A125" s="1" t="s">
        <v>100</v>
      </c>
      <c r="B125" s="3" t="s">
        <v>240</v>
      </c>
      <c r="C125" s="4" t="s">
        <v>94</v>
      </c>
      <c r="D125" s="4">
        <v>27</v>
      </c>
      <c r="E125" s="4">
        <v>448</v>
      </c>
      <c r="F125" s="4">
        <v>27</v>
      </c>
      <c r="G125" s="4">
        <v>448</v>
      </c>
      <c r="H125" s="4">
        <v>7.8</v>
      </c>
      <c r="I125" s="4">
        <v>0.51100000000000001</v>
      </c>
      <c r="J125" s="4">
        <v>0.44900000000000001</v>
      </c>
      <c r="K125" s="4">
        <v>0.495</v>
      </c>
      <c r="L125" s="4">
        <v>0.34599999999999997</v>
      </c>
      <c r="M125" s="4">
        <v>1.7</v>
      </c>
      <c r="N125" s="4">
        <v>7</v>
      </c>
      <c r="O125" s="4">
        <v>18.100000000000001</v>
      </c>
      <c r="P125" s="4">
        <v>1.1000000000000001</v>
      </c>
      <c r="Q125" s="4">
        <v>0.8</v>
      </c>
      <c r="R125" s="4">
        <v>22.1</v>
      </c>
      <c r="S125" s="4">
        <v>15.8</v>
      </c>
      <c r="T125" s="4">
        <v>97</v>
      </c>
      <c r="U125" s="4">
        <v>110</v>
      </c>
      <c r="V125" s="4"/>
      <c r="W125" s="4">
        <v>-0.2</v>
      </c>
      <c r="X125" s="4">
        <v>0.5</v>
      </c>
      <c r="Y125" s="4">
        <v>0.3</v>
      </c>
      <c r="Z125" s="4">
        <v>2.8000000000000001E-2</v>
      </c>
      <c r="AA125" s="13">
        <f>(I125/TOTAL_BASIC!$D$301)*100</f>
        <v>91.200977840522739</v>
      </c>
      <c r="AB125" s="5">
        <f t="shared" si="21"/>
        <v>0.97</v>
      </c>
      <c r="AC125" s="3">
        <f t="shared" si="33"/>
        <v>-13</v>
      </c>
      <c r="AD125" s="9">
        <f t="shared" si="22"/>
        <v>1.022</v>
      </c>
      <c r="AE125" s="16">
        <f t="shared" si="23"/>
        <v>1.1455696202531647</v>
      </c>
      <c r="AF125" s="16">
        <f t="shared" si="24"/>
        <v>0.8190045248868778</v>
      </c>
      <c r="AG125" s="9"/>
      <c r="AH125" s="9"/>
      <c r="AI125" s="12">
        <f t="shared" si="25"/>
        <v>24.8</v>
      </c>
      <c r="AJ125" s="12">
        <f t="shared" si="26"/>
        <v>32.5</v>
      </c>
      <c r="AK125" s="12">
        <f t="shared" si="26"/>
        <v>9.9</v>
      </c>
      <c r="AL125" s="12">
        <f t="shared" si="26"/>
        <v>28.1</v>
      </c>
      <c r="AM125" s="12">
        <f t="shared" si="26"/>
        <v>17.599999999999998</v>
      </c>
      <c r="AN125" s="12">
        <f t="shared" si="18"/>
        <v>66.8</v>
      </c>
      <c r="AO125" s="12">
        <f t="shared" si="18"/>
        <v>65.7</v>
      </c>
      <c r="AP125" s="12">
        <f t="shared" si="18"/>
        <v>12.1</v>
      </c>
      <c r="AQ125" s="12">
        <f t="shared" si="18"/>
        <v>34.799999999999997</v>
      </c>
      <c r="AR125" s="12">
        <f t="shared" si="29"/>
        <v>71.2</v>
      </c>
      <c r="AS125" s="12">
        <f t="shared" si="29"/>
        <v>16.5</v>
      </c>
      <c r="AT125" s="12">
        <f t="shared" si="29"/>
        <v>30.3</v>
      </c>
      <c r="AU125" s="12">
        <f t="shared" si="27"/>
        <v>7.7999999999999972</v>
      </c>
      <c r="AV125" s="12">
        <f t="shared" si="30"/>
        <v>23.200000000000003</v>
      </c>
      <c r="AW125" s="12">
        <f t="shared" si="30"/>
        <v>15.4</v>
      </c>
      <c r="AX125" s="12">
        <f t="shared" si="28"/>
        <v>58.6</v>
      </c>
      <c r="AY125" s="9"/>
      <c r="AZ125" s="12">
        <f t="shared" si="31"/>
        <v>13.8</v>
      </c>
      <c r="BA125" s="12">
        <f t="shared" si="31"/>
        <v>39.700000000000003</v>
      </c>
      <c r="BB125" s="12">
        <f t="shared" si="31"/>
        <v>24.8</v>
      </c>
      <c r="BC125" s="12">
        <f t="shared" si="31"/>
        <v>24.8</v>
      </c>
      <c r="BD125" s="12">
        <f t="shared" si="32"/>
        <v>28.1</v>
      </c>
      <c r="BE125" s="12">
        <f t="shared" si="19"/>
        <v>15.4</v>
      </c>
      <c r="BF125" s="12">
        <f t="shared" si="19"/>
        <v>22</v>
      </c>
      <c r="BG125" s="12">
        <f t="shared" si="19"/>
        <v>28.1</v>
      </c>
      <c r="BH125" s="12">
        <f t="shared" si="19"/>
        <v>81.2</v>
      </c>
      <c r="BI125" s="12">
        <f t="shared" si="20"/>
        <v>34.200000000000003</v>
      </c>
    </row>
    <row r="126" spans="1:61" ht="15.75" customHeight="1">
      <c r="A126" s="1" t="s">
        <v>233</v>
      </c>
      <c r="B126" s="3" t="s">
        <v>107</v>
      </c>
      <c r="C126" s="4" t="s">
        <v>85</v>
      </c>
      <c r="D126" s="4">
        <v>37</v>
      </c>
      <c r="E126" s="4">
        <v>440</v>
      </c>
      <c r="F126" s="4">
        <v>37</v>
      </c>
      <c r="G126" s="4">
        <v>440</v>
      </c>
      <c r="H126" s="4">
        <v>10.5</v>
      </c>
      <c r="I126" s="4">
        <v>0.48699999999999999</v>
      </c>
      <c r="J126" s="4">
        <v>0.42799999999999999</v>
      </c>
      <c r="K126" s="4">
        <v>0.22700000000000001</v>
      </c>
      <c r="L126" s="4">
        <v>0.48499999999999999</v>
      </c>
      <c r="M126" s="4">
        <v>7.5</v>
      </c>
      <c r="N126" s="4">
        <v>9.1999999999999993</v>
      </c>
      <c r="O126" s="4">
        <v>11.4</v>
      </c>
      <c r="P126" s="4">
        <v>2.2999999999999998</v>
      </c>
      <c r="Q126" s="4">
        <v>2.2000000000000002</v>
      </c>
      <c r="R126" s="4">
        <v>15.3</v>
      </c>
      <c r="S126" s="4">
        <v>18.899999999999999</v>
      </c>
      <c r="T126" s="4">
        <v>97</v>
      </c>
      <c r="U126" s="4">
        <v>111</v>
      </c>
      <c r="V126" s="4"/>
      <c r="W126" s="4">
        <v>-0.2</v>
      </c>
      <c r="X126" s="4">
        <v>0.4</v>
      </c>
      <c r="Y126" s="4">
        <v>0.2</v>
      </c>
      <c r="Z126" s="4">
        <v>1.4999999999999999E-2</v>
      </c>
      <c r="AA126" s="13">
        <f>(I126/TOTAL_BASIC!$D$301)*100</f>
        <v>86.917565965429688</v>
      </c>
      <c r="AB126" s="5">
        <f t="shared" si="21"/>
        <v>0.97</v>
      </c>
      <c r="AC126" s="3">
        <f t="shared" si="33"/>
        <v>-14</v>
      </c>
      <c r="AD126" s="9">
        <f t="shared" si="22"/>
        <v>0.97399999999999998</v>
      </c>
      <c r="AE126" s="16">
        <f t="shared" si="23"/>
        <v>0.60317460317460325</v>
      </c>
      <c r="AF126" s="16">
        <f t="shared" si="24"/>
        <v>0.74509803921568629</v>
      </c>
      <c r="AG126" s="9"/>
      <c r="AH126" s="9"/>
      <c r="AI126" s="12">
        <f t="shared" si="25"/>
        <v>51.300000000000004</v>
      </c>
      <c r="AJ126" s="12">
        <f t="shared" si="26"/>
        <v>32</v>
      </c>
      <c r="AK126" s="12">
        <f t="shared" si="26"/>
        <v>31.4</v>
      </c>
      <c r="AL126" s="12">
        <f t="shared" si="26"/>
        <v>14.299999999999999</v>
      </c>
      <c r="AM126" s="12">
        <f t="shared" si="26"/>
        <v>9.9</v>
      </c>
      <c r="AN126" s="12">
        <f t="shared" si="18"/>
        <v>19.3</v>
      </c>
      <c r="AO126" s="12">
        <f t="shared" si="18"/>
        <v>91.100000000000009</v>
      </c>
      <c r="AP126" s="12">
        <f t="shared" si="18"/>
        <v>74</v>
      </c>
      <c r="AQ126" s="12">
        <f t="shared" si="18"/>
        <v>53</v>
      </c>
      <c r="AR126" s="12">
        <f t="shared" si="29"/>
        <v>34.799999999999997</v>
      </c>
      <c r="AS126" s="12">
        <f t="shared" si="29"/>
        <v>77.900000000000006</v>
      </c>
      <c r="AT126" s="12">
        <f t="shared" si="29"/>
        <v>69</v>
      </c>
      <c r="AU126" s="12">
        <f t="shared" si="27"/>
        <v>43.7</v>
      </c>
      <c r="AV126" s="12">
        <f t="shared" si="30"/>
        <v>54.6</v>
      </c>
      <c r="AW126" s="12">
        <f t="shared" si="30"/>
        <v>15.4</v>
      </c>
      <c r="AX126" s="12">
        <f t="shared" si="28"/>
        <v>48.699999999999996</v>
      </c>
      <c r="AY126" s="9"/>
      <c r="AZ126" s="12">
        <f t="shared" si="31"/>
        <v>13.8</v>
      </c>
      <c r="BA126" s="12">
        <f t="shared" si="31"/>
        <v>33.700000000000003</v>
      </c>
      <c r="BB126" s="12">
        <f t="shared" si="31"/>
        <v>20.9</v>
      </c>
      <c r="BC126" s="12">
        <f t="shared" si="31"/>
        <v>17.599999999999998</v>
      </c>
      <c r="BD126" s="12">
        <f t="shared" si="32"/>
        <v>14.299999999999999</v>
      </c>
      <c r="BE126" s="12">
        <f t="shared" si="19"/>
        <v>15.4</v>
      </c>
      <c r="BF126" s="12">
        <f t="shared" si="19"/>
        <v>18.2</v>
      </c>
      <c r="BG126" s="12">
        <f t="shared" si="19"/>
        <v>14.299999999999999</v>
      </c>
      <c r="BH126" s="12">
        <f t="shared" si="19"/>
        <v>35.9</v>
      </c>
      <c r="BI126" s="12">
        <f t="shared" si="20"/>
        <v>29.2</v>
      </c>
    </row>
    <row r="127" spans="1:61" ht="15.75" customHeight="1">
      <c r="A127" s="1" t="s">
        <v>178</v>
      </c>
      <c r="B127" s="3" t="s">
        <v>91</v>
      </c>
      <c r="C127" s="4" t="s">
        <v>85</v>
      </c>
      <c r="D127" s="4">
        <v>36</v>
      </c>
      <c r="E127" s="4">
        <v>425</v>
      </c>
      <c r="F127" s="4">
        <v>36</v>
      </c>
      <c r="G127" s="4">
        <v>425</v>
      </c>
      <c r="H127" s="4">
        <v>16.600000000000001</v>
      </c>
      <c r="I127" s="4">
        <v>0.54400000000000004</v>
      </c>
      <c r="J127" s="4">
        <v>0.52900000000000003</v>
      </c>
      <c r="K127" s="4">
        <v>0.16500000000000001</v>
      </c>
      <c r="L127" s="4">
        <v>0.48499999999999999</v>
      </c>
      <c r="M127" s="4">
        <v>12.3</v>
      </c>
      <c r="N127" s="4">
        <v>16.100000000000001</v>
      </c>
      <c r="O127" s="4">
        <v>14.4</v>
      </c>
      <c r="P127" s="4">
        <v>2.1</v>
      </c>
      <c r="Q127" s="4">
        <v>6.9</v>
      </c>
      <c r="R127" s="4">
        <v>18.8</v>
      </c>
      <c r="S127" s="4">
        <v>16.8</v>
      </c>
      <c r="T127" s="4">
        <v>108</v>
      </c>
      <c r="U127" s="4">
        <v>97</v>
      </c>
      <c r="V127" s="4"/>
      <c r="W127" s="4">
        <v>0.4</v>
      </c>
      <c r="X127" s="4">
        <v>1.3</v>
      </c>
      <c r="Y127" s="4">
        <v>1.7</v>
      </c>
      <c r="Z127" s="4">
        <v>0.16200000000000001</v>
      </c>
      <c r="AA127" s="13">
        <f>(I127/TOTAL_BASIC!$D$301)*100</f>
        <v>97.090669168775676</v>
      </c>
      <c r="AB127" s="5">
        <f t="shared" si="21"/>
        <v>1.08</v>
      </c>
      <c r="AC127" s="3">
        <f t="shared" si="33"/>
        <v>11</v>
      </c>
      <c r="AD127" s="9">
        <f t="shared" si="22"/>
        <v>1.0880000000000001</v>
      </c>
      <c r="AE127" s="16">
        <f t="shared" si="23"/>
        <v>0.8571428571428571</v>
      </c>
      <c r="AF127" s="16">
        <f t="shared" si="24"/>
        <v>0.76595744680851063</v>
      </c>
      <c r="AG127" s="9"/>
      <c r="AH127" s="9"/>
      <c r="AI127" s="12">
        <f t="shared" si="25"/>
        <v>47.5</v>
      </c>
      <c r="AJ127" s="12">
        <f t="shared" si="26"/>
        <v>31.4</v>
      </c>
      <c r="AK127" s="12">
        <f t="shared" si="26"/>
        <v>71.8</v>
      </c>
      <c r="AL127" s="12">
        <f t="shared" si="26"/>
        <v>43.6</v>
      </c>
      <c r="AM127" s="12">
        <f t="shared" si="26"/>
        <v>61.3</v>
      </c>
      <c r="AN127" s="12">
        <f t="shared" ref="AN127:AT142" si="34">(PERCENTRANK(K$3:K$298,K127))*100</f>
        <v>14.299999999999999</v>
      </c>
      <c r="AO127" s="12">
        <f t="shared" si="34"/>
        <v>91.100000000000009</v>
      </c>
      <c r="AP127" s="12">
        <f t="shared" si="34"/>
        <v>95</v>
      </c>
      <c r="AQ127" s="12">
        <f t="shared" si="34"/>
        <v>90</v>
      </c>
      <c r="AR127" s="12">
        <f t="shared" si="29"/>
        <v>54.1</v>
      </c>
      <c r="AS127" s="12">
        <f t="shared" si="29"/>
        <v>70.7</v>
      </c>
      <c r="AT127" s="12">
        <f t="shared" si="29"/>
        <v>97.7</v>
      </c>
      <c r="AU127" s="12">
        <f t="shared" si="27"/>
        <v>19.399999999999991</v>
      </c>
      <c r="AV127" s="12">
        <f t="shared" si="30"/>
        <v>32</v>
      </c>
      <c r="AW127" s="12">
        <f t="shared" si="30"/>
        <v>54.1</v>
      </c>
      <c r="AX127" s="12">
        <f t="shared" si="28"/>
        <v>99.5</v>
      </c>
      <c r="AY127" s="9"/>
      <c r="AZ127" s="12">
        <f t="shared" si="31"/>
        <v>46.9</v>
      </c>
      <c r="BA127" s="12">
        <f t="shared" si="31"/>
        <v>76.2</v>
      </c>
      <c r="BB127" s="12">
        <f t="shared" si="31"/>
        <v>65.7</v>
      </c>
      <c r="BC127" s="12">
        <f t="shared" si="31"/>
        <v>84.5</v>
      </c>
      <c r="BD127" s="12">
        <f t="shared" si="32"/>
        <v>43.6</v>
      </c>
      <c r="BE127" s="12">
        <f t="shared" si="19"/>
        <v>54.1</v>
      </c>
      <c r="BF127" s="12">
        <f t="shared" si="19"/>
        <v>81.699999999999989</v>
      </c>
      <c r="BG127" s="12">
        <f t="shared" si="19"/>
        <v>43.6</v>
      </c>
      <c r="BH127" s="12">
        <f t="shared" si="19"/>
        <v>64</v>
      </c>
      <c r="BI127" s="12">
        <f t="shared" si="20"/>
        <v>29.799999999999997</v>
      </c>
    </row>
    <row r="128" spans="1:61" ht="15.75" customHeight="1">
      <c r="A128" s="1" t="s">
        <v>258</v>
      </c>
      <c r="B128" s="4" t="s">
        <v>161</v>
      </c>
      <c r="C128" s="4" t="s">
        <v>88</v>
      </c>
      <c r="D128" s="4">
        <v>24</v>
      </c>
      <c r="E128" s="4">
        <v>424</v>
      </c>
      <c r="F128" s="4">
        <v>24</v>
      </c>
      <c r="G128" s="4">
        <v>424</v>
      </c>
      <c r="H128" s="4">
        <v>11</v>
      </c>
      <c r="I128" s="4">
        <v>0.56699999999999995</v>
      </c>
      <c r="J128" s="4">
        <v>0.55800000000000005</v>
      </c>
      <c r="K128" s="4">
        <v>0.28599999999999998</v>
      </c>
      <c r="L128" s="4">
        <v>0.28599999999999998</v>
      </c>
      <c r="M128" s="4">
        <v>8.3000000000000007</v>
      </c>
      <c r="N128" s="4">
        <v>11.7</v>
      </c>
      <c r="O128" s="4">
        <v>8.9</v>
      </c>
      <c r="P128" s="4">
        <v>1.4</v>
      </c>
      <c r="Q128" s="4">
        <v>1.8</v>
      </c>
      <c r="R128" s="4">
        <v>18.7</v>
      </c>
      <c r="S128" s="4">
        <v>16.100000000000001</v>
      </c>
      <c r="T128" s="4">
        <v>103</v>
      </c>
      <c r="U128" s="4">
        <v>119</v>
      </c>
      <c r="V128" s="4"/>
      <c r="W128" s="4">
        <v>0.1</v>
      </c>
      <c r="X128" s="4">
        <v>0</v>
      </c>
      <c r="Y128" s="4">
        <v>0.1</v>
      </c>
      <c r="Z128" s="4">
        <v>0.01</v>
      </c>
      <c r="AA128" s="13">
        <f>(I128/TOTAL_BASIC!$D$301)*100</f>
        <v>101.19560554907316</v>
      </c>
      <c r="AB128" s="5">
        <f t="shared" si="21"/>
        <v>1.03</v>
      </c>
      <c r="AC128" s="3">
        <f t="shared" si="33"/>
        <v>-16</v>
      </c>
      <c r="AD128" s="9">
        <f t="shared" si="22"/>
        <v>1.1339999999999999</v>
      </c>
      <c r="AE128" s="16">
        <f t="shared" si="23"/>
        <v>0.55279503105590055</v>
      </c>
      <c r="AF128" s="16">
        <f t="shared" si="24"/>
        <v>0.47593582887700536</v>
      </c>
      <c r="AG128" s="9"/>
      <c r="AH128" s="9"/>
      <c r="AI128" s="12">
        <f t="shared" si="25"/>
        <v>19.8</v>
      </c>
      <c r="AJ128" s="12">
        <f t="shared" si="26"/>
        <v>30.9</v>
      </c>
      <c r="AK128" s="12">
        <f t="shared" si="26"/>
        <v>38.1</v>
      </c>
      <c r="AL128" s="12">
        <f t="shared" si="26"/>
        <v>59.599999999999994</v>
      </c>
      <c r="AM128" s="12">
        <f t="shared" si="26"/>
        <v>76.2</v>
      </c>
      <c r="AN128" s="12">
        <f t="shared" si="34"/>
        <v>27.6</v>
      </c>
      <c r="AO128" s="12">
        <f t="shared" si="34"/>
        <v>51.300000000000004</v>
      </c>
      <c r="AP128" s="12">
        <f t="shared" si="34"/>
        <v>79.5</v>
      </c>
      <c r="AQ128" s="12">
        <f t="shared" si="34"/>
        <v>70.099999999999994</v>
      </c>
      <c r="AR128" s="12">
        <f t="shared" si="29"/>
        <v>23.200000000000003</v>
      </c>
      <c r="AS128" s="12">
        <f t="shared" si="29"/>
        <v>28.1</v>
      </c>
      <c r="AT128" s="12">
        <f t="shared" si="29"/>
        <v>62.9</v>
      </c>
      <c r="AU128" s="12">
        <f t="shared" si="27"/>
        <v>19.899999999999991</v>
      </c>
      <c r="AV128" s="12">
        <f t="shared" si="30"/>
        <v>24.3</v>
      </c>
      <c r="AW128" s="12">
        <f t="shared" si="30"/>
        <v>33.700000000000003</v>
      </c>
      <c r="AX128" s="12">
        <f t="shared" si="28"/>
        <v>4.5</v>
      </c>
      <c r="AY128" s="9"/>
      <c r="AZ128" s="12">
        <f t="shared" si="31"/>
        <v>32.5</v>
      </c>
      <c r="BA128" s="12">
        <f t="shared" si="31"/>
        <v>4.3999999999999995</v>
      </c>
      <c r="BB128" s="12">
        <f t="shared" si="31"/>
        <v>13.8</v>
      </c>
      <c r="BC128" s="12">
        <f t="shared" si="31"/>
        <v>14.299999999999999</v>
      </c>
      <c r="BD128" s="12">
        <f t="shared" si="32"/>
        <v>59.599999999999994</v>
      </c>
      <c r="BE128" s="12">
        <f t="shared" si="19"/>
        <v>33.700000000000003</v>
      </c>
      <c r="BF128" s="12">
        <f t="shared" si="19"/>
        <v>13.8</v>
      </c>
      <c r="BG128" s="12">
        <f t="shared" si="19"/>
        <v>59.599999999999994</v>
      </c>
      <c r="BH128" s="12">
        <f t="shared" si="19"/>
        <v>26.5</v>
      </c>
      <c r="BI128" s="12">
        <f t="shared" si="20"/>
        <v>8.7999999999999989</v>
      </c>
    </row>
    <row r="129" spans="1:61" ht="15.75" customHeight="1">
      <c r="A129" s="1" t="s">
        <v>192</v>
      </c>
      <c r="B129" s="3" t="s">
        <v>96</v>
      </c>
      <c r="C129" s="4" t="s">
        <v>8</v>
      </c>
      <c r="D129" s="4">
        <v>37</v>
      </c>
      <c r="E129" s="4">
        <v>423</v>
      </c>
      <c r="F129" s="4">
        <v>37</v>
      </c>
      <c r="G129" s="4">
        <v>423</v>
      </c>
      <c r="H129" s="4">
        <v>9.9</v>
      </c>
      <c r="I129" s="4">
        <v>0.61</v>
      </c>
      <c r="J129" s="4">
        <v>0.59399999999999997</v>
      </c>
      <c r="K129" s="4">
        <v>0.68200000000000005</v>
      </c>
      <c r="L129" s="4">
        <v>7.0999999999999994E-2</v>
      </c>
      <c r="M129" s="4">
        <v>2</v>
      </c>
      <c r="N129" s="4">
        <v>3.8</v>
      </c>
      <c r="O129" s="4">
        <v>12.5</v>
      </c>
      <c r="P129" s="4">
        <v>1.9</v>
      </c>
      <c r="Q129" s="4">
        <v>0</v>
      </c>
      <c r="R129" s="4">
        <v>13.8</v>
      </c>
      <c r="S129" s="4">
        <v>10.6</v>
      </c>
      <c r="T129" s="4">
        <v>122</v>
      </c>
      <c r="U129" s="4">
        <v>111</v>
      </c>
      <c r="V129" s="4"/>
      <c r="W129" s="4">
        <v>0.7</v>
      </c>
      <c r="X129" s="4">
        <v>0.4</v>
      </c>
      <c r="Y129" s="4">
        <v>1.1000000000000001</v>
      </c>
      <c r="Z129" s="4">
        <v>0.106</v>
      </c>
      <c r="AA129" s="13">
        <f>(I129/TOTAL_BASIC!$D$301)*100</f>
        <v>108.87005182528154</v>
      </c>
      <c r="AB129" s="5">
        <f t="shared" si="21"/>
        <v>1.22</v>
      </c>
      <c r="AC129" s="3">
        <f t="shared" si="33"/>
        <v>11</v>
      </c>
      <c r="AD129" s="9">
        <f t="shared" si="22"/>
        <v>1.22</v>
      </c>
      <c r="AE129" s="16">
        <f t="shared" si="23"/>
        <v>1.179245283018868</v>
      </c>
      <c r="AF129" s="16">
        <f t="shared" si="24"/>
        <v>0.90579710144927528</v>
      </c>
      <c r="AG129" s="9"/>
      <c r="AH129" s="9"/>
      <c r="AI129" s="12">
        <f t="shared" si="25"/>
        <v>51.300000000000004</v>
      </c>
      <c r="AJ129" s="12">
        <f t="shared" si="26"/>
        <v>29.799999999999997</v>
      </c>
      <c r="AK129" s="12">
        <f t="shared" si="26"/>
        <v>25.4</v>
      </c>
      <c r="AL129" s="12">
        <f t="shared" si="26"/>
        <v>81.699999999999989</v>
      </c>
      <c r="AM129" s="12">
        <f t="shared" si="26"/>
        <v>91.7</v>
      </c>
      <c r="AN129" s="12">
        <f t="shared" si="34"/>
        <v>91.100000000000009</v>
      </c>
      <c r="AO129" s="12">
        <f t="shared" si="34"/>
        <v>2.7</v>
      </c>
      <c r="AP129" s="12">
        <f t="shared" si="34"/>
        <v>14.899999999999999</v>
      </c>
      <c r="AQ129" s="12">
        <f t="shared" si="34"/>
        <v>2.7</v>
      </c>
      <c r="AR129" s="12">
        <f t="shared" si="29"/>
        <v>45.300000000000004</v>
      </c>
      <c r="AS129" s="12">
        <f t="shared" si="29"/>
        <v>57.999999999999993</v>
      </c>
      <c r="AT129" s="12">
        <f t="shared" si="29"/>
        <v>0</v>
      </c>
      <c r="AU129" s="12">
        <f t="shared" si="27"/>
        <v>59.699999999999996</v>
      </c>
      <c r="AV129" s="12">
        <f t="shared" si="30"/>
        <v>3.3000000000000003</v>
      </c>
      <c r="AW129" s="12">
        <f t="shared" si="30"/>
        <v>88.9</v>
      </c>
      <c r="AX129" s="12">
        <f t="shared" si="28"/>
        <v>48.699999999999996</v>
      </c>
      <c r="AY129" s="9"/>
      <c r="AZ129" s="12">
        <f t="shared" si="31"/>
        <v>61.8</v>
      </c>
      <c r="BA129" s="12">
        <f t="shared" si="31"/>
        <v>33.700000000000003</v>
      </c>
      <c r="BB129" s="12">
        <f t="shared" si="31"/>
        <v>53.5</v>
      </c>
      <c r="BC129" s="12">
        <f t="shared" si="31"/>
        <v>66.8</v>
      </c>
      <c r="BD129" s="12">
        <f t="shared" si="32"/>
        <v>81.699999999999989</v>
      </c>
      <c r="BE129" s="12">
        <f t="shared" si="19"/>
        <v>88.9</v>
      </c>
      <c r="BF129" s="12">
        <f t="shared" si="19"/>
        <v>81.699999999999989</v>
      </c>
      <c r="BG129" s="12">
        <f t="shared" si="19"/>
        <v>81.699999999999989</v>
      </c>
      <c r="BH129" s="12">
        <f t="shared" si="19"/>
        <v>83.899999999999991</v>
      </c>
      <c r="BI129" s="12">
        <f t="shared" si="20"/>
        <v>41.9</v>
      </c>
    </row>
    <row r="130" spans="1:61" ht="15.75" customHeight="1">
      <c r="A130" s="1" t="s">
        <v>195</v>
      </c>
      <c r="B130" s="3" t="s">
        <v>99</v>
      </c>
      <c r="C130" s="4" t="s">
        <v>8</v>
      </c>
      <c r="D130" s="4">
        <v>36</v>
      </c>
      <c r="E130" s="4">
        <v>423</v>
      </c>
      <c r="F130" s="4">
        <v>36</v>
      </c>
      <c r="G130" s="4">
        <v>423</v>
      </c>
      <c r="H130" s="4">
        <v>16.899999999999999</v>
      </c>
      <c r="I130" s="4">
        <v>0.48199999999999998</v>
      </c>
      <c r="J130" s="4">
        <v>0.432</v>
      </c>
      <c r="K130" s="4">
        <v>0.29299999999999998</v>
      </c>
      <c r="L130" s="4">
        <v>0.317</v>
      </c>
      <c r="M130" s="4">
        <v>6</v>
      </c>
      <c r="N130" s="4">
        <v>11.9</v>
      </c>
      <c r="O130" s="4">
        <v>16.399999999999999</v>
      </c>
      <c r="P130" s="4">
        <v>3.6</v>
      </c>
      <c r="Q130" s="4">
        <v>1.9</v>
      </c>
      <c r="R130" s="4">
        <v>10</v>
      </c>
      <c r="S130" s="4">
        <v>27.4</v>
      </c>
      <c r="T130" s="4">
        <v>101</v>
      </c>
      <c r="U130" s="4">
        <v>103</v>
      </c>
      <c r="V130" s="4"/>
      <c r="W130" s="4">
        <v>0</v>
      </c>
      <c r="X130" s="4">
        <v>0.9</v>
      </c>
      <c r="Y130" s="4">
        <v>0.9</v>
      </c>
      <c r="Z130" s="4">
        <v>8.6999999999999994E-2</v>
      </c>
      <c r="AA130" s="13">
        <f>(I130/TOTAL_BASIC!$D$301)*100</f>
        <v>86.025188491451971</v>
      </c>
      <c r="AB130" s="5">
        <f t="shared" si="21"/>
        <v>1.01</v>
      </c>
      <c r="AC130" s="3">
        <f t="shared" si="33"/>
        <v>-2</v>
      </c>
      <c r="AD130" s="9">
        <f t="shared" si="22"/>
        <v>0.96399999999999997</v>
      </c>
      <c r="AE130" s="16">
        <f t="shared" si="23"/>
        <v>0.5985401459854014</v>
      </c>
      <c r="AF130" s="16">
        <f t="shared" si="24"/>
        <v>1.64</v>
      </c>
      <c r="AG130" s="9"/>
      <c r="AH130" s="9"/>
      <c r="AI130" s="12">
        <f t="shared" si="25"/>
        <v>47.5</v>
      </c>
      <c r="AJ130" s="12">
        <f t="shared" si="26"/>
        <v>29.799999999999997</v>
      </c>
      <c r="AK130" s="12">
        <f t="shared" si="26"/>
        <v>72.3</v>
      </c>
      <c r="AL130" s="12">
        <f t="shared" si="26"/>
        <v>12.1</v>
      </c>
      <c r="AM130" s="12">
        <f t="shared" si="26"/>
        <v>11</v>
      </c>
      <c r="AN130" s="12">
        <f t="shared" si="34"/>
        <v>29.2</v>
      </c>
      <c r="AO130" s="12">
        <f t="shared" si="34"/>
        <v>58.5</v>
      </c>
      <c r="AP130" s="12">
        <f t="shared" si="34"/>
        <v>64.600000000000009</v>
      </c>
      <c r="AQ130" s="12">
        <f t="shared" si="34"/>
        <v>71.8</v>
      </c>
      <c r="AR130" s="12">
        <f t="shared" si="29"/>
        <v>62.9</v>
      </c>
      <c r="AS130" s="12">
        <f t="shared" si="29"/>
        <v>99.4</v>
      </c>
      <c r="AT130" s="12">
        <f t="shared" si="29"/>
        <v>64</v>
      </c>
      <c r="AU130" s="12">
        <f t="shared" si="27"/>
        <v>89</v>
      </c>
      <c r="AV130" s="12">
        <f t="shared" si="30"/>
        <v>92.2</v>
      </c>
      <c r="AW130" s="12">
        <f t="shared" si="30"/>
        <v>28.7</v>
      </c>
      <c r="AX130" s="12">
        <f t="shared" si="28"/>
        <v>93.4</v>
      </c>
      <c r="AY130" s="9"/>
      <c r="AZ130" s="12">
        <f t="shared" si="31"/>
        <v>24.8</v>
      </c>
      <c r="BA130" s="12">
        <f t="shared" si="31"/>
        <v>62.9</v>
      </c>
      <c r="BB130" s="12">
        <f t="shared" si="31"/>
        <v>45.800000000000004</v>
      </c>
      <c r="BC130" s="12">
        <f t="shared" si="31"/>
        <v>58.5</v>
      </c>
      <c r="BD130" s="12">
        <f t="shared" si="32"/>
        <v>12.1</v>
      </c>
      <c r="BE130" s="12">
        <f t="shared" si="19"/>
        <v>28.7</v>
      </c>
      <c r="BF130" s="12">
        <f t="shared" si="19"/>
        <v>53.5</v>
      </c>
      <c r="BG130" s="12">
        <f t="shared" si="19"/>
        <v>12.1</v>
      </c>
      <c r="BH130" s="12">
        <f t="shared" si="19"/>
        <v>34.200000000000003</v>
      </c>
      <c r="BI130" s="12">
        <f t="shared" si="20"/>
        <v>86.1</v>
      </c>
    </row>
    <row r="131" spans="1:61" ht="15.75" customHeight="1">
      <c r="A131" s="1" t="s">
        <v>217</v>
      </c>
      <c r="B131" s="3" t="s">
        <v>137</v>
      </c>
      <c r="C131" s="4" t="s">
        <v>8</v>
      </c>
      <c r="D131" s="4">
        <v>37</v>
      </c>
      <c r="E131" s="4">
        <v>417</v>
      </c>
      <c r="F131" s="4">
        <v>37</v>
      </c>
      <c r="G131" s="4">
        <v>417</v>
      </c>
      <c r="H131" s="4">
        <v>7.3</v>
      </c>
      <c r="I131" s="4">
        <v>0.54100000000000004</v>
      </c>
      <c r="J131" s="4">
        <v>0.5</v>
      </c>
      <c r="K131" s="4">
        <v>0.75</v>
      </c>
      <c r="L131" s="4">
        <v>0.217</v>
      </c>
      <c r="M131" s="4">
        <v>2.9</v>
      </c>
      <c r="N131" s="4">
        <v>5.9</v>
      </c>
      <c r="O131" s="4">
        <v>12.6</v>
      </c>
      <c r="P131" s="4">
        <v>0.7</v>
      </c>
      <c r="Q131" s="4">
        <v>0</v>
      </c>
      <c r="R131" s="4">
        <v>17.899999999999999</v>
      </c>
      <c r="S131" s="4">
        <v>12.9</v>
      </c>
      <c r="T131" s="4">
        <v>102</v>
      </c>
      <c r="U131" s="4">
        <v>118</v>
      </c>
      <c r="V131" s="4"/>
      <c r="W131" s="4">
        <v>0.1</v>
      </c>
      <c r="X131" s="4">
        <v>0</v>
      </c>
      <c r="Y131" s="4">
        <v>0.1</v>
      </c>
      <c r="Z131" s="4">
        <v>8.0000000000000002E-3</v>
      </c>
      <c r="AA131" s="13">
        <f>(I131/TOTAL_BASIC!$D$301)*100</f>
        <v>96.555242684389043</v>
      </c>
      <c r="AB131" s="5">
        <f t="shared" si="21"/>
        <v>1.02</v>
      </c>
      <c r="AC131" s="3">
        <f t="shared" si="33"/>
        <v>-16</v>
      </c>
      <c r="AD131" s="9">
        <f t="shared" si="22"/>
        <v>1.0820000000000001</v>
      </c>
      <c r="AE131" s="16">
        <f t="shared" si="23"/>
        <v>0.97674418604651159</v>
      </c>
      <c r="AF131" s="16">
        <f t="shared" si="24"/>
        <v>0.7039106145251397</v>
      </c>
      <c r="AG131" s="9"/>
      <c r="AH131" s="9"/>
      <c r="AI131" s="12">
        <f t="shared" si="25"/>
        <v>51.300000000000004</v>
      </c>
      <c r="AJ131" s="12">
        <f t="shared" si="26"/>
        <v>29.2</v>
      </c>
      <c r="AK131" s="12">
        <f t="shared" si="26"/>
        <v>8.2000000000000011</v>
      </c>
      <c r="AL131" s="12">
        <f t="shared" si="26"/>
        <v>41.4</v>
      </c>
      <c r="AM131" s="12">
        <f t="shared" ref="AM131:AT159" si="35">(PERCENTRANK(J$3:J$298,J131))*100</f>
        <v>44.7</v>
      </c>
      <c r="AN131" s="12">
        <f t="shared" si="34"/>
        <v>97.7</v>
      </c>
      <c r="AO131" s="12">
        <f t="shared" si="34"/>
        <v>29.799999999999997</v>
      </c>
      <c r="AP131" s="12">
        <f t="shared" si="34"/>
        <v>31.4</v>
      </c>
      <c r="AQ131" s="12">
        <f t="shared" si="34"/>
        <v>19.8</v>
      </c>
      <c r="AR131" s="12">
        <f t="shared" si="29"/>
        <v>46.400000000000006</v>
      </c>
      <c r="AS131" s="12">
        <f t="shared" si="29"/>
        <v>3.3000000000000003</v>
      </c>
      <c r="AT131" s="12">
        <f t="shared" si="29"/>
        <v>0</v>
      </c>
      <c r="AU131" s="12">
        <f t="shared" si="27"/>
        <v>26.599999999999994</v>
      </c>
      <c r="AV131" s="12">
        <f t="shared" si="30"/>
        <v>11</v>
      </c>
      <c r="AW131" s="12">
        <f t="shared" si="30"/>
        <v>31.4</v>
      </c>
      <c r="AX131" s="12">
        <f t="shared" si="28"/>
        <v>6.6999999999999886</v>
      </c>
      <c r="AY131" s="9"/>
      <c r="AZ131" s="12">
        <f t="shared" si="31"/>
        <v>32.5</v>
      </c>
      <c r="BA131" s="12">
        <f t="shared" si="31"/>
        <v>4.3999999999999995</v>
      </c>
      <c r="BB131" s="12">
        <f t="shared" si="31"/>
        <v>13.8</v>
      </c>
      <c r="BC131" s="12">
        <f t="shared" si="31"/>
        <v>12.7</v>
      </c>
      <c r="BD131" s="12">
        <f t="shared" si="32"/>
        <v>41.4</v>
      </c>
      <c r="BE131" s="12">
        <f t="shared" si="32"/>
        <v>31.4</v>
      </c>
      <c r="BF131" s="12">
        <f t="shared" si="32"/>
        <v>13.8</v>
      </c>
      <c r="BG131" s="12">
        <f t="shared" si="32"/>
        <v>41.4</v>
      </c>
      <c r="BH131" s="12">
        <f t="shared" si="32"/>
        <v>70.7</v>
      </c>
      <c r="BI131" s="12">
        <f t="shared" si="32"/>
        <v>26.5</v>
      </c>
    </row>
    <row r="132" spans="1:61" ht="15.75" customHeight="1">
      <c r="A132" s="1" t="s">
        <v>216</v>
      </c>
      <c r="B132" s="3" t="s">
        <v>107</v>
      </c>
      <c r="C132" s="4" t="s">
        <v>85</v>
      </c>
      <c r="D132" s="4">
        <v>35</v>
      </c>
      <c r="E132" s="4">
        <v>414</v>
      </c>
      <c r="F132" s="4">
        <v>35</v>
      </c>
      <c r="G132" s="4">
        <v>414</v>
      </c>
      <c r="H132" s="4">
        <v>11.2</v>
      </c>
      <c r="I132" s="4">
        <v>0.53700000000000003</v>
      </c>
      <c r="J132" s="4">
        <v>0.48499999999999999</v>
      </c>
      <c r="K132" s="4">
        <v>0.05</v>
      </c>
      <c r="L132" s="4">
        <v>0.53500000000000003</v>
      </c>
      <c r="M132" s="4">
        <v>11.6</v>
      </c>
      <c r="N132" s="4">
        <v>15.6</v>
      </c>
      <c r="O132" s="4">
        <v>11.6</v>
      </c>
      <c r="P132" s="4">
        <v>2</v>
      </c>
      <c r="Q132" s="4">
        <v>2.1</v>
      </c>
      <c r="R132" s="4">
        <v>20.399999999999999</v>
      </c>
      <c r="S132" s="4">
        <v>16.600000000000001</v>
      </c>
      <c r="T132" s="4">
        <v>102</v>
      </c>
      <c r="U132" s="4">
        <v>110</v>
      </c>
      <c r="V132" s="4"/>
      <c r="W132" s="4">
        <v>0.1</v>
      </c>
      <c r="X132" s="4">
        <v>0.5</v>
      </c>
      <c r="Y132" s="4">
        <v>0.5</v>
      </c>
      <c r="Z132" s="4">
        <v>5.0999999999999997E-2</v>
      </c>
      <c r="AA132" s="13">
        <f>(I132/TOTAL_BASIC!$D$301)*100</f>
        <v>95.841340705206875</v>
      </c>
      <c r="AB132" s="5">
        <f t="shared" ref="AB132:AB180" si="36">(T132/100)</f>
        <v>1.02</v>
      </c>
      <c r="AC132" s="3">
        <f t="shared" si="33"/>
        <v>-8</v>
      </c>
      <c r="AD132" s="9">
        <f t="shared" ref="AD132:AD180" si="37">2*I132</f>
        <v>1.0740000000000001</v>
      </c>
      <c r="AE132" s="16">
        <f t="shared" ref="AE132:AE180" si="38">IF(S132=0,0,O132/S132)</f>
        <v>0.69879518072289148</v>
      </c>
      <c r="AF132" s="16">
        <f t="shared" ref="AF132:AF180" si="39">IF(R132=0,0,O132/R132)</f>
        <v>0.56862745098039214</v>
      </c>
      <c r="AG132" s="9"/>
      <c r="AH132" s="9"/>
      <c r="AI132" s="12">
        <f t="shared" ref="AI132:AL159" si="40">(PERCENTRANK(F$3:F$298,F132))*100</f>
        <v>44.7</v>
      </c>
      <c r="AJ132" s="12">
        <f t="shared" ref="AJ132:AL147" si="41">(PERCENTRANK(G$3:G$298,G132))*100</f>
        <v>28.7</v>
      </c>
      <c r="AK132" s="12">
        <f t="shared" si="41"/>
        <v>39.200000000000003</v>
      </c>
      <c r="AL132" s="12">
        <f t="shared" si="41"/>
        <v>39.700000000000003</v>
      </c>
      <c r="AM132" s="12">
        <f t="shared" si="35"/>
        <v>38.1</v>
      </c>
      <c r="AN132" s="12">
        <f t="shared" si="34"/>
        <v>7.7</v>
      </c>
      <c r="AO132" s="12">
        <f t="shared" si="34"/>
        <v>94.399999999999991</v>
      </c>
      <c r="AP132" s="12">
        <f t="shared" si="34"/>
        <v>93.899999999999991</v>
      </c>
      <c r="AQ132" s="12">
        <f t="shared" si="34"/>
        <v>86.1</v>
      </c>
      <c r="AR132" s="12">
        <f t="shared" si="29"/>
        <v>36.4</v>
      </c>
      <c r="AS132" s="12">
        <f t="shared" si="29"/>
        <v>64.600000000000009</v>
      </c>
      <c r="AT132" s="12">
        <f t="shared" si="29"/>
        <v>66.8</v>
      </c>
      <c r="AU132" s="12">
        <f t="shared" ref="AU132:AU157" si="42">100-(PERCENTRANK(R$3:R$298,R132))*100</f>
        <v>11.700000000000003</v>
      </c>
      <c r="AV132" s="12">
        <f t="shared" si="30"/>
        <v>29.799999999999997</v>
      </c>
      <c r="AW132" s="12">
        <f t="shared" si="30"/>
        <v>31.4</v>
      </c>
      <c r="AX132" s="12">
        <f t="shared" ref="AX132:AX176" si="43">100-(PERCENTRANK(U$3:U$298,U132))*100</f>
        <v>58.6</v>
      </c>
      <c r="AY132" s="9"/>
      <c r="AZ132" s="12">
        <f t="shared" si="31"/>
        <v>32.5</v>
      </c>
      <c r="BA132" s="12">
        <f t="shared" si="31"/>
        <v>39.700000000000003</v>
      </c>
      <c r="BB132" s="12">
        <f t="shared" si="31"/>
        <v>29.799999999999997</v>
      </c>
      <c r="BC132" s="12">
        <f t="shared" si="31"/>
        <v>36.4</v>
      </c>
      <c r="BD132" s="12">
        <f t="shared" si="32"/>
        <v>39.700000000000003</v>
      </c>
      <c r="BE132" s="12">
        <f t="shared" si="32"/>
        <v>31.4</v>
      </c>
      <c r="BF132" s="12">
        <f t="shared" si="32"/>
        <v>36.4</v>
      </c>
      <c r="BG132" s="12">
        <f t="shared" si="32"/>
        <v>39.700000000000003</v>
      </c>
      <c r="BH132" s="12">
        <f t="shared" si="32"/>
        <v>48</v>
      </c>
      <c r="BI132" s="12">
        <f t="shared" si="32"/>
        <v>16</v>
      </c>
    </row>
    <row r="133" spans="1:61" ht="15.75" customHeight="1">
      <c r="A133" s="1" t="s">
        <v>273</v>
      </c>
      <c r="B133" s="3" t="s">
        <v>96</v>
      </c>
      <c r="C133" s="4" t="s">
        <v>85</v>
      </c>
      <c r="D133" s="4">
        <v>13</v>
      </c>
      <c r="E133" s="4">
        <v>397</v>
      </c>
      <c r="F133" s="4">
        <v>13</v>
      </c>
      <c r="G133" s="4">
        <v>397</v>
      </c>
      <c r="H133" s="4">
        <v>21.5</v>
      </c>
      <c r="I133" s="4">
        <v>0.60099999999999998</v>
      </c>
      <c r="J133" s="4">
        <v>0.56100000000000005</v>
      </c>
      <c r="K133" s="4">
        <v>0.27300000000000002</v>
      </c>
      <c r="L133" s="4">
        <v>0.25600000000000001</v>
      </c>
      <c r="M133" s="4">
        <v>4.9000000000000004</v>
      </c>
      <c r="N133" s="4">
        <v>14.2</v>
      </c>
      <c r="O133" s="4">
        <v>14.8</v>
      </c>
      <c r="P133" s="4">
        <v>2.2000000000000002</v>
      </c>
      <c r="Q133" s="4">
        <v>3.4</v>
      </c>
      <c r="R133" s="4">
        <v>14.3</v>
      </c>
      <c r="S133" s="4">
        <v>24.8</v>
      </c>
      <c r="T133" s="4">
        <v>113</v>
      </c>
      <c r="U133" s="4">
        <v>103</v>
      </c>
      <c r="V133" s="4"/>
      <c r="W133" s="4">
        <v>0.8</v>
      </c>
      <c r="X133" s="4">
        <v>0.9</v>
      </c>
      <c r="Y133" s="4">
        <v>1.7</v>
      </c>
      <c r="Z133" s="4">
        <v>0.16900000000000001</v>
      </c>
      <c r="AA133" s="13">
        <f>(I133/TOTAL_BASIC!$D$301)*100</f>
        <v>107.26377237212164</v>
      </c>
      <c r="AB133" s="5">
        <f t="shared" si="36"/>
        <v>1.1299999999999999</v>
      </c>
      <c r="AC133" s="3">
        <f t="shared" si="33"/>
        <v>10</v>
      </c>
      <c r="AD133" s="9">
        <f t="shared" si="37"/>
        <v>1.202</v>
      </c>
      <c r="AE133" s="16">
        <f t="shared" si="38"/>
        <v>0.59677419354838712</v>
      </c>
      <c r="AF133" s="16">
        <f t="shared" si="39"/>
        <v>1.034965034965035</v>
      </c>
      <c r="AG133" s="9"/>
      <c r="AH133" s="9"/>
      <c r="AI133" s="12">
        <f t="shared" si="40"/>
        <v>4.3999999999999995</v>
      </c>
      <c r="AJ133" s="12">
        <f t="shared" si="41"/>
        <v>28.1</v>
      </c>
      <c r="AK133" s="12">
        <f t="shared" si="41"/>
        <v>92.2</v>
      </c>
      <c r="AL133" s="12">
        <f t="shared" si="41"/>
        <v>76.7</v>
      </c>
      <c r="AM133" s="12">
        <f t="shared" si="35"/>
        <v>79</v>
      </c>
      <c r="AN133" s="12">
        <f t="shared" si="34"/>
        <v>25.900000000000002</v>
      </c>
      <c r="AO133" s="12">
        <f t="shared" si="34"/>
        <v>41.9</v>
      </c>
      <c r="AP133" s="12">
        <f t="shared" si="34"/>
        <v>55.2</v>
      </c>
      <c r="AQ133" s="12">
        <f t="shared" si="34"/>
        <v>81.2</v>
      </c>
      <c r="AR133" s="12">
        <f t="shared" si="29"/>
        <v>57.999999999999993</v>
      </c>
      <c r="AS133" s="12">
        <f t="shared" si="29"/>
        <v>75.099999999999994</v>
      </c>
      <c r="AT133" s="12">
        <f t="shared" si="29"/>
        <v>82.8</v>
      </c>
      <c r="AU133" s="12">
        <f t="shared" si="42"/>
        <v>55.3</v>
      </c>
      <c r="AV133" s="12">
        <f t="shared" si="30"/>
        <v>83.399999999999991</v>
      </c>
      <c r="AW133" s="12">
        <f t="shared" si="30"/>
        <v>71.2</v>
      </c>
      <c r="AX133" s="12">
        <f t="shared" si="43"/>
        <v>93.4</v>
      </c>
      <c r="AY133" s="9"/>
      <c r="AZ133" s="12">
        <f t="shared" si="31"/>
        <v>64.600000000000009</v>
      </c>
      <c r="BA133" s="12">
        <f t="shared" si="31"/>
        <v>62.9</v>
      </c>
      <c r="BB133" s="12">
        <f t="shared" si="31"/>
        <v>65.7</v>
      </c>
      <c r="BC133" s="12">
        <f t="shared" si="31"/>
        <v>86.1</v>
      </c>
      <c r="BD133" s="12">
        <f t="shared" si="32"/>
        <v>76.7</v>
      </c>
      <c r="BE133" s="12">
        <f t="shared" si="32"/>
        <v>71.2</v>
      </c>
      <c r="BF133" s="12">
        <f t="shared" si="32"/>
        <v>79.5</v>
      </c>
      <c r="BG133" s="12">
        <f t="shared" si="32"/>
        <v>76.7</v>
      </c>
      <c r="BH133" s="12">
        <f t="shared" si="32"/>
        <v>33.700000000000003</v>
      </c>
      <c r="BI133" s="12">
        <f t="shared" si="32"/>
        <v>55.2</v>
      </c>
    </row>
    <row r="134" spans="1:61" ht="15.75" customHeight="1">
      <c r="A134" s="1" t="s">
        <v>229</v>
      </c>
      <c r="B134" s="3" t="s">
        <v>131</v>
      </c>
      <c r="C134" s="4" t="s">
        <v>8</v>
      </c>
      <c r="D134" s="4">
        <v>29</v>
      </c>
      <c r="E134" s="4">
        <v>392</v>
      </c>
      <c r="F134" s="4">
        <v>29</v>
      </c>
      <c r="G134" s="4">
        <v>392</v>
      </c>
      <c r="H134" s="4">
        <v>12.4</v>
      </c>
      <c r="I134" s="4">
        <v>0.55200000000000005</v>
      </c>
      <c r="J134" s="4">
        <v>0.438</v>
      </c>
      <c r="K134" s="4">
        <v>0.20200000000000001</v>
      </c>
      <c r="L134" s="4">
        <v>0.57699999999999996</v>
      </c>
      <c r="M134" s="4">
        <v>4.5999999999999996</v>
      </c>
      <c r="N134" s="4">
        <v>11.6</v>
      </c>
      <c r="O134" s="4">
        <v>6.7</v>
      </c>
      <c r="P134" s="4">
        <v>2.5</v>
      </c>
      <c r="Q134" s="4">
        <v>1.5</v>
      </c>
      <c r="R134" s="4">
        <v>14.4</v>
      </c>
      <c r="S134" s="4">
        <v>16.899999999999999</v>
      </c>
      <c r="T134" s="4">
        <v>105</v>
      </c>
      <c r="U134" s="4">
        <v>107</v>
      </c>
      <c r="V134" s="4"/>
      <c r="W134" s="4">
        <v>0.2</v>
      </c>
      <c r="X134" s="4">
        <v>0.6</v>
      </c>
      <c r="Y134" s="4">
        <v>0.8</v>
      </c>
      <c r="Z134" s="4">
        <v>8.2000000000000003E-2</v>
      </c>
      <c r="AA134" s="13">
        <f>(I134/TOTAL_BASIC!$D$301)*100</f>
        <v>98.518473127140027</v>
      </c>
      <c r="AB134" s="5">
        <f t="shared" si="36"/>
        <v>1.05</v>
      </c>
      <c r="AC134" s="3">
        <f t="shared" si="33"/>
        <v>-2</v>
      </c>
      <c r="AD134" s="9">
        <f t="shared" si="37"/>
        <v>1.1040000000000001</v>
      </c>
      <c r="AE134" s="16">
        <f t="shared" si="38"/>
        <v>0.39644970414201186</v>
      </c>
      <c r="AF134" s="16">
        <f t="shared" si="39"/>
        <v>0.46527777777777779</v>
      </c>
      <c r="AG134" s="9"/>
      <c r="AH134" s="9"/>
      <c r="AI134" s="12">
        <f t="shared" si="40"/>
        <v>29.799999999999997</v>
      </c>
      <c r="AJ134" s="12">
        <f t="shared" si="41"/>
        <v>27.6</v>
      </c>
      <c r="AK134" s="12">
        <f t="shared" si="41"/>
        <v>47.5</v>
      </c>
      <c r="AL134" s="12">
        <f t="shared" si="41"/>
        <v>45.300000000000004</v>
      </c>
      <c r="AM134" s="12">
        <f t="shared" si="35"/>
        <v>13.200000000000001</v>
      </c>
      <c r="AN134" s="12">
        <f t="shared" si="34"/>
        <v>16</v>
      </c>
      <c r="AO134" s="12">
        <f t="shared" si="34"/>
        <v>95.5</v>
      </c>
      <c r="AP134" s="12">
        <f t="shared" si="34"/>
        <v>51.300000000000004</v>
      </c>
      <c r="AQ134" s="12">
        <f t="shared" si="34"/>
        <v>69.599999999999994</v>
      </c>
      <c r="AR134" s="12">
        <f t="shared" si="29"/>
        <v>6.6000000000000005</v>
      </c>
      <c r="AS134" s="12">
        <f t="shared" si="29"/>
        <v>83.399999999999991</v>
      </c>
      <c r="AT134" s="12">
        <f t="shared" si="29"/>
        <v>57.999999999999993</v>
      </c>
      <c r="AU134" s="12">
        <f t="shared" si="42"/>
        <v>53.599999999999994</v>
      </c>
      <c r="AV134" s="12">
        <f t="shared" si="30"/>
        <v>33.1</v>
      </c>
      <c r="AW134" s="12">
        <f t="shared" si="30"/>
        <v>41.4</v>
      </c>
      <c r="AX134" s="12">
        <f t="shared" si="43"/>
        <v>77.400000000000006</v>
      </c>
      <c r="AY134" s="9"/>
      <c r="AZ134" s="12">
        <f t="shared" si="31"/>
        <v>38.1</v>
      </c>
      <c r="BA134" s="12">
        <f t="shared" si="31"/>
        <v>47.5</v>
      </c>
      <c r="BB134" s="12">
        <f t="shared" si="31"/>
        <v>41.9</v>
      </c>
      <c r="BC134" s="12">
        <f t="shared" si="31"/>
        <v>55.800000000000004</v>
      </c>
      <c r="BD134" s="12">
        <f t="shared" si="32"/>
        <v>45.300000000000004</v>
      </c>
      <c r="BE134" s="12">
        <f t="shared" si="32"/>
        <v>41.4</v>
      </c>
      <c r="BF134" s="12">
        <f t="shared" si="32"/>
        <v>53.5</v>
      </c>
      <c r="BG134" s="12">
        <f t="shared" si="32"/>
        <v>45.300000000000004</v>
      </c>
      <c r="BH134" s="12">
        <f t="shared" si="32"/>
        <v>8.2000000000000011</v>
      </c>
      <c r="BI134" s="12">
        <f t="shared" si="32"/>
        <v>7.7</v>
      </c>
    </row>
    <row r="135" spans="1:61" ht="15.75" customHeight="1">
      <c r="A135" s="1" t="s">
        <v>253</v>
      </c>
      <c r="B135" s="3" t="s">
        <v>140</v>
      </c>
      <c r="C135" s="4" t="s">
        <v>8</v>
      </c>
      <c r="D135" s="4">
        <v>32</v>
      </c>
      <c r="E135" s="4">
        <v>389</v>
      </c>
      <c r="F135" s="4">
        <v>32</v>
      </c>
      <c r="G135" s="4">
        <v>389</v>
      </c>
      <c r="H135" s="4">
        <v>7.1</v>
      </c>
      <c r="I135" s="4">
        <v>0.40899999999999997</v>
      </c>
      <c r="J135" s="4">
        <v>0.376</v>
      </c>
      <c r="K135" s="4">
        <v>0.376</v>
      </c>
      <c r="L135" s="4">
        <v>0.34200000000000003</v>
      </c>
      <c r="M135" s="4">
        <v>3.5</v>
      </c>
      <c r="N135" s="4">
        <v>7.1</v>
      </c>
      <c r="O135" s="4">
        <v>26</v>
      </c>
      <c r="P135" s="4">
        <v>2.7</v>
      </c>
      <c r="Q135" s="4">
        <v>1.2</v>
      </c>
      <c r="R135" s="4">
        <v>21.6</v>
      </c>
      <c r="S135" s="4">
        <v>19.7</v>
      </c>
      <c r="T135" s="4">
        <v>86</v>
      </c>
      <c r="U135" s="4">
        <v>104</v>
      </c>
      <c r="V135" s="4"/>
      <c r="W135" s="4">
        <v>-0.8</v>
      </c>
      <c r="X135" s="4">
        <v>0.8</v>
      </c>
      <c r="Y135" s="4">
        <v>-0.1</v>
      </c>
      <c r="Z135" s="4">
        <v>-6.0000000000000001E-3</v>
      </c>
      <c r="AA135" s="13">
        <f>(I135/TOTAL_BASIC!$D$301)*100</f>
        <v>72.996477371377296</v>
      </c>
      <c r="AB135" s="5">
        <f t="shared" si="36"/>
        <v>0.86</v>
      </c>
      <c r="AC135" s="3">
        <f t="shared" si="33"/>
        <v>-18</v>
      </c>
      <c r="AD135" s="9">
        <f t="shared" si="37"/>
        <v>0.81799999999999995</v>
      </c>
      <c r="AE135" s="16">
        <f t="shared" si="38"/>
        <v>1.3197969543147208</v>
      </c>
      <c r="AF135" s="16">
        <f t="shared" si="39"/>
        <v>1.2037037037037037</v>
      </c>
      <c r="AG135" s="9"/>
      <c r="AH135" s="9"/>
      <c r="AI135" s="12">
        <f t="shared" si="40"/>
        <v>35.299999999999997</v>
      </c>
      <c r="AJ135" s="12">
        <f t="shared" si="41"/>
        <v>27</v>
      </c>
      <c r="AK135" s="12">
        <f t="shared" si="41"/>
        <v>7.1</v>
      </c>
      <c r="AL135" s="12">
        <f t="shared" si="41"/>
        <v>2.7</v>
      </c>
      <c r="AM135" s="12">
        <f t="shared" si="35"/>
        <v>3.3000000000000003</v>
      </c>
      <c r="AN135" s="12">
        <f t="shared" si="34"/>
        <v>42.5</v>
      </c>
      <c r="AO135" s="12">
        <f t="shared" si="34"/>
        <v>64</v>
      </c>
      <c r="AP135" s="12">
        <f t="shared" si="34"/>
        <v>39.700000000000003</v>
      </c>
      <c r="AQ135" s="12">
        <f t="shared" si="34"/>
        <v>35.9</v>
      </c>
      <c r="AR135" s="12">
        <f t="shared" si="29"/>
        <v>87.2</v>
      </c>
      <c r="AS135" s="12">
        <f t="shared" si="29"/>
        <v>91.100000000000009</v>
      </c>
      <c r="AT135" s="12">
        <f t="shared" si="29"/>
        <v>46.9</v>
      </c>
      <c r="AU135" s="12">
        <f t="shared" si="42"/>
        <v>8.8999999999999915</v>
      </c>
      <c r="AV135" s="12">
        <f t="shared" si="30"/>
        <v>59.099999999999994</v>
      </c>
      <c r="AW135" s="12">
        <f t="shared" si="30"/>
        <v>2.1999999999999997</v>
      </c>
      <c r="AX135" s="12">
        <f t="shared" si="43"/>
        <v>88.4</v>
      </c>
      <c r="AY135" s="9"/>
      <c r="AZ135" s="12">
        <f t="shared" si="31"/>
        <v>2.1999999999999997</v>
      </c>
      <c r="BA135" s="12">
        <f t="shared" si="31"/>
        <v>58.5</v>
      </c>
      <c r="BB135" s="12">
        <f t="shared" si="31"/>
        <v>8.7999999999999989</v>
      </c>
      <c r="BC135" s="12">
        <f t="shared" si="31"/>
        <v>9.3000000000000007</v>
      </c>
      <c r="BD135" s="12">
        <f t="shared" si="32"/>
        <v>2.7</v>
      </c>
      <c r="BE135" s="12">
        <f t="shared" si="32"/>
        <v>2.1999999999999997</v>
      </c>
      <c r="BF135" s="12">
        <f t="shared" si="32"/>
        <v>9.9</v>
      </c>
      <c r="BG135" s="12">
        <f t="shared" si="32"/>
        <v>2.7</v>
      </c>
      <c r="BH135" s="12">
        <f t="shared" si="32"/>
        <v>87.8</v>
      </c>
      <c r="BI135" s="12">
        <f t="shared" si="32"/>
        <v>67.900000000000006</v>
      </c>
    </row>
    <row r="136" spans="1:61" ht="15.75" customHeight="1">
      <c r="A136" s="1" t="s">
        <v>238</v>
      </c>
      <c r="B136" s="3" t="s">
        <v>232</v>
      </c>
      <c r="C136" s="4" t="s">
        <v>8</v>
      </c>
      <c r="D136" s="4">
        <v>29</v>
      </c>
      <c r="E136" s="4">
        <v>388</v>
      </c>
      <c r="F136" s="4">
        <v>29</v>
      </c>
      <c r="G136" s="4">
        <v>388</v>
      </c>
      <c r="H136" s="4">
        <v>9.9</v>
      </c>
      <c r="I136" s="4">
        <v>0.50700000000000001</v>
      </c>
      <c r="J136" s="4">
        <v>0.49</v>
      </c>
      <c r="K136" s="4">
        <v>0.39700000000000002</v>
      </c>
      <c r="L136" s="4">
        <v>0.11899999999999999</v>
      </c>
      <c r="M136" s="4">
        <v>4.8</v>
      </c>
      <c r="N136" s="4">
        <v>7.5</v>
      </c>
      <c r="O136" s="4">
        <v>40</v>
      </c>
      <c r="P136" s="4">
        <v>2.5</v>
      </c>
      <c r="Q136" s="4">
        <v>0.3</v>
      </c>
      <c r="R136" s="4">
        <v>31.2</v>
      </c>
      <c r="S136" s="4">
        <v>26.7</v>
      </c>
      <c r="T136" s="4">
        <v>89</v>
      </c>
      <c r="U136" s="4">
        <v>116</v>
      </c>
      <c r="V136" s="4"/>
      <c r="W136" s="4">
        <v>-1</v>
      </c>
      <c r="X136" s="4">
        <v>0.1</v>
      </c>
      <c r="Y136" s="4">
        <v>-0.8</v>
      </c>
      <c r="Z136" s="4">
        <v>-8.5999999999999993E-2</v>
      </c>
      <c r="AA136" s="13">
        <f>(I136/TOTAL_BASIC!$D$301)*100</f>
        <v>90.487075861340557</v>
      </c>
      <c r="AB136" s="5">
        <f t="shared" si="36"/>
        <v>0.89</v>
      </c>
      <c r="AC136" s="3">
        <f t="shared" si="33"/>
        <v>-27</v>
      </c>
      <c r="AD136" s="9">
        <f t="shared" si="37"/>
        <v>1.014</v>
      </c>
      <c r="AE136" s="16">
        <f t="shared" si="38"/>
        <v>1.4981273408239701</v>
      </c>
      <c r="AF136" s="16">
        <f t="shared" si="39"/>
        <v>1.2820512820512822</v>
      </c>
      <c r="AG136" s="9"/>
      <c r="AH136" s="9"/>
      <c r="AI136" s="12">
        <f t="shared" si="40"/>
        <v>29.799999999999997</v>
      </c>
      <c r="AJ136" s="12">
        <f t="shared" si="41"/>
        <v>26.5</v>
      </c>
      <c r="AK136" s="12">
        <f t="shared" si="41"/>
        <v>25.4</v>
      </c>
      <c r="AL136" s="12">
        <f t="shared" si="41"/>
        <v>25.4</v>
      </c>
      <c r="AM136" s="12">
        <f t="shared" si="35"/>
        <v>40.799999999999997</v>
      </c>
      <c r="AN136" s="12">
        <f t="shared" si="34"/>
        <v>48</v>
      </c>
      <c r="AO136" s="12">
        <f t="shared" si="34"/>
        <v>8.7999999999999989</v>
      </c>
      <c r="AP136" s="12">
        <f t="shared" si="34"/>
        <v>53.5</v>
      </c>
      <c r="AQ136" s="12">
        <f t="shared" si="34"/>
        <v>39.200000000000003</v>
      </c>
      <c r="AR136" s="12">
        <f t="shared" si="29"/>
        <v>97.7</v>
      </c>
      <c r="AS136" s="12">
        <f t="shared" si="29"/>
        <v>83.399999999999991</v>
      </c>
      <c r="AT136" s="12">
        <f t="shared" si="29"/>
        <v>10.4</v>
      </c>
      <c r="AU136" s="12">
        <f t="shared" si="42"/>
        <v>1.2000000000000028</v>
      </c>
      <c r="AV136" s="12">
        <f t="shared" si="30"/>
        <v>89.5</v>
      </c>
      <c r="AW136" s="12">
        <f t="shared" si="30"/>
        <v>4.3999999999999995</v>
      </c>
      <c r="AX136" s="12">
        <f t="shared" si="43"/>
        <v>14.400000000000006</v>
      </c>
      <c r="AY136" s="9"/>
      <c r="AZ136" s="12">
        <f t="shared" si="31"/>
        <v>0.5</v>
      </c>
      <c r="BA136" s="12">
        <f t="shared" si="31"/>
        <v>8.7999999999999989</v>
      </c>
      <c r="BB136" s="12">
        <f t="shared" si="31"/>
        <v>0.5</v>
      </c>
      <c r="BC136" s="12">
        <f t="shared" si="31"/>
        <v>0</v>
      </c>
      <c r="BD136" s="12">
        <f t="shared" si="32"/>
        <v>25.4</v>
      </c>
      <c r="BE136" s="12">
        <f t="shared" si="32"/>
        <v>4.3999999999999995</v>
      </c>
      <c r="BF136" s="12">
        <f t="shared" si="32"/>
        <v>2.7</v>
      </c>
      <c r="BG136" s="12">
        <f t="shared" si="32"/>
        <v>25.4</v>
      </c>
      <c r="BH136" s="12">
        <f t="shared" si="32"/>
        <v>93.300000000000011</v>
      </c>
      <c r="BI136" s="12">
        <f t="shared" si="32"/>
        <v>72.3</v>
      </c>
    </row>
    <row r="137" spans="1:61" ht="15.75" customHeight="1">
      <c r="A137" s="1" t="s">
        <v>223</v>
      </c>
      <c r="B137" s="3" t="s">
        <v>128</v>
      </c>
      <c r="C137" s="4" t="s">
        <v>88</v>
      </c>
      <c r="D137" s="4">
        <v>40</v>
      </c>
      <c r="E137" s="4">
        <v>373</v>
      </c>
      <c r="F137" s="4">
        <v>40</v>
      </c>
      <c r="G137" s="4">
        <v>373</v>
      </c>
      <c r="H137" s="4">
        <v>18.8</v>
      </c>
      <c r="I137" s="4">
        <v>0.626</v>
      </c>
      <c r="J137" s="4">
        <v>0.58599999999999997</v>
      </c>
      <c r="K137" s="4">
        <v>0.06</v>
      </c>
      <c r="L137" s="4">
        <v>0.371</v>
      </c>
      <c r="M137" s="4">
        <v>14.1</v>
      </c>
      <c r="N137" s="4">
        <v>21.6</v>
      </c>
      <c r="O137" s="4">
        <v>5.4</v>
      </c>
      <c r="P137" s="4">
        <v>1.7</v>
      </c>
      <c r="Q137" s="4">
        <v>2.8</v>
      </c>
      <c r="R137" s="4">
        <v>22.2</v>
      </c>
      <c r="S137" s="4">
        <v>25.5</v>
      </c>
      <c r="T137" s="4">
        <v>104</v>
      </c>
      <c r="U137" s="4">
        <v>103</v>
      </c>
      <c r="V137" s="4"/>
      <c r="W137" s="4">
        <v>0.2</v>
      </c>
      <c r="X137" s="4">
        <v>0.8</v>
      </c>
      <c r="Y137" s="4">
        <v>1</v>
      </c>
      <c r="Z137" s="4">
        <v>0.109</v>
      </c>
      <c r="AA137" s="13">
        <f>(I137/TOTAL_BASIC!$D$301)*100</f>
        <v>111.72565974201024</v>
      </c>
      <c r="AB137" s="5">
        <f t="shared" si="36"/>
        <v>1.04</v>
      </c>
      <c r="AC137" s="3">
        <f t="shared" si="33"/>
        <v>1</v>
      </c>
      <c r="AD137" s="9">
        <f t="shared" si="37"/>
        <v>1.252</v>
      </c>
      <c r="AE137" s="16">
        <f t="shared" si="38"/>
        <v>0.21176470588235297</v>
      </c>
      <c r="AF137" s="16">
        <f t="shared" si="39"/>
        <v>0.24324324324324326</v>
      </c>
      <c r="AG137" s="9"/>
      <c r="AH137" s="9"/>
      <c r="AI137" s="12">
        <f t="shared" si="40"/>
        <v>72.899999999999991</v>
      </c>
      <c r="AJ137" s="12">
        <f t="shared" si="41"/>
        <v>25.900000000000002</v>
      </c>
      <c r="AK137" s="12">
        <f t="shared" si="41"/>
        <v>78.400000000000006</v>
      </c>
      <c r="AL137" s="12">
        <f t="shared" si="41"/>
        <v>91.100000000000009</v>
      </c>
      <c r="AM137" s="12">
        <f t="shared" si="35"/>
        <v>89.5</v>
      </c>
      <c r="AN137" s="12">
        <f t="shared" si="34"/>
        <v>8.2000000000000011</v>
      </c>
      <c r="AO137" s="12">
        <f t="shared" si="34"/>
        <v>72.3</v>
      </c>
      <c r="AP137" s="12">
        <f t="shared" si="34"/>
        <v>99.4</v>
      </c>
      <c r="AQ137" s="12">
        <f t="shared" si="34"/>
        <v>98.8</v>
      </c>
      <c r="AR137" s="12">
        <f t="shared" si="29"/>
        <v>2.1999999999999997</v>
      </c>
      <c r="AS137" s="12">
        <f t="shared" si="29"/>
        <v>44.1</v>
      </c>
      <c r="AT137" s="12">
        <f t="shared" si="29"/>
        <v>79</v>
      </c>
      <c r="AU137" s="12">
        <f t="shared" si="42"/>
        <v>7.1999999999999886</v>
      </c>
      <c r="AV137" s="12">
        <f t="shared" si="30"/>
        <v>86.7</v>
      </c>
      <c r="AW137" s="12">
        <f t="shared" si="30"/>
        <v>38.6</v>
      </c>
      <c r="AX137" s="12">
        <f t="shared" si="43"/>
        <v>93.4</v>
      </c>
      <c r="AY137" s="9"/>
      <c r="AZ137" s="12">
        <f t="shared" si="31"/>
        <v>38.1</v>
      </c>
      <c r="BA137" s="12">
        <f t="shared" si="31"/>
        <v>58.5</v>
      </c>
      <c r="BB137" s="12">
        <f t="shared" si="31"/>
        <v>50.2</v>
      </c>
      <c r="BC137" s="12">
        <f t="shared" si="31"/>
        <v>67.900000000000006</v>
      </c>
      <c r="BD137" s="12">
        <f t="shared" si="32"/>
        <v>91.100000000000009</v>
      </c>
      <c r="BE137" s="12">
        <f t="shared" si="32"/>
        <v>38.6</v>
      </c>
      <c r="BF137" s="12">
        <f t="shared" si="32"/>
        <v>61.8</v>
      </c>
      <c r="BG137" s="12">
        <f t="shared" si="32"/>
        <v>91.100000000000009</v>
      </c>
      <c r="BH137" s="12">
        <f t="shared" si="32"/>
        <v>0</v>
      </c>
      <c r="BI137" s="12">
        <f t="shared" si="32"/>
        <v>0.5</v>
      </c>
    </row>
    <row r="138" spans="1:61" ht="15.75" customHeight="1">
      <c r="A138" s="1" t="s">
        <v>227</v>
      </c>
      <c r="B138" s="3" t="s">
        <v>161</v>
      </c>
      <c r="C138" s="4" t="s">
        <v>85</v>
      </c>
      <c r="D138" s="4">
        <v>36</v>
      </c>
      <c r="E138" s="4">
        <v>370</v>
      </c>
      <c r="F138" s="4">
        <v>36</v>
      </c>
      <c r="G138" s="4">
        <v>370</v>
      </c>
      <c r="H138" s="4">
        <v>7.5</v>
      </c>
      <c r="I138" s="4">
        <v>0.41899999999999998</v>
      </c>
      <c r="J138" s="4">
        <v>0.40100000000000002</v>
      </c>
      <c r="K138" s="4">
        <v>0.25</v>
      </c>
      <c r="L138" s="4">
        <v>0.26300000000000001</v>
      </c>
      <c r="M138" s="4">
        <v>8.8000000000000007</v>
      </c>
      <c r="N138" s="4">
        <v>11</v>
      </c>
      <c r="O138" s="4">
        <v>6.9</v>
      </c>
      <c r="P138" s="4">
        <v>2</v>
      </c>
      <c r="Q138" s="4">
        <v>4.5</v>
      </c>
      <c r="R138" s="4">
        <v>18.3</v>
      </c>
      <c r="S138" s="4">
        <v>12.4</v>
      </c>
      <c r="T138" s="4">
        <v>89</v>
      </c>
      <c r="U138" s="4">
        <v>116</v>
      </c>
      <c r="V138" s="4"/>
      <c r="W138" s="4">
        <v>-0.4</v>
      </c>
      <c r="X138" s="4">
        <v>0.1</v>
      </c>
      <c r="Y138" s="4">
        <v>-0.3</v>
      </c>
      <c r="Z138" s="4">
        <v>-3.1E-2</v>
      </c>
      <c r="AA138" s="13">
        <f>(I138/TOTAL_BASIC!$D$301)*100</f>
        <v>74.78123231933273</v>
      </c>
      <c r="AB138" s="5">
        <f t="shared" si="36"/>
        <v>0.89</v>
      </c>
      <c r="AC138" s="3">
        <f t="shared" si="33"/>
        <v>-27</v>
      </c>
      <c r="AD138" s="9">
        <f t="shared" si="37"/>
        <v>0.83799999999999997</v>
      </c>
      <c r="AE138" s="16">
        <f t="shared" si="38"/>
        <v>0.55645161290322587</v>
      </c>
      <c r="AF138" s="16">
        <f t="shared" si="39"/>
        <v>0.37704918032786888</v>
      </c>
      <c r="AG138" s="9"/>
      <c r="AH138" s="9"/>
      <c r="AI138" s="12">
        <f t="shared" si="40"/>
        <v>47.5</v>
      </c>
      <c r="AJ138" s="12">
        <f t="shared" si="41"/>
        <v>25.4</v>
      </c>
      <c r="AK138" s="12">
        <f t="shared" si="41"/>
        <v>9.3000000000000007</v>
      </c>
      <c r="AL138" s="12">
        <f t="shared" si="41"/>
        <v>3.3000000000000003</v>
      </c>
      <c r="AM138" s="12">
        <f t="shared" si="35"/>
        <v>6</v>
      </c>
      <c r="AN138" s="12">
        <f t="shared" si="34"/>
        <v>22</v>
      </c>
      <c r="AO138" s="12">
        <f t="shared" si="34"/>
        <v>44.7</v>
      </c>
      <c r="AP138" s="12">
        <f t="shared" si="34"/>
        <v>84.5</v>
      </c>
      <c r="AQ138" s="12">
        <f t="shared" si="34"/>
        <v>63.5</v>
      </c>
      <c r="AR138" s="12">
        <f t="shared" si="29"/>
        <v>8.2000000000000011</v>
      </c>
      <c r="AS138" s="12">
        <f t="shared" si="29"/>
        <v>64.600000000000009</v>
      </c>
      <c r="AT138" s="12">
        <f t="shared" si="29"/>
        <v>91.7</v>
      </c>
      <c r="AU138" s="12">
        <f t="shared" si="42"/>
        <v>23.799999999999997</v>
      </c>
      <c r="AV138" s="12">
        <f t="shared" si="30"/>
        <v>8.2000000000000011</v>
      </c>
      <c r="AW138" s="12">
        <f t="shared" si="30"/>
        <v>4.3999999999999995</v>
      </c>
      <c r="AX138" s="12">
        <f t="shared" si="43"/>
        <v>14.400000000000006</v>
      </c>
      <c r="AY138" s="9"/>
      <c r="AZ138" s="12">
        <f t="shared" si="31"/>
        <v>6.6000000000000005</v>
      </c>
      <c r="BA138" s="12">
        <f t="shared" si="31"/>
        <v>8.7999999999999989</v>
      </c>
      <c r="BB138" s="12">
        <f t="shared" si="31"/>
        <v>3.3000000000000003</v>
      </c>
      <c r="BC138" s="12">
        <f t="shared" si="31"/>
        <v>5.5</v>
      </c>
      <c r="BD138" s="12">
        <f t="shared" si="32"/>
        <v>3.3000000000000003</v>
      </c>
      <c r="BE138" s="12">
        <f t="shared" si="32"/>
        <v>4.3999999999999995</v>
      </c>
      <c r="BF138" s="12">
        <f t="shared" si="32"/>
        <v>2.7</v>
      </c>
      <c r="BG138" s="12">
        <f t="shared" si="32"/>
        <v>3.3000000000000003</v>
      </c>
      <c r="BH138" s="12">
        <f t="shared" si="32"/>
        <v>27</v>
      </c>
      <c r="BI138" s="12">
        <f t="shared" si="32"/>
        <v>3.3000000000000003</v>
      </c>
    </row>
    <row r="139" spans="1:61" ht="15.75" customHeight="1">
      <c r="A139" s="1" t="s">
        <v>226</v>
      </c>
      <c r="B139" s="4" t="s">
        <v>157</v>
      </c>
      <c r="C139" s="4" t="s">
        <v>8</v>
      </c>
      <c r="D139" s="4">
        <v>36</v>
      </c>
      <c r="E139" s="4">
        <v>368</v>
      </c>
      <c r="F139" s="4">
        <v>36</v>
      </c>
      <c r="G139" s="4">
        <v>368</v>
      </c>
      <c r="H139" s="4">
        <v>8.1</v>
      </c>
      <c r="I139" s="4">
        <v>0.46800000000000003</v>
      </c>
      <c r="J139" s="4">
        <v>0.45</v>
      </c>
      <c r="K139" s="4">
        <v>0.40899999999999997</v>
      </c>
      <c r="L139" s="4">
        <v>0.109</v>
      </c>
      <c r="M139" s="4">
        <v>6.1</v>
      </c>
      <c r="N139" s="4">
        <v>10</v>
      </c>
      <c r="O139" s="4">
        <v>15.8</v>
      </c>
      <c r="P139" s="4">
        <v>1.5</v>
      </c>
      <c r="Q139" s="4">
        <v>0.7</v>
      </c>
      <c r="R139" s="4">
        <v>19.5</v>
      </c>
      <c r="S139" s="4">
        <v>17</v>
      </c>
      <c r="T139" s="4">
        <v>96</v>
      </c>
      <c r="U139" s="4">
        <v>112</v>
      </c>
      <c r="V139" s="4"/>
      <c r="W139" s="4">
        <v>-0.2</v>
      </c>
      <c r="X139" s="4">
        <v>0.3</v>
      </c>
      <c r="Y139" s="4">
        <v>0.1</v>
      </c>
      <c r="Z139" s="4">
        <v>0.01</v>
      </c>
      <c r="AA139" s="13">
        <f>(I139/TOTAL_BASIC!$D$301)*100</f>
        <v>83.526531564314368</v>
      </c>
      <c r="AB139" s="5">
        <f t="shared" si="36"/>
        <v>0.96</v>
      </c>
      <c r="AC139" s="3">
        <f t="shared" si="33"/>
        <v>-16</v>
      </c>
      <c r="AD139" s="9">
        <f t="shared" si="37"/>
        <v>0.93600000000000005</v>
      </c>
      <c r="AE139" s="16">
        <f t="shared" si="38"/>
        <v>0.92941176470588238</v>
      </c>
      <c r="AF139" s="16">
        <f t="shared" si="39"/>
        <v>0.81025641025641026</v>
      </c>
      <c r="AG139" s="9"/>
      <c r="AH139" s="9"/>
      <c r="AI139" s="12">
        <f t="shared" si="40"/>
        <v>47.5</v>
      </c>
      <c r="AJ139" s="12">
        <f t="shared" si="41"/>
        <v>24.3</v>
      </c>
      <c r="AK139" s="12">
        <f t="shared" si="41"/>
        <v>11.600000000000001</v>
      </c>
      <c r="AL139" s="12">
        <f t="shared" si="41"/>
        <v>8.7999999999999989</v>
      </c>
      <c r="AM139" s="12">
        <f t="shared" si="35"/>
        <v>18.2</v>
      </c>
      <c r="AN139" s="12">
        <f t="shared" si="34"/>
        <v>50.8</v>
      </c>
      <c r="AO139" s="12">
        <f t="shared" si="34"/>
        <v>7.1</v>
      </c>
      <c r="AP139" s="12">
        <f t="shared" si="34"/>
        <v>65.7</v>
      </c>
      <c r="AQ139" s="12">
        <f t="shared" si="34"/>
        <v>59.099999999999994</v>
      </c>
      <c r="AR139" s="12">
        <f t="shared" si="29"/>
        <v>60.699999999999996</v>
      </c>
      <c r="AS139" s="12">
        <f t="shared" si="29"/>
        <v>34.200000000000003</v>
      </c>
      <c r="AT139" s="12">
        <f t="shared" si="29"/>
        <v>24.3</v>
      </c>
      <c r="AU139" s="12">
        <f t="shared" si="42"/>
        <v>15.5</v>
      </c>
      <c r="AV139" s="12">
        <f t="shared" si="30"/>
        <v>34.200000000000003</v>
      </c>
      <c r="AW139" s="12">
        <f t="shared" si="30"/>
        <v>13.200000000000001</v>
      </c>
      <c r="AX139" s="12">
        <f t="shared" si="43"/>
        <v>38.700000000000003</v>
      </c>
      <c r="AY139" s="9"/>
      <c r="AZ139" s="12">
        <f t="shared" si="31"/>
        <v>13.8</v>
      </c>
      <c r="BA139" s="12">
        <f t="shared" si="31"/>
        <v>28.1</v>
      </c>
      <c r="BB139" s="12">
        <f t="shared" si="31"/>
        <v>13.8</v>
      </c>
      <c r="BC139" s="12">
        <f t="shared" si="31"/>
        <v>14.299999999999999</v>
      </c>
      <c r="BD139" s="12">
        <f t="shared" si="32"/>
        <v>8.7999999999999989</v>
      </c>
      <c r="BE139" s="12">
        <f t="shared" si="32"/>
        <v>13.200000000000001</v>
      </c>
      <c r="BF139" s="12">
        <f t="shared" si="32"/>
        <v>13.8</v>
      </c>
      <c r="BG139" s="12">
        <f t="shared" si="32"/>
        <v>8.7999999999999989</v>
      </c>
      <c r="BH139" s="12">
        <f t="shared" si="32"/>
        <v>67.400000000000006</v>
      </c>
      <c r="BI139" s="12">
        <f t="shared" si="32"/>
        <v>33.1</v>
      </c>
    </row>
    <row r="140" spans="1:61" ht="15.75" customHeight="1">
      <c r="A140" s="1" t="s">
        <v>204</v>
      </c>
      <c r="B140" s="3" t="s">
        <v>128</v>
      </c>
      <c r="C140" s="4" t="s">
        <v>8</v>
      </c>
      <c r="D140" s="4">
        <v>32</v>
      </c>
      <c r="E140" s="4">
        <v>368</v>
      </c>
      <c r="F140" s="4">
        <v>32</v>
      </c>
      <c r="G140" s="4">
        <v>368</v>
      </c>
      <c r="H140" s="4">
        <v>8.3000000000000007</v>
      </c>
      <c r="I140" s="4">
        <v>0.498</v>
      </c>
      <c r="J140" s="4">
        <v>0.47899999999999998</v>
      </c>
      <c r="K140" s="4">
        <v>0.65</v>
      </c>
      <c r="L140" s="4">
        <v>8.5000000000000006E-2</v>
      </c>
      <c r="M140" s="4">
        <v>1.6</v>
      </c>
      <c r="N140" s="4">
        <v>4.3</v>
      </c>
      <c r="O140" s="4">
        <v>17.8</v>
      </c>
      <c r="P140" s="4">
        <v>0.8</v>
      </c>
      <c r="Q140" s="4">
        <v>0.8</v>
      </c>
      <c r="R140" s="4">
        <v>12.3</v>
      </c>
      <c r="S140" s="4">
        <v>15.9</v>
      </c>
      <c r="T140" s="4">
        <v>106</v>
      </c>
      <c r="U140" s="4">
        <v>111</v>
      </c>
      <c r="V140" s="4"/>
      <c r="W140" s="4">
        <v>0.2</v>
      </c>
      <c r="X140" s="4">
        <v>0.4</v>
      </c>
      <c r="Y140" s="4">
        <v>0.6</v>
      </c>
      <c r="Z140" s="4">
        <v>6.7000000000000004E-2</v>
      </c>
      <c r="AA140" s="13">
        <f>(I140/TOTAL_BASIC!$D$301)*100</f>
        <v>88.880796408180657</v>
      </c>
      <c r="AB140" s="5">
        <f t="shared" si="36"/>
        <v>1.06</v>
      </c>
      <c r="AC140" s="3">
        <f t="shared" si="33"/>
        <v>-5</v>
      </c>
      <c r="AD140" s="9">
        <f t="shared" si="37"/>
        <v>0.996</v>
      </c>
      <c r="AE140" s="16">
        <f t="shared" si="38"/>
        <v>1.1194968553459119</v>
      </c>
      <c r="AF140" s="16">
        <f t="shared" si="39"/>
        <v>1.4471544715447153</v>
      </c>
      <c r="AG140" s="9"/>
      <c r="AH140" s="9"/>
      <c r="AI140" s="12">
        <f t="shared" si="40"/>
        <v>35.299999999999997</v>
      </c>
      <c r="AJ140" s="12">
        <f t="shared" si="41"/>
        <v>24.3</v>
      </c>
      <c r="AK140" s="12">
        <f t="shared" si="41"/>
        <v>14.299999999999999</v>
      </c>
      <c r="AL140" s="12">
        <f t="shared" si="41"/>
        <v>20.399999999999999</v>
      </c>
      <c r="AM140" s="12">
        <f t="shared" si="35"/>
        <v>34.799999999999997</v>
      </c>
      <c r="AN140" s="12">
        <f t="shared" si="34"/>
        <v>88.9</v>
      </c>
      <c r="AO140" s="12">
        <f t="shared" si="34"/>
        <v>3.8</v>
      </c>
      <c r="AP140" s="12">
        <f t="shared" si="34"/>
        <v>11.600000000000001</v>
      </c>
      <c r="AQ140" s="12">
        <f t="shared" si="34"/>
        <v>6.6000000000000005</v>
      </c>
      <c r="AR140" s="12">
        <f t="shared" si="29"/>
        <v>69.599999999999994</v>
      </c>
      <c r="AS140" s="12">
        <f t="shared" si="29"/>
        <v>5.5</v>
      </c>
      <c r="AT140" s="12">
        <f t="shared" si="29"/>
        <v>30.3</v>
      </c>
      <c r="AU140" s="12">
        <f t="shared" si="42"/>
        <v>71.900000000000006</v>
      </c>
      <c r="AV140" s="12">
        <f t="shared" si="30"/>
        <v>23.7</v>
      </c>
      <c r="AW140" s="12">
        <f t="shared" si="30"/>
        <v>44.7</v>
      </c>
      <c r="AX140" s="12">
        <f t="shared" si="43"/>
        <v>48.699999999999996</v>
      </c>
      <c r="AY140" s="9"/>
      <c r="AZ140" s="12">
        <f t="shared" si="31"/>
        <v>38.1</v>
      </c>
      <c r="BA140" s="12">
        <f t="shared" si="31"/>
        <v>33.700000000000003</v>
      </c>
      <c r="BB140" s="12">
        <f t="shared" si="31"/>
        <v>33.1</v>
      </c>
      <c r="BC140" s="12">
        <f t="shared" si="31"/>
        <v>43</v>
      </c>
      <c r="BD140" s="12">
        <f t="shared" si="32"/>
        <v>20.399999999999999</v>
      </c>
      <c r="BE140" s="12">
        <f t="shared" si="32"/>
        <v>44.7</v>
      </c>
      <c r="BF140" s="12">
        <f t="shared" si="32"/>
        <v>43</v>
      </c>
      <c r="BG140" s="12">
        <f t="shared" si="32"/>
        <v>20.399999999999999</v>
      </c>
      <c r="BH140" s="12">
        <f t="shared" si="32"/>
        <v>79.5</v>
      </c>
      <c r="BI140" s="12">
        <f t="shared" si="32"/>
        <v>77.3</v>
      </c>
    </row>
    <row r="141" spans="1:61" ht="15.75" customHeight="1">
      <c r="A141" s="1" t="s">
        <v>189</v>
      </c>
      <c r="B141" s="3" t="s">
        <v>140</v>
      </c>
      <c r="C141" s="4" t="s">
        <v>8</v>
      </c>
      <c r="D141" s="4">
        <v>36</v>
      </c>
      <c r="E141" s="4">
        <v>361</v>
      </c>
      <c r="F141" s="4">
        <v>36</v>
      </c>
      <c r="G141" s="4">
        <v>361</v>
      </c>
      <c r="H141" s="4">
        <v>1.4</v>
      </c>
      <c r="I141" s="4">
        <v>0.36599999999999999</v>
      </c>
      <c r="J141" s="4">
        <v>0.35</v>
      </c>
      <c r="K141" s="4">
        <v>0.41</v>
      </c>
      <c r="L141" s="4">
        <v>0.18</v>
      </c>
      <c r="M141" s="4">
        <v>8.3000000000000007</v>
      </c>
      <c r="N141" s="4">
        <v>6.4</v>
      </c>
      <c r="O141" s="4">
        <v>7.4</v>
      </c>
      <c r="P141" s="4">
        <v>1.3</v>
      </c>
      <c r="Q141" s="4">
        <v>0.8</v>
      </c>
      <c r="R141" s="4">
        <v>16.899999999999999</v>
      </c>
      <c r="S141" s="4">
        <v>16.100000000000001</v>
      </c>
      <c r="T141" s="4">
        <v>80</v>
      </c>
      <c r="U141" s="4">
        <v>109</v>
      </c>
      <c r="V141" s="4"/>
      <c r="W141" s="4">
        <v>-0.8</v>
      </c>
      <c r="X141" s="4">
        <v>0.5</v>
      </c>
      <c r="Y141" s="4">
        <v>-0.4</v>
      </c>
      <c r="Z141" s="4">
        <v>-4.2000000000000003E-2</v>
      </c>
      <c r="AA141" s="13">
        <f>(I141/TOTAL_BASIC!$D$301)*100</f>
        <v>65.322031095168924</v>
      </c>
      <c r="AB141" s="5">
        <f t="shared" si="36"/>
        <v>0.8</v>
      </c>
      <c r="AC141" s="3">
        <f t="shared" si="33"/>
        <v>-29</v>
      </c>
      <c r="AD141" s="9">
        <f t="shared" si="37"/>
        <v>0.73199999999999998</v>
      </c>
      <c r="AE141" s="16">
        <f t="shared" si="38"/>
        <v>0.45962732919254656</v>
      </c>
      <c r="AF141" s="16">
        <f t="shared" si="39"/>
        <v>0.43786982248520717</v>
      </c>
      <c r="AG141" s="9"/>
      <c r="AH141" s="9"/>
      <c r="AI141" s="12">
        <f t="shared" si="40"/>
        <v>47.5</v>
      </c>
      <c r="AJ141" s="12">
        <f t="shared" si="41"/>
        <v>23.7</v>
      </c>
      <c r="AK141" s="12">
        <f t="shared" si="41"/>
        <v>0</v>
      </c>
      <c r="AL141" s="12">
        <f t="shared" si="41"/>
        <v>0</v>
      </c>
      <c r="AM141" s="12">
        <f t="shared" si="35"/>
        <v>0</v>
      </c>
      <c r="AN141" s="12">
        <f t="shared" si="34"/>
        <v>51.300000000000004</v>
      </c>
      <c r="AO141" s="12">
        <f t="shared" si="34"/>
        <v>20.9</v>
      </c>
      <c r="AP141" s="12">
        <f t="shared" si="34"/>
        <v>79.5</v>
      </c>
      <c r="AQ141" s="12">
        <f t="shared" si="34"/>
        <v>25.900000000000002</v>
      </c>
      <c r="AR141" s="12">
        <f t="shared" si="29"/>
        <v>10.4</v>
      </c>
      <c r="AS141" s="12">
        <f t="shared" si="29"/>
        <v>23.7</v>
      </c>
      <c r="AT141" s="12">
        <f t="shared" si="29"/>
        <v>30.3</v>
      </c>
      <c r="AU141" s="12">
        <f t="shared" si="42"/>
        <v>33.200000000000003</v>
      </c>
      <c r="AV141" s="12">
        <f t="shared" si="30"/>
        <v>24.3</v>
      </c>
      <c r="AW141" s="12">
        <f t="shared" si="30"/>
        <v>0</v>
      </c>
      <c r="AX141" s="12">
        <f t="shared" si="43"/>
        <v>64.7</v>
      </c>
      <c r="AY141" s="9"/>
      <c r="AZ141" s="12">
        <f t="shared" si="31"/>
        <v>2.1999999999999997</v>
      </c>
      <c r="BA141" s="12">
        <f t="shared" si="31"/>
        <v>39.700000000000003</v>
      </c>
      <c r="BB141" s="12">
        <f t="shared" si="31"/>
        <v>2.1999999999999997</v>
      </c>
      <c r="BC141" s="12">
        <f t="shared" si="31"/>
        <v>2.1999999999999997</v>
      </c>
      <c r="BD141" s="12">
        <f t="shared" si="32"/>
        <v>0</v>
      </c>
      <c r="BE141" s="12">
        <f t="shared" si="32"/>
        <v>0</v>
      </c>
      <c r="BF141" s="12">
        <f t="shared" si="32"/>
        <v>1.6</v>
      </c>
      <c r="BG141" s="12">
        <f t="shared" si="32"/>
        <v>0</v>
      </c>
      <c r="BH141" s="12">
        <f t="shared" si="32"/>
        <v>14.299999999999999</v>
      </c>
      <c r="BI141" s="12">
        <f t="shared" si="32"/>
        <v>5.5</v>
      </c>
    </row>
    <row r="142" spans="1:61" ht="15.75" customHeight="1">
      <c r="A142" s="1" t="s">
        <v>135</v>
      </c>
      <c r="B142" s="4" t="s">
        <v>232</v>
      </c>
      <c r="C142" s="4" t="s">
        <v>88</v>
      </c>
      <c r="D142" s="4">
        <v>21</v>
      </c>
      <c r="E142" s="4">
        <v>348</v>
      </c>
      <c r="F142" s="4">
        <v>21</v>
      </c>
      <c r="G142" s="4">
        <v>348</v>
      </c>
      <c r="H142" s="4">
        <v>5.8</v>
      </c>
      <c r="I142" s="4">
        <v>0.441</v>
      </c>
      <c r="J142" s="4">
        <v>0.41</v>
      </c>
      <c r="K142" s="4">
        <v>0.55000000000000004</v>
      </c>
      <c r="L142" s="4">
        <v>0.15</v>
      </c>
      <c r="M142" s="4">
        <v>3.6</v>
      </c>
      <c r="N142" s="4">
        <v>9.9</v>
      </c>
      <c r="O142" s="4">
        <v>11.8</v>
      </c>
      <c r="P142" s="4">
        <v>1</v>
      </c>
      <c r="Q142" s="4">
        <v>2.2000000000000002</v>
      </c>
      <c r="R142" s="4">
        <v>15.1</v>
      </c>
      <c r="S142" s="4">
        <v>16.2</v>
      </c>
      <c r="T142" s="4">
        <v>91</v>
      </c>
      <c r="U142" s="4">
        <v>116</v>
      </c>
      <c r="V142" s="4"/>
      <c r="W142" s="4">
        <v>-0.4</v>
      </c>
      <c r="X142" s="4">
        <v>0.1</v>
      </c>
      <c r="Y142" s="4">
        <v>-0.3</v>
      </c>
      <c r="Z142" s="4">
        <v>-3.4000000000000002E-2</v>
      </c>
      <c r="AA142" s="13">
        <f>(I142/TOTAL_BASIC!$D$301)*100</f>
        <v>78.707693204834683</v>
      </c>
      <c r="AB142" s="5">
        <f t="shared" si="36"/>
        <v>0.91</v>
      </c>
      <c r="AC142" s="3">
        <f t="shared" si="33"/>
        <v>-25</v>
      </c>
      <c r="AD142" s="9">
        <f t="shared" si="37"/>
        <v>0.88200000000000001</v>
      </c>
      <c r="AE142" s="16">
        <f t="shared" si="38"/>
        <v>0.72839506172839519</v>
      </c>
      <c r="AF142" s="16">
        <f t="shared" si="39"/>
        <v>0.78145695364238421</v>
      </c>
      <c r="AG142" s="9"/>
      <c r="AH142" s="9"/>
      <c r="AI142" s="12">
        <f t="shared" si="40"/>
        <v>18.2</v>
      </c>
      <c r="AJ142" s="12">
        <f t="shared" si="41"/>
        <v>23.200000000000003</v>
      </c>
      <c r="AK142" s="12">
        <f t="shared" si="41"/>
        <v>3.3000000000000003</v>
      </c>
      <c r="AL142" s="12">
        <f t="shared" si="41"/>
        <v>5.5</v>
      </c>
      <c r="AM142" s="12">
        <f t="shared" si="35"/>
        <v>7.1</v>
      </c>
      <c r="AN142" s="12">
        <f t="shared" si="34"/>
        <v>80.100000000000009</v>
      </c>
      <c r="AO142" s="12">
        <f t="shared" si="34"/>
        <v>14.899999999999999</v>
      </c>
      <c r="AP142" s="12">
        <f t="shared" si="34"/>
        <v>41.9</v>
      </c>
      <c r="AQ142" s="12">
        <f t="shared" si="34"/>
        <v>57.999999999999993</v>
      </c>
      <c r="AR142" s="12">
        <f t="shared" si="34"/>
        <v>39.200000000000003</v>
      </c>
      <c r="AS142" s="12">
        <f t="shared" si="34"/>
        <v>11</v>
      </c>
      <c r="AT142" s="12">
        <f t="shared" si="34"/>
        <v>69</v>
      </c>
      <c r="AU142" s="12">
        <f t="shared" si="42"/>
        <v>45.4</v>
      </c>
      <c r="AV142" s="12">
        <f t="shared" ref="AV142:AW159" si="44">(PERCENTRANK(S$3:S$298,S142))*100</f>
        <v>25.4</v>
      </c>
      <c r="AW142" s="12">
        <f t="shared" si="44"/>
        <v>6</v>
      </c>
      <c r="AX142" s="12">
        <f t="shared" si="43"/>
        <v>14.400000000000006</v>
      </c>
      <c r="AY142" s="9"/>
      <c r="AZ142" s="12">
        <f t="shared" ref="AZ142:BI159" si="45">(PERCENTRANK(W$3:W$298,W142))*100</f>
        <v>6.6000000000000005</v>
      </c>
      <c r="BA142" s="12">
        <f t="shared" si="45"/>
        <v>8.7999999999999989</v>
      </c>
      <c r="BB142" s="12">
        <f t="shared" si="45"/>
        <v>3.3000000000000003</v>
      </c>
      <c r="BC142" s="12">
        <f t="shared" si="45"/>
        <v>4.3999999999999995</v>
      </c>
      <c r="BD142" s="12">
        <f t="shared" si="45"/>
        <v>5.5</v>
      </c>
      <c r="BE142" s="12">
        <f t="shared" si="45"/>
        <v>6</v>
      </c>
      <c r="BF142" s="12">
        <f t="shared" si="45"/>
        <v>4.3999999999999995</v>
      </c>
      <c r="BG142" s="12">
        <f t="shared" si="45"/>
        <v>5.5</v>
      </c>
      <c r="BH142" s="12">
        <f t="shared" si="45"/>
        <v>53</v>
      </c>
      <c r="BI142" s="12">
        <f t="shared" si="45"/>
        <v>31.4</v>
      </c>
    </row>
    <row r="143" spans="1:61" ht="15.75" customHeight="1">
      <c r="A143" s="1" t="s">
        <v>269</v>
      </c>
      <c r="B143" s="3" t="s">
        <v>232</v>
      </c>
      <c r="C143" s="4" t="s">
        <v>8</v>
      </c>
      <c r="D143" s="4">
        <v>29</v>
      </c>
      <c r="E143" s="4">
        <v>325</v>
      </c>
      <c r="F143" s="4">
        <v>29</v>
      </c>
      <c r="G143" s="4">
        <v>325</v>
      </c>
      <c r="H143" s="4">
        <v>10.9</v>
      </c>
      <c r="I143" s="4">
        <v>0.49299999999999999</v>
      </c>
      <c r="J143" s="4">
        <v>0.439</v>
      </c>
      <c r="K143" s="4">
        <v>0.495</v>
      </c>
      <c r="L143" s="4">
        <v>0.224</v>
      </c>
      <c r="M143" s="4">
        <v>3.9</v>
      </c>
      <c r="N143" s="4">
        <v>7.7</v>
      </c>
      <c r="O143" s="4">
        <v>25.1</v>
      </c>
      <c r="P143" s="4">
        <v>2.5</v>
      </c>
      <c r="Q143" s="4">
        <v>0.3</v>
      </c>
      <c r="R143" s="4">
        <v>20.9</v>
      </c>
      <c r="S143" s="4">
        <v>20.5</v>
      </c>
      <c r="T143" s="4">
        <v>97</v>
      </c>
      <c r="U143" s="4">
        <v>115</v>
      </c>
      <c r="V143" s="4"/>
      <c r="W143" s="4">
        <v>-0.2</v>
      </c>
      <c r="X143" s="4">
        <v>0.1</v>
      </c>
      <c r="Y143" s="4">
        <v>0</v>
      </c>
      <c r="Z143" s="4">
        <v>-5.0000000000000001E-3</v>
      </c>
      <c r="AA143" s="13">
        <f>(I143/TOTAL_BASIC!$D$301)*100</f>
        <v>87.988418934202954</v>
      </c>
      <c r="AB143" s="5">
        <f t="shared" si="36"/>
        <v>0.97</v>
      </c>
      <c r="AC143" s="3">
        <f t="shared" si="33"/>
        <v>-18</v>
      </c>
      <c r="AD143" s="9">
        <f t="shared" si="37"/>
        <v>0.98599999999999999</v>
      </c>
      <c r="AE143" s="16">
        <f t="shared" si="38"/>
        <v>1.224390243902439</v>
      </c>
      <c r="AF143" s="16">
        <f t="shared" si="39"/>
        <v>1.2009569377990432</v>
      </c>
      <c r="AG143" s="9"/>
      <c r="AH143" s="9"/>
      <c r="AI143" s="12">
        <f t="shared" si="40"/>
        <v>29.799999999999997</v>
      </c>
      <c r="AJ143" s="12">
        <f t="shared" si="41"/>
        <v>22.6</v>
      </c>
      <c r="AK143" s="12">
        <f t="shared" si="41"/>
        <v>36.4</v>
      </c>
      <c r="AL143" s="12">
        <f t="shared" si="41"/>
        <v>18.2</v>
      </c>
      <c r="AM143" s="12">
        <f t="shared" si="35"/>
        <v>13.8</v>
      </c>
      <c r="AN143" s="12">
        <f t="shared" si="35"/>
        <v>66.8</v>
      </c>
      <c r="AO143" s="12">
        <f t="shared" si="35"/>
        <v>32</v>
      </c>
      <c r="AP143" s="12">
        <f t="shared" si="35"/>
        <v>44.1</v>
      </c>
      <c r="AQ143" s="12">
        <f t="shared" si="35"/>
        <v>39.700000000000003</v>
      </c>
      <c r="AR143" s="12">
        <f t="shared" si="35"/>
        <v>85</v>
      </c>
      <c r="AS143" s="12">
        <f t="shared" si="35"/>
        <v>83.399999999999991</v>
      </c>
      <c r="AT143" s="12">
        <f t="shared" si="35"/>
        <v>10.4</v>
      </c>
      <c r="AU143" s="12">
        <f t="shared" si="42"/>
        <v>10</v>
      </c>
      <c r="AV143" s="12">
        <f t="shared" si="44"/>
        <v>64</v>
      </c>
      <c r="AW143" s="12">
        <f t="shared" si="44"/>
        <v>15.4</v>
      </c>
      <c r="AX143" s="12">
        <f t="shared" si="43"/>
        <v>19.399999999999991</v>
      </c>
      <c r="AY143" s="9"/>
      <c r="AZ143" s="12">
        <f t="shared" si="45"/>
        <v>13.8</v>
      </c>
      <c r="BA143" s="12">
        <f t="shared" si="45"/>
        <v>8.7999999999999989</v>
      </c>
      <c r="BB143" s="12">
        <f t="shared" si="45"/>
        <v>9.9</v>
      </c>
      <c r="BC143" s="12">
        <f t="shared" si="45"/>
        <v>9.9</v>
      </c>
      <c r="BD143" s="12">
        <f t="shared" si="45"/>
        <v>18.2</v>
      </c>
      <c r="BE143" s="12">
        <f t="shared" si="45"/>
        <v>15.4</v>
      </c>
      <c r="BF143" s="12">
        <f t="shared" si="45"/>
        <v>9.9</v>
      </c>
      <c r="BG143" s="12">
        <f t="shared" si="45"/>
        <v>18.2</v>
      </c>
      <c r="BH143" s="12">
        <f t="shared" si="45"/>
        <v>85.6</v>
      </c>
      <c r="BI143" s="12">
        <f t="shared" si="45"/>
        <v>67.400000000000006</v>
      </c>
    </row>
    <row r="144" spans="1:61" ht="15.75" customHeight="1">
      <c r="A144" s="1" t="s">
        <v>218</v>
      </c>
      <c r="B144" s="3" t="s">
        <v>140</v>
      </c>
      <c r="C144" s="4" t="s">
        <v>85</v>
      </c>
      <c r="D144" s="4">
        <v>35</v>
      </c>
      <c r="E144" s="4">
        <v>324</v>
      </c>
      <c r="F144" s="4">
        <v>35</v>
      </c>
      <c r="G144" s="4">
        <v>324</v>
      </c>
      <c r="H144" s="4">
        <v>10.9</v>
      </c>
      <c r="I144" s="4">
        <v>0.48499999999999999</v>
      </c>
      <c r="J144" s="4">
        <v>0.45100000000000001</v>
      </c>
      <c r="K144" s="4">
        <v>0.35199999999999998</v>
      </c>
      <c r="L144" s="4">
        <v>0.27500000000000002</v>
      </c>
      <c r="M144" s="4">
        <v>7.7</v>
      </c>
      <c r="N144" s="4">
        <v>15.6</v>
      </c>
      <c r="O144" s="4">
        <v>11.2</v>
      </c>
      <c r="P144" s="4">
        <v>1.9</v>
      </c>
      <c r="Q144" s="4">
        <v>2</v>
      </c>
      <c r="R144" s="4">
        <v>18.399999999999999</v>
      </c>
      <c r="S144" s="4">
        <v>17.2</v>
      </c>
      <c r="T144" s="4">
        <v>95</v>
      </c>
      <c r="U144" s="4">
        <v>102</v>
      </c>
      <c r="V144" s="4"/>
      <c r="W144" s="4">
        <v>-0.2</v>
      </c>
      <c r="X144" s="4">
        <v>0.7</v>
      </c>
      <c r="Y144" s="4">
        <v>0.5</v>
      </c>
      <c r="Z144" s="4">
        <v>6.5000000000000002E-2</v>
      </c>
      <c r="AA144" s="13">
        <f>(I144/TOTAL_BASIC!$D$301)*100</f>
        <v>86.560614975838604</v>
      </c>
      <c r="AB144" s="5">
        <f t="shared" si="36"/>
        <v>0.95</v>
      </c>
      <c r="AC144" s="3">
        <f t="shared" si="33"/>
        <v>-7</v>
      </c>
      <c r="AD144" s="9">
        <f t="shared" si="37"/>
        <v>0.97</v>
      </c>
      <c r="AE144" s="16">
        <f t="shared" si="38"/>
        <v>0.65116279069767435</v>
      </c>
      <c r="AF144" s="16">
        <f t="shared" si="39"/>
        <v>0.60869565217391308</v>
      </c>
      <c r="AG144" s="9"/>
      <c r="AH144" s="9"/>
      <c r="AI144" s="12">
        <f t="shared" si="40"/>
        <v>44.7</v>
      </c>
      <c r="AJ144" s="12">
        <f t="shared" si="41"/>
        <v>22</v>
      </c>
      <c r="AK144" s="12">
        <f t="shared" si="41"/>
        <v>36.4</v>
      </c>
      <c r="AL144" s="12">
        <f t="shared" si="41"/>
        <v>13.200000000000001</v>
      </c>
      <c r="AM144" s="12">
        <f t="shared" si="35"/>
        <v>20.399999999999999</v>
      </c>
      <c r="AN144" s="12">
        <f t="shared" si="35"/>
        <v>38.1</v>
      </c>
      <c r="AO144" s="12">
        <f t="shared" si="35"/>
        <v>47.5</v>
      </c>
      <c r="AP144" s="12">
        <f t="shared" si="35"/>
        <v>76.2</v>
      </c>
      <c r="AQ144" s="12">
        <f t="shared" si="35"/>
        <v>86.1</v>
      </c>
      <c r="AR144" s="12">
        <f t="shared" si="35"/>
        <v>33.1</v>
      </c>
      <c r="AS144" s="12">
        <f t="shared" si="35"/>
        <v>57.999999999999993</v>
      </c>
      <c r="AT144" s="12">
        <f t="shared" si="35"/>
        <v>65.7</v>
      </c>
      <c r="AU144" s="12">
        <f t="shared" si="42"/>
        <v>22.700000000000003</v>
      </c>
      <c r="AV144" s="12">
        <f t="shared" si="44"/>
        <v>38.6</v>
      </c>
      <c r="AW144" s="12">
        <f t="shared" si="44"/>
        <v>10.4</v>
      </c>
      <c r="AX144" s="12">
        <f t="shared" si="43"/>
        <v>95.6</v>
      </c>
      <c r="AY144" s="9"/>
      <c r="AZ144" s="12">
        <f t="shared" si="45"/>
        <v>13.8</v>
      </c>
      <c r="BA144" s="12">
        <f t="shared" si="45"/>
        <v>54.1</v>
      </c>
      <c r="BB144" s="12">
        <f t="shared" si="45"/>
        <v>29.799999999999997</v>
      </c>
      <c r="BC144" s="12">
        <f t="shared" si="45"/>
        <v>40.799999999999997</v>
      </c>
      <c r="BD144" s="12">
        <f t="shared" si="45"/>
        <v>13.200000000000001</v>
      </c>
      <c r="BE144" s="12">
        <f t="shared" si="45"/>
        <v>10.4</v>
      </c>
      <c r="BF144" s="12">
        <f t="shared" si="45"/>
        <v>38.6</v>
      </c>
      <c r="BG144" s="12">
        <f t="shared" si="45"/>
        <v>13.200000000000001</v>
      </c>
      <c r="BH144" s="12">
        <f t="shared" si="45"/>
        <v>40.799999999999997</v>
      </c>
      <c r="BI144" s="12">
        <f t="shared" si="45"/>
        <v>18.7</v>
      </c>
    </row>
    <row r="145" spans="1:61" ht="15.75" customHeight="1">
      <c r="A145" s="1" t="s">
        <v>150</v>
      </c>
      <c r="B145" s="3" t="s">
        <v>93</v>
      </c>
      <c r="C145" s="4" t="s">
        <v>8</v>
      </c>
      <c r="D145" s="4">
        <v>16</v>
      </c>
      <c r="E145" s="4">
        <v>323</v>
      </c>
      <c r="F145" s="4">
        <v>16</v>
      </c>
      <c r="G145" s="4">
        <v>323</v>
      </c>
      <c r="H145" s="4">
        <v>13.5</v>
      </c>
      <c r="I145" s="4">
        <v>0.61199999999999999</v>
      </c>
      <c r="J145" s="4">
        <v>0.55500000000000005</v>
      </c>
      <c r="K145" s="4">
        <v>0.63900000000000001</v>
      </c>
      <c r="L145" s="4">
        <v>0.31900000000000001</v>
      </c>
      <c r="M145" s="4">
        <v>2.6</v>
      </c>
      <c r="N145" s="4">
        <v>3.2</v>
      </c>
      <c r="O145" s="4">
        <v>14.1</v>
      </c>
      <c r="P145" s="4">
        <v>1.6</v>
      </c>
      <c r="Q145" s="4">
        <v>0</v>
      </c>
      <c r="R145" s="4">
        <v>14.5</v>
      </c>
      <c r="S145" s="4">
        <v>22.3</v>
      </c>
      <c r="T145" s="4">
        <v>109</v>
      </c>
      <c r="U145" s="4">
        <v>115</v>
      </c>
      <c r="V145" s="4"/>
      <c r="W145" s="4">
        <v>0.4</v>
      </c>
      <c r="X145" s="4">
        <v>0.1</v>
      </c>
      <c r="Y145" s="4">
        <v>0.6</v>
      </c>
      <c r="Z145" s="4">
        <v>6.9000000000000006E-2</v>
      </c>
      <c r="AA145" s="13">
        <f>(I145/TOTAL_BASIC!$D$301)*100</f>
        <v>109.22700281487263</v>
      </c>
      <c r="AB145" s="5">
        <f t="shared" si="36"/>
        <v>1.0900000000000001</v>
      </c>
      <c r="AC145" s="3">
        <f t="shared" si="33"/>
        <v>-6</v>
      </c>
      <c r="AD145" s="9">
        <f t="shared" si="37"/>
        <v>1.224</v>
      </c>
      <c r="AE145" s="16">
        <f t="shared" si="38"/>
        <v>0.63228699551569501</v>
      </c>
      <c r="AF145" s="16">
        <f t="shared" si="39"/>
        <v>0.97241379310344822</v>
      </c>
      <c r="AG145" s="9"/>
      <c r="AH145" s="9"/>
      <c r="AI145" s="12">
        <f t="shared" si="40"/>
        <v>8.2000000000000011</v>
      </c>
      <c r="AJ145" s="12">
        <f t="shared" si="41"/>
        <v>21.5</v>
      </c>
      <c r="AK145" s="12">
        <f t="shared" si="41"/>
        <v>53</v>
      </c>
      <c r="AL145" s="12">
        <f t="shared" si="41"/>
        <v>82.8</v>
      </c>
      <c r="AM145" s="12">
        <f t="shared" si="35"/>
        <v>74.5</v>
      </c>
      <c r="AN145" s="12">
        <f t="shared" si="35"/>
        <v>87.8</v>
      </c>
      <c r="AO145" s="12">
        <f t="shared" si="35"/>
        <v>59.599999999999994</v>
      </c>
      <c r="AP145" s="12">
        <f t="shared" si="35"/>
        <v>28.7</v>
      </c>
      <c r="AQ145" s="12">
        <f t="shared" si="35"/>
        <v>0.5</v>
      </c>
      <c r="AR145" s="12">
        <f t="shared" si="35"/>
        <v>50.2</v>
      </c>
      <c r="AS145" s="12">
        <f t="shared" si="35"/>
        <v>40.300000000000004</v>
      </c>
      <c r="AT145" s="12">
        <f t="shared" si="35"/>
        <v>0</v>
      </c>
      <c r="AU145" s="12">
        <f t="shared" si="42"/>
        <v>52.5</v>
      </c>
      <c r="AV145" s="12">
        <f t="shared" si="44"/>
        <v>72.899999999999991</v>
      </c>
      <c r="AW145" s="12">
        <f t="shared" si="44"/>
        <v>57.999999999999993</v>
      </c>
      <c r="AX145" s="12">
        <f t="shared" si="43"/>
        <v>19.399999999999991</v>
      </c>
      <c r="AY145" s="9"/>
      <c r="AZ145" s="12">
        <f t="shared" si="45"/>
        <v>46.9</v>
      </c>
      <c r="BA145" s="12">
        <f t="shared" si="45"/>
        <v>8.7999999999999989</v>
      </c>
      <c r="BB145" s="12">
        <f t="shared" si="45"/>
        <v>33.1</v>
      </c>
      <c r="BC145" s="12">
        <f t="shared" si="45"/>
        <v>45.300000000000004</v>
      </c>
      <c r="BD145" s="12">
        <f t="shared" si="45"/>
        <v>82.8</v>
      </c>
      <c r="BE145" s="12">
        <f t="shared" si="45"/>
        <v>57.999999999999993</v>
      </c>
      <c r="BF145" s="12">
        <f t="shared" si="45"/>
        <v>41.4</v>
      </c>
      <c r="BG145" s="12">
        <f t="shared" si="45"/>
        <v>82.8</v>
      </c>
      <c r="BH145" s="12">
        <f t="shared" si="45"/>
        <v>38.1</v>
      </c>
      <c r="BI145" s="12">
        <f t="shared" si="45"/>
        <v>46.9</v>
      </c>
    </row>
    <row r="146" spans="1:61" ht="15.75" customHeight="1">
      <c r="A146" s="1" t="s">
        <v>239</v>
      </c>
      <c r="B146" s="3" t="s">
        <v>99</v>
      </c>
      <c r="C146" s="4" t="s">
        <v>85</v>
      </c>
      <c r="D146" s="4">
        <v>28</v>
      </c>
      <c r="E146" s="4">
        <v>319</v>
      </c>
      <c r="F146" s="4">
        <v>28</v>
      </c>
      <c r="G146" s="4">
        <v>319</v>
      </c>
      <c r="H146" s="4">
        <v>7.1</v>
      </c>
      <c r="I146" s="4">
        <v>0.59</v>
      </c>
      <c r="J146" s="4">
        <v>0.55700000000000005</v>
      </c>
      <c r="K146" s="4">
        <v>0.64200000000000002</v>
      </c>
      <c r="L146" s="4">
        <v>0.45300000000000001</v>
      </c>
      <c r="M146" s="4">
        <v>3.8</v>
      </c>
      <c r="N146" s="4">
        <v>8.6999999999999993</v>
      </c>
      <c r="O146" s="4">
        <v>7.9</v>
      </c>
      <c r="P146" s="4">
        <v>1</v>
      </c>
      <c r="Q146" s="4">
        <v>1.4</v>
      </c>
      <c r="R146" s="4">
        <v>19.100000000000001</v>
      </c>
      <c r="S146" s="4">
        <v>11</v>
      </c>
      <c r="T146" s="4">
        <v>109</v>
      </c>
      <c r="U146" s="4">
        <v>110</v>
      </c>
      <c r="V146" s="4"/>
      <c r="W146" s="4">
        <v>0.2</v>
      </c>
      <c r="X146" s="4">
        <v>0.3</v>
      </c>
      <c r="Y146" s="4">
        <v>0.5</v>
      </c>
      <c r="Z146" s="4">
        <v>6.9000000000000006E-2</v>
      </c>
      <c r="AA146" s="13">
        <f>(I146/TOTAL_BASIC!$D$301)*100</f>
        <v>105.30054192937067</v>
      </c>
      <c r="AB146" s="5">
        <f t="shared" si="36"/>
        <v>1.0900000000000001</v>
      </c>
      <c r="AC146" s="3">
        <f t="shared" si="33"/>
        <v>-1</v>
      </c>
      <c r="AD146" s="9">
        <f t="shared" si="37"/>
        <v>1.18</v>
      </c>
      <c r="AE146" s="16">
        <f t="shared" si="38"/>
        <v>0.71818181818181825</v>
      </c>
      <c r="AF146" s="16">
        <f t="shared" si="39"/>
        <v>0.41361256544502617</v>
      </c>
      <c r="AG146" s="9"/>
      <c r="AH146" s="9"/>
      <c r="AI146" s="12">
        <f t="shared" si="40"/>
        <v>28.1</v>
      </c>
      <c r="AJ146" s="12">
        <f t="shared" si="41"/>
        <v>20.9</v>
      </c>
      <c r="AK146" s="12">
        <f t="shared" si="41"/>
        <v>7.1</v>
      </c>
      <c r="AL146" s="12">
        <f t="shared" si="41"/>
        <v>72.899999999999991</v>
      </c>
      <c r="AM146" s="12">
        <f t="shared" si="35"/>
        <v>75.599999999999994</v>
      </c>
      <c r="AN146" s="12">
        <f t="shared" si="35"/>
        <v>88.3</v>
      </c>
      <c r="AO146" s="12">
        <f t="shared" si="35"/>
        <v>86.1</v>
      </c>
      <c r="AP146" s="12">
        <f t="shared" si="35"/>
        <v>42.5</v>
      </c>
      <c r="AQ146" s="12">
        <f t="shared" si="35"/>
        <v>46.9</v>
      </c>
      <c r="AR146" s="12">
        <f t="shared" si="35"/>
        <v>14.899999999999999</v>
      </c>
      <c r="AS146" s="12">
        <f t="shared" si="35"/>
        <v>11</v>
      </c>
      <c r="AT146" s="12">
        <f t="shared" si="35"/>
        <v>55.800000000000004</v>
      </c>
      <c r="AU146" s="12">
        <f t="shared" si="42"/>
        <v>18.300000000000011</v>
      </c>
      <c r="AV146" s="12">
        <f t="shared" si="44"/>
        <v>4.3999999999999995</v>
      </c>
      <c r="AW146" s="12">
        <f t="shared" si="44"/>
        <v>57.999999999999993</v>
      </c>
      <c r="AX146" s="12">
        <f t="shared" si="43"/>
        <v>58.6</v>
      </c>
      <c r="AY146" s="9"/>
      <c r="AZ146" s="12">
        <f t="shared" si="45"/>
        <v>38.1</v>
      </c>
      <c r="BA146" s="12">
        <f t="shared" si="45"/>
        <v>28.1</v>
      </c>
      <c r="BB146" s="12">
        <f t="shared" si="45"/>
        <v>29.799999999999997</v>
      </c>
      <c r="BC146" s="12">
        <f t="shared" si="45"/>
        <v>45.300000000000004</v>
      </c>
      <c r="BD146" s="12">
        <f t="shared" si="45"/>
        <v>72.899999999999991</v>
      </c>
      <c r="BE146" s="12">
        <f t="shared" si="45"/>
        <v>57.999999999999993</v>
      </c>
      <c r="BF146" s="12">
        <f t="shared" si="45"/>
        <v>57.999999999999993</v>
      </c>
      <c r="BG146" s="12">
        <f t="shared" si="45"/>
        <v>72.899999999999991</v>
      </c>
      <c r="BH146" s="12">
        <f t="shared" si="45"/>
        <v>51.300000000000004</v>
      </c>
      <c r="BI146" s="12">
        <f t="shared" si="45"/>
        <v>4.3999999999999995</v>
      </c>
    </row>
    <row r="147" spans="1:61" ht="15.75" customHeight="1">
      <c r="A147" s="1" t="s">
        <v>246</v>
      </c>
      <c r="B147" s="3" t="s">
        <v>99</v>
      </c>
      <c r="C147" s="4" t="s">
        <v>88</v>
      </c>
      <c r="D147" s="4">
        <v>30</v>
      </c>
      <c r="E147" s="4">
        <v>311</v>
      </c>
      <c r="F147" s="4">
        <v>30</v>
      </c>
      <c r="G147" s="4">
        <v>311</v>
      </c>
      <c r="H147" s="4">
        <v>10.9</v>
      </c>
      <c r="I147" s="4">
        <v>0.52500000000000002</v>
      </c>
      <c r="J147" s="4">
        <v>0.44</v>
      </c>
      <c r="K147" s="4">
        <v>0.45300000000000001</v>
      </c>
      <c r="L147" s="4">
        <v>0.64</v>
      </c>
      <c r="M147" s="4">
        <v>10</v>
      </c>
      <c r="N147" s="4">
        <v>15.6</v>
      </c>
      <c r="O147" s="4">
        <v>5.7</v>
      </c>
      <c r="P147" s="4">
        <v>0.7</v>
      </c>
      <c r="Q147" s="4">
        <v>2.6</v>
      </c>
      <c r="R147" s="4">
        <v>16.5</v>
      </c>
      <c r="S147" s="4">
        <v>16.5</v>
      </c>
      <c r="T147" s="4">
        <v>105</v>
      </c>
      <c r="U147" s="4">
        <v>108</v>
      </c>
      <c r="V147" s="4"/>
      <c r="W147" s="4">
        <v>0.2</v>
      </c>
      <c r="X147" s="4">
        <v>0.4</v>
      </c>
      <c r="Y147" s="4">
        <v>0.6</v>
      </c>
      <c r="Z147" s="4">
        <v>7.8E-2</v>
      </c>
      <c r="AA147" s="13">
        <f>(I147/TOTAL_BASIC!$D$301)*100</f>
        <v>93.699634767660342</v>
      </c>
      <c r="AB147" s="5">
        <f t="shared" si="36"/>
        <v>1.05</v>
      </c>
      <c r="AC147" s="3">
        <f t="shared" si="33"/>
        <v>-3</v>
      </c>
      <c r="AD147" s="9">
        <f t="shared" si="37"/>
        <v>1.05</v>
      </c>
      <c r="AE147" s="16">
        <f t="shared" si="38"/>
        <v>0.34545454545454546</v>
      </c>
      <c r="AF147" s="16">
        <f t="shared" si="39"/>
        <v>0.34545454545454546</v>
      </c>
      <c r="AG147" s="9"/>
      <c r="AH147" s="9"/>
      <c r="AI147" s="12">
        <f t="shared" si="40"/>
        <v>32</v>
      </c>
      <c r="AJ147" s="12">
        <f t="shared" si="41"/>
        <v>20.399999999999999</v>
      </c>
      <c r="AK147" s="12">
        <f t="shared" si="41"/>
        <v>36.4</v>
      </c>
      <c r="AL147" s="12">
        <f t="shared" si="41"/>
        <v>35.9</v>
      </c>
      <c r="AM147" s="12">
        <f t="shared" si="35"/>
        <v>14.299999999999999</v>
      </c>
      <c r="AN147" s="12">
        <f t="shared" si="35"/>
        <v>59.599999999999994</v>
      </c>
      <c r="AO147" s="12">
        <f t="shared" si="35"/>
        <v>98.3</v>
      </c>
      <c r="AP147" s="12">
        <f t="shared" si="35"/>
        <v>89.5</v>
      </c>
      <c r="AQ147" s="12">
        <f t="shared" si="35"/>
        <v>86.1</v>
      </c>
      <c r="AR147" s="12">
        <f t="shared" si="35"/>
        <v>3.8</v>
      </c>
      <c r="AS147" s="12">
        <f t="shared" si="35"/>
        <v>3.3000000000000003</v>
      </c>
      <c r="AT147" s="12">
        <f t="shared" si="35"/>
        <v>76.2</v>
      </c>
      <c r="AU147" s="12">
        <f t="shared" si="42"/>
        <v>36</v>
      </c>
      <c r="AV147" s="12">
        <f t="shared" si="44"/>
        <v>28.1</v>
      </c>
      <c r="AW147" s="12">
        <f t="shared" si="44"/>
        <v>41.4</v>
      </c>
      <c r="AX147" s="12">
        <f t="shared" si="43"/>
        <v>71.3</v>
      </c>
      <c r="AY147" s="9"/>
      <c r="AZ147" s="12">
        <f t="shared" si="45"/>
        <v>38.1</v>
      </c>
      <c r="BA147" s="12">
        <f t="shared" si="45"/>
        <v>33.700000000000003</v>
      </c>
      <c r="BB147" s="12">
        <f t="shared" si="45"/>
        <v>33.1</v>
      </c>
      <c r="BC147" s="12">
        <f t="shared" si="45"/>
        <v>54.1</v>
      </c>
      <c r="BD147" s="12">
        <f t="shared" si="45"/>
        <v>35.9</v>
      </c>
      <c r="BE147" s="12">
        <f t="shared" si="45"/>
        <v>41.4</v>
      </c>
      <c r="BF147" s="12">
        <f t="shared" si="45"/>
        <v>50.8</v>
      </c>
      <c r="BG147" s="12">
        <f t="shared" si="45"/>
        <v>35.9</v>
      </c>
      <c r="BH147" s="12">
        <f t="shared" si="45"/>
        <v>3.8</v>
      </c>
      <c r="BI147" s="12">
        <f t="shared" si="45"/>
        <v>2.1999999999999997</v>
      </c>
    </row>
    <row r="148" spans="1:61" ht="15.75" customHeight="1">
      <c r="A148" s="1" t="s">
        <v>190</v>
      </c>
      <c r="B148" s="3" t="s">
        <v>240</v>
      </c>
      <c r="C148" s="4" t="s">
        <v>8</v>
      </c>
      <c r="D148" s="4">
        <v>24</v>
      </c>
      <c r="E148" s="4">
        <v>310</v>
      </c>
      <c r="F148" s="4">
        <v>24</v>
      </c>
      <c r="G148" s="4">
        <v>310</v>
      </c>
      <c r="H148" s="4">
        <v>5.4</v>
      </c>
      <c r="I148" s="4">
        <v>0.46500000000000002</v>
      </c>
      <c r="J148" s="4">
        <v>0.44500000000000001</v>
      </c>
      <c r="K148" s="4">
        <v>0.67</v>
      </c>
      <c r="L148" s="4">
        <v>0.12</v>
      </c>
      <c r="M148" s="4">
        <v>0.4</v>
      </c>
      <c r="N148" s="4">
        <v>1.9</v>
      </c>
      <c r="O148" s="4">
        <v>14.2</v>
      </c>
      <c r="P148" s="4">
        <v>1.4</v>
      </c>
      <c r="Q148" s="4">
        <v>0.3</v>
      </c>
      <c r="R148" s="4">
        <v>16</v>
      </c>
      <c r="S148" s="4">
        <v>17.899999999999999</v>
      </c>
      <c r="T148" s="4">
        <v>88</v>
      </c>
      <c r="U148" s="4">
        <v>118</v>
      </c>
      <c r="V148" s="4"/>
      <c r="W148" s="4">
        <v>-0.5</v>
      </c>
      <c r="X148" s="4">
        <v>0</v>
      </c>
      <c r="Y148" s="4">
        <v>-0.5</v>
      </c>
      <c r="Z148" s="4">
        <v>-6.2E-2</v>
      </c>
      <c r="AA148" s="13">
        <f>(I148/TOTAL_BASIC!$D$301)*100</f>
        <v>82.991105079927735</v>
      </c>
      <c r="AB148" s="5">
        <f t="shared" si="36"/>
        <v>0.88</v>
      </c>
      <c r="AC148" s="3">
        <f t="shared" si="33"/>
        <v>-30</v>
      </c>
      <c r="AD148" s="9">
        <f t="shared" si="37"/>
        <v>0.93</v>
      </c>
      <c r="AE148" s="16">
        <f t="shared" si="38"/>
        <v>0.79329608938547491</v>
      </c>
      <c r="AF148" s="16">
        <f t="shared" si="39"/>
        <v>0.88749999999999996</v>
      </c>
      <c r="AG148" s="9"/>
      <c r="AH148" s="9"/>
      <c r="AI148" s="12">
        <f t="shared" si="40"/>
        <v>19.8</v>
      </c>
      <c r="AJ148" s="12">
        <f t="shared" si="40"/>
        <v>19.8</v>
      </c>
      <c r="AK148" s="12">
        <f t="shared" si="40"/>
        <v>2.1999999999999997</v>
      </c>
      <c r="AL148" s="12">
        <f t="shared" si="40"/>
        <v>8.2000000000000011</v>
      </c>
      <c r="AM148" s="12">
        <f t="shared" si="35"/>
        <v>15.4</v>
      </c>
      <c r="AN148" s="12">
        <f t="shared" si="35"/>
        <v>90.600000000000009</v>
      </c>
      <c r="AO148" s="12">
        <f t="shared" si="35"/>
        <v>9.3000000000000007</v>
      </c>
      <c r="AP148" s="12">
        <f t="shared" si="35"/>
        <v>0.5</v>
      </c>
      <c r="AQ148" s="12">
        <f t="shared" si="35"/>
        <v>0</v>
      </c>
      <c r="AR148" s="12">
        <f t="shared" si="35"/>
        <v>51.9</v>
      </c>
      <c r="AS148" s="12">
        <f t="shared" si="35"/>
        <v>28.1</v>
      </c>
      <c r="AT148" s="12">
        <f t="shared" si="35"/>
        <v>10.4</v>
      </c>
      <c r="AU148" s="12">
        <f t="shared" si="42"/>
        <v>41.5</v>
      </c>
      <c r="AV148" s="12">
        <f t="shared" si="44"/>
        <v>45.800000000000004</v>
      </c>
      <c r="AW148" s="12">
        <f t="shared" si="44"/>
        <v>3.3000000000000003</v>
      </c>
      <c r="AX148" s="12">
        <f t="shared" si="43"/>
        <v>6.6999999999999886</v>
      </c>
      <c r="AY148" s="9"/>
      <c r="AZ148" s="12">
        <f t="shared" si="45"/>
        <v>4.9000000000000004</v>
      </c>
      <c r="BA148" s="12">
        <f t="shared" si="45"/>
        <v>4.3999999999999995</v>
      </c>
      <c r="BB148" s="12">
        <f t="shared" si="45"/>
        <v>1.0999999999999999</v>
      </c>
      <c r="BC148" s="12">
        <f t="shared" si="45"/>
        <v>1.0999999999999999</v>
      </c>
      <c r="BD148" s="12">
        <f t="shared" si="45"/>
        <v>8.2000000000000011</v>
      </c>
      <c r="BE148" s="12">
        <f t="shared" si="45"/>
        <v>3.3000000000000003</v>
      </c>
      <c r="BF148" s="12">
        <f t="shared" si="45"/>
        <v>1.0999999999999999</v>
      </c>
      <c r="BG148" s="12">
        <f t="shared" si="45"/>
        <v>8.2000000000000011</v>
      </c>
      <c r="BH148" s="12">
        <f t="shared" si="45"/>
        <v>57.999999999999993</v>
      </c>
      <c r="BI148" s="12">
        <f t="shared" si="45"/>
        <v>39.200000000000003</v>
      </c>
    </row>
    <row r="149" spans="1:61" ht="15.75" customHeight="1">
      <c r="A149" s="1" t="s">
        <v>171</v>
      </c>
      <c r="B149" s="3" t="s">
        <v>107</v>
      </c>
      <c r="C149" s="4" t="s">
        <v>8</v>
      </c>
      <c r="D149" s="4">
        <v>20</v>
      </c>
      <c r="E149" s="4">
        <v>308</v>
      </c>
      <c r="F149" s="4">
        <v>20</v>
      </c>
      <c r="G149" s="4">
        <v>308</v>
      </c>
      <c r="H149" s="4">
        <v>10.3</v>
      </c>
      <c r="I149" s="4">
        <v>0.495</v>
      </c>
      <c r="J149" s="4">
        <v>0.46500000000000002</v>
      </c>
      <c r="K149" s="4">
        <v>0.32700000000000001</v>
      </c>
      <c r="L149" s="4">
        <v>0.13900000000000001</v>
      </c>
      <c r="M149" s="4">
        <v>2.2000000000000002</v>
      </c>
      <c r="N149" s="4">
        <v>4.9000000000000004</v>
      </c>
      <c r="O149" s="4">
        <v>20.5</v>
      </c>
      <c r="P149" s="4">
        <v>2.5</v>
      </c>
      <c r="Q149" s="4">
        <v>1.2</v>
      </c>
      <c r="R149" s="4">
        <v>17</v>
      </c>
      <c r="S149" s="4">
        <v>18.399999999999999</v>
      </c>
      <c r="T149" s="4">
        <v>95</v>
      </c>
      <c r="U149" s="4">
        <v>113</v>
      </c>
      <c r="V149" s="4"/>
      <c r="W149" s="4">
        <v>-0.2</v>
      </c>
      <c r="X149" s="4">
        <v>0.2</v>
      </c>
      <c r="Y149" s="4">
        <v>0</v>
      </c>
      <c r="Z149" s="4">
        <v>1E-3</v>
      </c>
      <c r="AA149" s="13">
        <f>(I149/TOTAL_BASIC!$D$301)*100</f>
        <v>88.345369923794038</v>
      </c>
      <c r="AB149" s="5">
        <f t="shared" si="36"/>
        <v>0.95</v>
      </c>
      <c r="AC149" s="3">
        <f t="shared" si="33"/>
        <v>-18</v>
      </c>
      <c r="AD149" s="9">
        <f t="shared" si="37"/>
        <v>0.99</v>
      </c>
      <c r="AE149" s="16">
        <f t="shared" si="38"/>
        <v>1.1141304347826089</v>
      </c>
      <c r="AF149" s="16">
        <f t="shared" si="39"/>
        <v>1.2058823529411764</v>
      </c>
      <c r="AG149" s="9"/>
      <c r="AH149" s="9"/>
      <c r="AI149" s="12">
        <f t="shared" si="40"/>
        <v>17.100000000000001</v>
      </c>
      <c r="AJ149" s="12">
        <f t="shared" si="40"/>
        <v>19.3</v>
      </c>
      <c r="AK149" s="12">
        <f t="shared" si="40"/>
        <v>28.7</v>
      </c>
      <c r="AL149" s="12">
        <f t="shared" si="40"/>
        <v>18.7</v>
      </c>
      <c r="AM149" s="12">
        <f t="shared" si="35"/>
        <v>25.900000000000002</v>
      </c>
      <c r="AN149" s="12">
        <f t="shared" si="35"/>
        <v>32.5</v>
      </c>
      <c r="AO149" s="12">
        <f t="shared" si="35"/>
        <v>12.1</v>
      </c>
      <c r="AP149" s="12">
        <f t="shared" si="35"/>
        <v>20.399999999999999</v>
      </c>
      <c r="AQ149" s="12">
        <f t="shared" si="35"/>
        <v>11</v>
      </c>
      <c r="AR149" s="12">
        <f t="shared" si="35"/>
        <v>77.900000000000006</v>
      </c>
      <c r="AS149" s="12">
        <f t="shared" si="35"/>
        <v>83.399999999999991</v>
      </c>
      <c r="AT149" s="12">
        <f t="shared" si="35"/>
        <v>46.9</v>
      </c>
      <c r="AU149" s="12">
        <f t="shared" si="42"/>
        <v>32.599999999999994</v>
      </c>
      <c r="AV149" s="12">
        <f t="shared" si="44"/>
        <v>50.2</v>
      </c>
      <c r="AW149" s="12">
        <f t="shared" si="44"/>
        <v>10.4</v>
      </c>
      <c r="AX149" s="12">
        <f t="shared" si="43"/>
        <v>30.400000000000006</v>
      </c>
      <c r="AY149" s="9"/>
      <c r="AZ149" s="12">
        <f t="shared" si="45"/>
        <v>13.8</v>
      </c>
      <c r="BA149" s="12">
        <f t="shared" si="45"/>
        <v>17.599999999999998</v>
      </c>
      <c r="BB149" s="12">
        <f t="shared" si="45"/>
        <v>9.9</v>
      </c>
      <c r="BC149" s="12">
        <f t="shared" si="45"/>
        <v>11</v>
      </c>
      <c r="BD149" s="12">
        <f t="shared" si="45"/>
        <v>18.7</v>
      </c>
      <c r="BE149" s="12">
        <f t="shared" si="45"/>
        <v>10.4</v>
      </c>
      <c r="BF149" s="12">
        <f t="shared" si="45"/>
        <v>9.9</v>
      </c>
      <c r="BG149" s="12">
        <f t="shared" si="45"/>
        <v>18.7</v>
      </c>
      <c r="BH149" s="12">
        <f t="shared" si="45"/>
        <v>78.400000000000006</v>
      </c>
      <c r="BI149" s="12">
        <f t="shared" si="45"/>
        <v>68.5</v>
      </c>
    </row>
    <row r="150" spans="1:61" ht="15.75" customHeight="1">
      <c r="A150" s="1" t="s">
        <v>241</v>
      </c>
      <c r="B150" s="3" t="s">
        <v>96</v>
      </c>
      <c r="C150" s="4" t="s">
        <v>85</v>
      </c>
      <c r="D150" s="4">
        <v>30</v>
      </c>
      <c r="E150" s="4">
        <v>307</v>
      </c>
      <c r="F150" s="4">
        <v>30</v>
      </c>
      <c r="G150" s="4">
        <v>307</v>
      </c>
      <c r="H150" s="4">
        <v>16</v>
      </c>
      <c r="I150" s="4">
        <v>0.55900000000000005</v>
      </c>
      <c r="J150" s="4">
        <v>0.48799999999999999</v>
      </c>
      <c r="K150" s="4">
        <v>3.6999999999999998E-2</v>
      </c>
      <c r="L150" s="4">
        <v>0.40200000000000002</v>
      </c>
      <c r="M150" s="4">
        <v>13.9</v>
      </c>
      <c r="N150" s="4">
        <v>11.4</v>
      </c>
      <c r="O150" s="4">
        <v>9.1</v>
      </c>
      <c r="P150" s="4">
        <v>2.8</v>
      </c>
      <c r="Q150" s="4">
        <v>3.8</v>
      </c>
      <c r="R150" s="4">
        <v>16.399999999999999</v>
      </c>
      <c r="S150" s="4">
        <v>16.600000000000001</v>
      </c>
      <c r="T150" s="4">
        <v>115</v>
      </c>
      <c r="U150" s="4">
        <v>105</v>
      </c>
      <c r="V150" s="4"/>
      <c r="W150" s="4">
        <v>0.6</v>
      </c>
      <c r="X150" s="4">
        <v>0.5</v>
      </c>
      <c r="Y150" s="4">
        <v>1.1000000000000001</v>
      </c>
      <c r="Z150" s="4">
        <v>0.14499999999999999</v>
      </c>
      <c r="AA150" s="13">
        <f>(I150/TOTAL_BASIC!$D$301)*100</f>
        <v>99.767801590708828</v>
      </c>
      <c r="AB150" s="5">
        <f t="shared" si="36"/>
        <v>1.1499999999999999</v>
      </c>
      <c r="AC150" s="3">
        <f t="shared" si="33"/>
        <v>10</v>
      </c>
      <c r="AD150" s="9">
        <f t="shared" si="37"/>
        <v>1.1180000000000001</v>
      </c>
      <c r="AE150" s="16">
        <f t="shared" si="38"/>
        <v>0.54819277108433728</v>
      </c>
      <c r="AF150" s="16">
        <f t="shared" si="39"/>
        <v>0.55487804878048785</v>
      </c>
      <c r="AG150" s="9"/>
      <c r="AH150" s="9"/>
      <c r="AI150" s="12">
        <f t="shared" si="40"/>
        <v>32</v>
      </c>
      <c r="AJ150" s="12">
        <f t="shared" si="40"/>
        <v>18.2</v>
      </c>
      <c r="AK150" s="12">
        <f t="shared" si="40"/>
        <v>67.900000000000006</v>
      </c>
      <c r="AL150" s="12">
        <f t="shared" si="40"/>
        <v>51.300000000000004</v>
      </c>
      <c r="AM150" s="12">
        <f t="shared" si="35"/>
        <v>40.300000000000004</v>
      </c>
      <c r="AN150" s="12">
        <f t="shared" si="35"/>
        <v>6</v>
      </c>
      <c r="AO150" s="12">
        <f t="shared" si="35"/>
        <v>77.900000000000006</v>
      </c>
      <c r="AP150" s="12">
        <f t="shared" si="35"/>
        <v>98.3</v>
      </c>
      <c r="AQ150" s="12">
        <f t="shared" si="35"/>
        <v>67.900000000000006</v>
      </c>
      <c r="AR150" s="12">
        <f t="shared" si="35"/>
        <v>24.3</v>
      </c>
      <c r="AS150" s="12">
        <f t="shared" si="35"/>
        <v>92.2</v>
      </c>
      <c r="AT150" s="12">
        <f t="shared" si="35"/>
        <v>87.2</v>
      </c>
      <c r="AU150" s="12">
        <f t="shared" si="42"/>
        <v>38.700000000000003</v>
      </c>
      <c r="AV150" s="12">
        <f t="shared" si="44"/>
        <v>29.799999999999997</v>
      </c>
      <c r="AW150" s="12">
        <f t="shared" si="44"/>
        <v>74.5</v>
      </c>
      <c r="AX150" s="12">
        <f t="shared" si="43"/>
        <v>85.7</v>
      </c>
      <c r="AY150" s="9"/>
      <c r="AZ150" s="12">
        <f t="shared" si="45"/>
        <v>56.3</v>
      </c>
      <c r="BA150" s="12">
        <f t="shared" si="45"/>
        <v>39.700000000000003</v>
      </c>
      <c r="BB150" s="12">
        <f t="shared" si="45"/>
        <v>53.5</v>
      </c>
      <c r="BC150" s="12">
        <f t="shared" si="45"/>
        <v>80.600000000000009</v>
      </c>
      <c r="BD150" s="12">
        <f t="shared" si="45"/>
        <v>51.300000000000004</v>
      </c>
      <c r="BE150" s="12">
        <f t="shared" si="45"/>
        <v>74.5</v>
      </c>
      <c r="BF150" s="12">
        <f t="shared" si="45"/>
        <v>79.5</v>
      </c>
      <c r="BG150" s="12">
        <f t="shared" si="45"/>
        <v>51.300000000000004</v>
      </c>
      <c r="BH150" s="12">
        <f t="shared" si="45"/>
        <v>25.4</v>
      </c>
      <c r="BI150" s="12">
        <f t="shared" si="45"/>
        <v>14.299999999999999</v>
      </c>
    </row>
    <row r="151" spans="1:61" ht="15.75" customHeight="1">
      <c r="A151" s="1" t="s">
        <v>272</v>
      </c>
      <c r="B151" s="3" t="s">
        <v>93</v>
      </c>
      <c r="C151" s="4" t="s">
        <v>8</v>
      </c>
      <c r="D151" s="4">
        <v>18</v>
      </c>
      <c r="E151" s="4">
        <v>307</v>
      </c>
      <c r="F151" s="4">
        <v>18</v>
      </c>
      <c r="G151" s="4">
        <v>307</v>
      </c>
      <c r="H151" s="4">
        <v>9.1</v>
      </c>
      <c r="I151" s="4">
        <v>0.501</v>
      </c>
      <c r="J151" s="4">
        <v>0.46700000000000003</v>
      </c>
      <c r="K151" s="4">
        <v>0.78300000000000003</v>
      </c>
      <c r="L151" s="4">
        <v>0.12</v>
      </c>
      <c r="M151" s="4">
        <v>2.4</v>
      </c>
      <c r="N151" s="4">
        <v>6.2</v>
      </c>
      <c r="O151" s="4">
        <v>19.8</v>
      </c>
      <c r="P151" s="4">
        <v>2</v>
      </c>
      <c r="Q151" s="4">
        <v>0.6</v>
      </c>
      <c r="R151" s="4">
        <v>16.399999999999999</v>
      </c>
      <c r="S151" s="4">
        <v>17.100000000000001</v>
      </c>
      <c r="T151" s="4">
        <v>98</v>
      </c>
      <c r="U151" s="4">
        <v>112</v>
      </c>
      <c r="V151" s="4"/>
      <c r="W151" s="4">
        <v>-0.1</v>
      </c>
      <c r="X151" s="4">
        <v>0.2</v>
      </c>
      <c r="Y151" s="4">
        <v>0.1</v>
      </c>
      <c r="Z151" s="4">
        <v>1.7999999999999999E-2</v>
      </c>
      <c r="AA151" s="13">
        <f>(I151/TOTAL_BASIC!$D$301)*100</f>
        <v>89.416222892567305</v>
      </c>
      <c r="AB151" s="5">
        <f t="shared" si="36"/>
        <v>0.98</v>
      </c>
      <c r="AC151" s="3">
        <f t="shared" si="33"/>
        <v>-14</v>
      </c>
      <c r="AD151" s="9">
        <f t="shared" si="37"/>
        <v>1.002</v>
      </c>
      <c r="AE151" s="16">
        <f t="shared" si="38"/>
        <v>1.1578947368421053</v>
      </c>
      <c r="AF151" s="16">
        <f t="shared" si="39"/>
        <v>1.2073170731707319</v>
      </c>
      <c r="AG151" s="9"/>
      <c r="AH151" s="9"/>
      <c r="AI151" s="12">
        <f t="shared" si="40"/>
        <v>12.7</v>
      </c>
      <c r="AJ151" s="12">
        <f t="shared" si="40"/>
        <v>18.2</v>
      </c>
      <c r="AK151" s="12">
        <f t="shared" si="40"/>
        <v>20.399999999999999</v>
      </c>
      <c r="AL151" s="12">
        <f t="shared" si="40"/>
        <v>22</v>
      </c>
      <c r="AM151" s="12">
        <f t="shared" si="35"/>
        <v>27.6</v>
      </c>
      <c r="AN151" s="12">
        <f t="shared" si="35"/>
        <v>98.8</v>
      </c>
      <c r="AO151" s="12">
        <f t="shared" si="35"/>
        <v>9.3000000000000007</v>
      </c>
      <c r="AP151" s="12">
        <f t="shared" si="35"/>
        <v>24.8</v>
      </c>
      <c r="AQ151" s="12">
        <f t="shared" si="35"/>
        <v>22.6</v>
      </c>
      <c r="AR151" s="12">
        <f t="shared" si="35"/>
        <v>75.599999999999994</v>
      </c>
      <c r="AS151" s="12">
        <f t="shared" si="35"/>
        <v>64.600000000000009</v>
      </c>
      <c r="AT151" s="12">
        <f t="shared" si="35"/>
        <v>19.8</v>
      </c>
      <c r="AU151" s="12">
        <f t="shared" si="42"/>
        <v>38.700000000000003</v>
      </c>
      <c r="AV151" s="12">
        <f t="shared" si="44"/>
        <v>36.4</v>
      </c>
      <c r="AW151" s="12">
        <f t="shared" si="44"/>
        <v>19.3</v>
      </c>
      <c r="AX151" s="12">
        <f t="shared" si="43"/>
        <v>38.700000000000003</v>
      </c>
      <c r="AY151" s="9"/>
      <c r="AZ151" s="12">
        <f t="shared" si="45"/>
        <v>20.9</v>
      </c>
      <c r="BA151" s="12">
        <f t="shared" si="45"/>
        <v>17.599999999999998</v>
      </c>
      <c r="BB151" s="12">
        <f t="shared" si="45"/>
        <v>13.8</v>
      </c>
      <c r="BC151" s="12">
        <f t="shared" si="45"/>
        <v>18.2</v>
      </c>
      <c r="BD151" s="12">
        <f t="shared" si="45"/>
        <v>22</v>
      </c>
      <c r="BE151" s="12">
        <f t="shared" si="45"/>
        <v>19.3</v>
      </c>
      <c r="BF151" s="12">
        <f t="shared" si="45"/>
        <v>18.2</v>
      </c>
      <c r="BG151" s="12">
        <f t="shared" si="45"/>
        <v>22</v>
      </c>
      <c r="BH151" s="12">
        <f t="shared" si="45"/>
        <v>82.3</v>
      </c>
      <c r="BI151" s="12">
        <f t="shared" si="45"/>
        <v>69</v>
      </c>
    </row>
    <row r="152" spans="1:61" ht="15.75" customHeight="1">
      <c r="A152" s="1" t="s">
        <v>205</v>
      </c>
      <c r="B152" s="3" t="s">
        <v>117</v>
      </c>
      <c r="C152" s="4" t="s">
        <v>85</v>
      </c>
      <c r="D152" s="4">
        <v>28</v>
      </c>
      <c r="E152" s="4">
        <v>306</v>
      </c>
      <c r="F152" s="4">
        <v>28</v>
      </c>
      <c r="G152" s="4">
        <v>306</v>
      </c>
      <c r="H152" s="4">
        <v>21.4</v>
      </c>
      <c r="I152" s="4">
        <v>0.63900000000000001</v>
      </c>
      <c r="J152" s="4">
        <v>0.57399999999999995</v>
      </c>
      <c r="K152" s="4">
        <v>0.158</v>
      </c>
      <c r="L152" s="4">
        <v>0.58899999999999997</v>
      </c>
      <c r="M152" s="4">
        <v>11.2</v>
      </c>
      <c r="N152" s="4">
        <v>16.100000000000001</v>
      </c>
      <c r="O152" s="4">
        <v>8</v>
      </c>
      <c r="P152" s="4">
        <v>1.8</v>
      </c>
      <c r="Q152" s="4">
        <v>5.6</v>
      </c>
      <c r="R152" s="4">
        <v>11.8</v>
      </c>
      <c r="S152" s="4">
        <v>20</v>
      </c>
      <c r="T152" s="4">
        <v>125</v>
      </c>
      <c r="U152" s="4">
        <v>104</v>
      </c>
      <c r="V152" s="4"/>
      <c r="W152" s="4">
        <v>1.1000000000000001</v>
      </c>
      <c r="X152" s="4">
        <v>0.6</v>
      </c>
      <c r="Y152" s="4">
        <v>1.7</v>
      </c>
      <c r="Z152" s="4">
        <v>0.22</v>
      </c>
      <c r="AA152" s="13">
        <f>(I152/TOTAL_BASIC!$D$301)*100</f>
        <v>114.0458411743523</v>
      </c>
      <c r="AB152" s="5">
        <f t="shared" si="36"/>
        <v>1.25</v>
      </c>
      <c r="AC152" s="3">
        <f t="shared" si="33"/>
        <v>21</v>
      </c>
      <c r="AD152" s="9">
        <f t="shared" si="37"/>
        <v>1.278</v>
      </c>
      <c r="AE152" s="16">
        <f t="shared" si="38"/>
        <v>0.4</v>
      </c>
      <c r="AF152" s="16">
        <f t="shared" si="39"/>
        <v>0.67796610169491522</v>
      </c>
      <c r="AG152" s="9"/>
      <c r="AH152" s="9"/>
      <c r="AI152" s="12">
        <f t="shared" si="40"/>
        <v>28.1</v>
      </c>
      <c r="AJ152" s="12">
        <f t="shared" si="40"/>
        <v>17.599999999999998</v>
      </c>
      <c r="AK152" s="12">
        <f t="shared" si="40"/>
        <v>91.7</v>
      </c>
      <c r="AL152" s="12">
        <f t="shared" si="40"/>
        <v>93.899999999999991</v>
      </c>
      <c r="AM152" s="12">
        <f t="shared" si="35"/>
        <v>83.899999999999991</v>
      </c>
      <c r="AN152" s="12">
        <f t="shared" si="35"/>
        <v>13.200000000000001</v>
      </c>
      <c r="AO152" s="12">
        <f t="shared" si="35"/>
        <v>96.6</v>
      </c>
      <c r="AP152" s="12">
        <f t="shared" si="35"/>
        <v>92.2</v>
      </c>
      <c r="AQ152" s="12">
        <f t="shared" si="35"/>
        <v>90</v>
      </c>
      <c r="AR152" s="12">
        <f t="shared" si="35"/>
        <v>15.4</v>
      </c>
      <c r="AS152" s="12">
        <f t="shared" si="35"/>
        <v>51.300000000000004</v>
      </c>
      <c r="AT152" s="12">
        <f t="shared" si="35"/>
        <v>95.5</v>
      </c>
      <c r="AU152" s="12">
        <f t="shared" si="42"/>
        <v>75.7</v>
      </c>
      <c r="AV152" s="12">
        <f t="shared" si="44"/>
        <v>61.8</v>
      </c>
      <c r="AW152" s="12">
        <f t="shared" si="44"/>
        <v>94.399999999999991</v>
      </c>
      <c r="AX152" s="12">
        <f t="shared" si="43"/>
        <v>88.4</v>
      </c>
      <c r="AY152" s="9"/>
      <c r="AZ152" s="12">
        <f t="shared" si="45"/>
        <v>69</v>
      </c>
      <c r="BA152" s="12">
        <f t="shared" si="45"/>
        <v>47.5</v>
      </c>
      <c r="BB152" s="12">
        <f t="shared" si="45"/>
        <v>65.7</v>
      </c>
      <c r="BC152" s="12">
        <f t="shared" si="45"/>
        <v>98.3</v>
      </c>
      <c r="BD152" s="12">
        <f t="shared" si="45"/>
        <v>93.899999999999991</v>
      </c>
      <c r="BE152" s="12">
        <f t="shared" si="45"/>
        <v>94.399999999999991</v>
      </c>
      <c r="BF152" s="12">
        <f t="shared" si="45"/>
        <v>98.3</v>
      </c>
      <c r="BG152" s="12">
        <f t="shared" si="45"/>
        <v>93.899999999999991</v>
      </c>
      <c r="BH152" s="12">
        <f t="shared" si="45"/>
        <v>8.7999999999999989</v>
      </c>
      <c r="BI152" s="12">
        <f t="shared" si="45"/>
        <v>24.8</v>
      </c>
    </row>
    <row r="153" spans="1:61" ht="15.75" customHeight="1">
      <c r="A153" s="1" t="s">
        <v>201</v>
      </c>
      <c r="B153" s="3" t="s">
        <v>107</v>
      </c>
      <c r="C153" s="4" t="s">
        <v>8</v>
      </c>
      <c r="D153" s="4">
        <v>33</v>
      </c>
      <c r="E153" s="4">
        <v>302</v>
      </c>
      <c r="F153" s="4">
        <v>33</v>
      </c>
      <c r="G153" s="4">
        <v>302</v>
      </c>
      <c r="H153" s="4">
        <v>6.9</v>
      </c>
      <c r="I153" s="4">
        <v>0.443</v>
      </c>
      <c r="J153" s="4">
        <v>0.38300000000000001</v>
      </c>
      <c r="K153" s="4">
        <v>0.51</v>
      </c>
      <c r="L153" s="4">
        <v>0.214</v>
      </c>
      <c r="M153" s="4">
        <v>5.3</v>
      </c>
      <c r="N153" s="4">
        <v>8.1999999999999993</v>
      </c>
      <c r="O153" s="4">
        <v>7.6</v>
      </c>
      <c r="P153" s="4">
        <v>0.8</v>
      </c>
      <c r="Q153" s="4">
        <v>0.6</v>
      </c>
      <c r="R153" s="4">
        <v>5.3</v>
      </c>
      <c r="S153" s="4">
        <v>16.5</v>
      </c>
      <c r="T153" s="4">
        <v>100</v>
      </c>
      <c r="U153" s="4">
        <v>116</v>
      </c>
      <c r="V153" s="4"/>
      <c r="W153" s="4">
        <v>0</v>
      </c>
      <c r="X153" s="4">
        <v>0.1</v>
      </c>
      <c r="Y153" s="4">
        <v>0.1</v>
      </c>
      <c r="Z153" s="4">
        <v>0.01</v>
      </c>
      <c r="AA153" s="13">
        <f>(I153/TOTAL_BASIC!$D$301)*100</f>
        <v>79.064644194425767</v>
      </c>
      <c r="AB153" s="5">
        <f t="shared" si="36"/>
        <v>1</v>
      </c>
      <c r="AC153" s="3">
        <f t="shared" si="33"/>
        <v>-16</v>
      </c>
      <c r="AD153" s="9">
        <f t="shared" si="37"/>
        <v>0.88600000000000001</v>
      </c>
      <c r="AE153" s="16">
        <f t="shared" si="38"/>
        <v>0.46060606060606057</v>
      </c>
      <c r="AF153" s="16">
        <f t="shared" si="39"/>
        <v>1.4339622641509433</v>
      </c>
      <c r="AG153" s="9"/>
      <c r="AH153" s="9"/>
      <c r="AI153" s="12">
        <f t="shared" si="40"/>
        <v>39.700000000000003</v>
      </c>
      <c r="AJ153" s="12">
        <f t="shared" si="40"/>
        <v>17.100000000000001</v>
      </c>
      <c r="AK153" s="12">
        <f t="shared" si="40"/>
        <v>6.6000000000000005</v>
      </c>
      <c r="AL153" s="12">
        <f t="shared" si="40"/>
        <v>6</v>
      </c>
      <c r="AM153" s="12">
        <f t="shared" si="35"/>
        <v>3.8</v>
      </c>
      <c r="AN153" s="12">
        <f t="shared" si="35"/>
        <v>73.400000000000006</v>
      </c>
      <c r="AO153" s="12">
        <f t="shared" si="35"/>
        <v>28.7</v>
      </c>
      <c r="AP153" s="12">
        <f t="shared" si="35"/>
        <v>59.099999999999994</v>
      </c>
      <c r="AQ153" s="12">
        <f t="shared" si="35"/>
        <v>45.300000000000004</v>
      </c>
      <c r="AR153" s="12">
        <f t="shared" si="35"/>
        <v>12.1</v>
      </c>
      <c r="AS153" s="12">
        <f t="shared" si="35"/>
        <v>5.5</v>
      </c>
      <c r="AT153" s="12">
        <f t="shared" si="35"/>
        <v>19.8</v>
      </c>
      <c r="AU153" s="12">
        <f t="shared" si="42"/>
        <v>99.5</v>
      </c>
      <c r="AV153" s="12">
        <f t="shared" si="44"/>
        <v>28.1</v>
      </c>
      <c r="AW153" s="12">
        <f t="shared" si="44"/>
        <v>24.8</v>
      </c>
      <c r="AX153" s="12">
        <f t="shared" si="43"/>
        <v>14.400000000000006</v>
      </c>
      <c r="AY153" s="9"/>
      <c r="AZ153" s="12">
        <f t="shared" si="45"/>
        <v>24.8</v>
      </c>
      <c r="BA153" s="12">
        <f t="shared" si="45"/>
        <v>8.7999999999999989</v>
      </c>
      <c r="BB153" s="12">
        <f t="shared" si="45"/>
        <v>13.8</v>
      </c>
      <c r="BC153" s="12">
        <f t="shared" si="45"/>
        <v>14.299999999999999</v>
      </c>
      <c r="BD153" s="12">
        <f t="shared" si="45"/>
        <v>6</v>
      </c>
      <c r="BE153" s="12">
        <f t="shared" si="45"/>
        <v>24.8</v>
      </c>
      <c r="BF153" s="12">
        <f t="shared" si="45"/>
        <v>13.8</v>
      </c>
      <c r="BG153" s="12">
        <f t="shared" si="45"/>
        <v>6</v>
      </c>
      <c r="BH153" s="12">
        <f t="shared" si="45"/>
        <v>14.899999999999999</v>
      </c>
      <c r="BI153" s="12">
        <f t="shared" si="45"/>
        <v>76.7</v>
      </c>
    </row>
    <row r="154" spans="1:61" ht="15.75" customHeight="1">
      <c r="A154" s="1" t="s">
        <v>255</v>
      </c>
      <c r="B154" s="3" t="s">
        <v>137</v>
      </c>
      <c r="C154" s="4" t="s">
        <v>8</v>
      </c>
      <c r="D154" s="4">
        <v>33</v>
      </c>
      <c r="E154" s="4">
        <v>300</v>
      </c>
      <c r="F154" s="4">
        <v>33</v>
      </c>
      <c r="G154" s="4">
        <v>300</v>
      </c>
      <c r="H154" s="4">
        <v>7.3</v>
      </c>
      <c r="I154" s="4">
        <v>0.48499999999999999</v>
      </c>
      <c r="J154" s="4">
        <v>0.46200000000000002</v>
      </c>
      <c r="K154" s="4">
        <v>0.5</v>
      </c>
      <c r="L154" s="4">
        <v>0.318</v>
      </c>
      <c r="M154" s="4">
        <v>4</v>
      </c>
      <c r="N154" s="4">
        <v>6.6</v>
      </c>
      <c r="O154" s="4">
        <v>7.6</v>
      </c>
      <c r="P154" s="4">
        <v>2.2999999999999998</v>
      </c>
      <c r="Q154" s="4">
        <v>0.3</v>
      </c>
      <c r="R154" s="4">
        <v>10.7</v>
      </c>
      <c r="S154" s="4">
        <v>12.3</v>
      </c>
      <c r="T154" s="4">
        <v>100</v>
      </c>
      <c r="U154" s="4">
        <v>114</v>
      </c>
      <c r="V154" s="4"/>
      <c r="W154" s="4">
        <v>0</v>
      </c>
      <c r="X154" s="4">
        <v>0.2</v>
      </c>
      <c r="Y154" s="4">
        <v>0.2</v>
      </c>
      <c r="Z154" s="4">
        <v>2.1000000000000001E-2</v>
      </c>
      <c r="AA154" s="13">
        <f>(I154/TOTAL_BASIC!$D$301)*100</f>
        <v>86.560614975838604</v>
      </c>
      <c r="AB154" s="5">
        <f t="shared" si="36"/>
        <v>1</v>
      </c>
      <c r="AC154" s="3">
        <f t="shared" si="33"/>
        <v>-14</v>
      </c>
      <c r="AD154" s="9">
        <f t="shared" si="37"/>
        <v>0.97</v>
      </c>
      <c r="AE154" s="16">
        <f t="shared" si="38"/>
        <v>0.61788617886178854</v>
      </c>
      <c r="AF154" s="16">
        <f t="shared" si="39"/>
        <v>0.71028037383177567</v>
      </c>
      <c r="AG154" s="9"/>
      <c r="AH154" s="9"/>
      <c r="AI154" s="12">
        <f t="shared" si="40"/>
        <v>39.700000000000003</v>
      </c>
      <c r="AJ154" s="12">
        <f t="shared" si="40"/>
        <v>16.5</v>
      </c>
      <c r="AK154" s="12">
        <f t="shared" si="40"/>
        <v>8.2000000000000011</v>
      </c>
      <c r="AL154" s="12">
        <f t="shared" si="40"/>
        <v>13.200000000000001</v>
      </c>
      <c r="AM154" s="12">
        <f t="shared" si="35"/>
        <v>23.7</v>
      </c>
      <c r="AN154" s="12">
        <f t="shared" si="35"/>
        <v>69</v>
      </c>
      <c r="AO154" s="12">
        <f t="shared" si="35"/>
        <v>59.099999999999994</v>
      </c>
      <c r="AP154" s="12">
        <f t="shared" si="35"/>
        <v>45.300000000000004</v>
      </c>
      <c r="AQ154" s="12">
        <f t="shared" si="35"/>
        <v>29.2</v>
      </c>
      <c r="AR154" s="12">
        <f t="shared" si="35"/>
        <v>12.1</v>
      </c>
      <c r="AS154" s="12">
        <f t="shared" si="35"/>
        <v>77.900000000000006</v>
      </c>
      <c r="AT154" s="12">
        <f t="shared" si="35"/>
        <v>10.4</v>
      </c>
      <c r="AU154" s="12">
        <f t="shared" si="42"/>
        <v>83.5</v>
      </c>
      <c r="AV154" s="12">
        <f t="shared" si="44"/>
        <v>7.7</v>
      </c>
      <c r="AW154" s="12">
        <f t="shared" si="44"/>
        <v>24.8</v>
      </c>
      <c r="AX154" s="12">
        <f t="shared" si="43"/>
        <v>24.900000000000006</v>
      </c>
      <c r="AY154" s="9"/>
      <c r="AZ154" s="12">
        <f t="shared" si="45"/>
        <v>24.8</v>
      </c>
      <c r="BA154" s="12">
        <f t="shared" si="45"/>
        <v>17.599999999999998</v>
      </c>
      <c r="BB154" s="12">
        <f t="shared" si="45"/>
        <v>20.9</v>
      </c>
      <c r="BC154" s="12">
        <f t="shared" si="45"/>
        <v>19.3</v>
      </c>
      <c r="BD154" s="12">
        <f t="shared" si="45"/>
        <v>13.200000000000001</v>
      </c>
      <c r="BE154" s="12">
        <f t="shared" si="45"/>
        <v>24.8</v>
      </c>
      <c r="BF154" s="12">
        <f t="shared" si="45"/>
        <v>18.2</v>
      </c>
      <c r="BG154" s="12">
        <f t="shared" si="45"/>
        <v>13.200000000000001</v>
      </c>
      <c r="BH154" s="12">
        <f t="shared" si="45"/>
        <v>37</v>
      </c>
      <c r="BI154" s="12">
        <f t="shared" si="45"/>
        <v>27</v>
      </c>
    </row>
    <row r="155" spans="1:61" ht="15.75" customHeight="1">
      <c r="A155" s="1" t="s">
        <v>275</v>
      </c>
      <c r="B155" s="3" t="s">
        <v>114</v>
      </c>
      <c r="C155" s="4" t="s">
        <v>119</v>
      </c>
      <c r="D155" s="4">
        <v>14</v>
      </c>
      <c r="E155" s="4">
        <v>286</v>
      </c>
      <c r="F155" s="4">
        <v>14</v>
      </c>
      <c r="G155" s="4">
        <v>286</v>
      </c>
      <c r="H155" s="4">
        <v>11.9</v>
      </c>
      <c r="I155" s="4">
        <v>0.48</v>
      </c>
      <c r="J155" s="4">
        <v>0.441</v>
      </c>
      <c r="K155" s="4">
        <v>0.28000000000000003</v>
      </c>
      <c r="L155" s="4">
        <v>0.17199999999999999</v>
      </c>
      <c r="M155" s="4">
        <v>2.8</v>
      </c>
      <c r="N155" s="4">
        <v>11.2</v>
      </c>
      <c r="O155" s="4">
        <v>14.4</v>
      </c>
      <c r="P155" s="4">
        <v>1.9</v>
      </c>
      <c r="Q155" s="4">
        <v>5.5</v>
      </c>
      <c r="R155" s="4">
        <v>13</v>
      </c>
      <c r="S155" s="4">
        <v>17.5</v>
      </c>
      <c r="T155" s="4">
        <v>96</v>
      </c>
      <c r="U155" s="4">
        <v>107</v>
      </c>
      <c r="V155" s="4"/>
      <c r="W155" s="4">
        <v>-0.1</v>
      </c>
      <c r="X155" s="4">
        <v>0.4</v>
      </c>
      <c r="Y155" s="4">
        <v>0.3</v>
      </c>
      <c r="Z155" s="4">
        <v>4.2000000000000003E-2</v>
      </c>
      <c r="AA155" s="13">
        <f>(I155/TOTAL_BASIC!$D$301)*100</f>
        <v>85.668237501860872</v>
      </c>
      <c r="AB155" s="5">
        <f t="shared" si="36"/>
        <v>0.96</v>
      </c>
      <c r="AC155" s="3">
        <f t="shared" si="33"/>
        <v>-11</v>
      </c>
      <c r="AD155" s="9">
        <f t="shared" si="37"/>
        <v>0.96</v>
      </c>
      <c r="AE155" s="16">
        <f t="shared" si="38"/>
        <v>0.82285714285714284</v>
      </c>
      <c r="AF155" s="16">
        <f t="shared" si="39"/>
        <v>1.1076923076923078</v>
      </c>
      <c r="AG155" s="9"/>
      <c r="AH155" s="9"/>
      <c r="AI155" s="12">
        <f t="shared" si="40"/>
        <v>6</v>
      </c>
      <c r="AJ155" s="12">
        <f t="shared" si="40"/>
        <v>16</v>
      </c>
      <c r="AK155" s="12">
        <f t="shared" si="40"/>
        <v>44.1</v>
      </c>
      <c r="AL155" s="12">
        <f t="shared" si="40"/>
        <v>11.600000000000001</v>
      </c>
      <c r="AM155" s="12">
        <f t="shared" si="35"/>
        <v>14.899999999999999</v>
      </c>
      <c r="AN155" s="12">
        <f t="shared" si="35"/>
        <v>26.5</v>
      </c>
      <c r="AO155" s="12">
        <f t="shared" si="35"/>
        <v>18.7</v>
      </c>
      <c r="AP155" s="12">
        <f t="shared" si="35"/>
        <v>30.3</v>
      </c>
      <c r="AQ155" s="12">
        <f t="shared" si="35"/>
        <v>66.2</v>
      </c>
      <c r="AR155" s="12">
        <f t="shared" si="35"/>
        <v>54.1</v>
      </c>
      <c r="AS155" s="12">
        <f t="shared" si="35"/>
        <v>57.999999999999993</v>
      </c>
      <c r="AT155" s="12">
        <f t="shared" si="35"/>
        <v>95</v>
      </c>
      <c r="AU155" s="12">
        <f t="shared" si="42"/>
        <v>66.900000000000006</v>
      </c>
      <c r="AV155" s="12">
        <f t="shared" si="44"/>
        <v>43</v>
      </c>
      <c r="AW155" s="12">
        <f t="shared" si="44"/>
        <v>13.200000000000001</v>
      </c>
      <c r="AX155" s="12">
        <f t="shared" si="43"/>
        <v>77.400000000000006</v>
      </c>
      <c r="AY155" s="9"/>
      <c r="AZ155" s="12">
        <f t="shared" si="45"/>
        <v>20.9</v>
      </c>
      <c r="BA155" s="12">
        <f t="shared" si="45"/>
        <v>33.700000000000003</v>
      </c>
      <c r="BB155" s="12">
        <f t="shared" si="45"/>
        <v>24.8</v>
      </c>
      <c r="BC155" s="12">
        <f t="shared" si="45"/>
        <v>30.9</v>
      </c>
      <c r="BD155" s="12">
        <f t="shared" si="45"/>
        <v>11.600000000000001</v>
      </c>
      <c r="BE155" s="12">
        <f t="shared" si="45"/>
        <v>13.200000000000001</v>
      </c>
      <c r="BF155" s="12">
        <f t="shared" si="45"/>
        <v>28.1</v>
      </c>
      <c r="BG155" s="12">
        <f t="shared" si="45"/>
        <v>11.600000000000001</v>
      </c>
      <c r="BH155" s="12">
        <f t="shared" si="45"/>
        <v>60.699999999999996</v>
      </c>
      <c r="BI155" s="12">
        <f t="shared" si="45"/>
        <v>62.4</v>
      </c>
    </row>
    <row r="156" spans="1:61" ht="15.75" customHeight="1">
      <c r="A156" s="1" t="s">
        <v>202</v>
      </c>
      <c r="B156" s="3" t="s">
        <v>117</v>
      </c>
      <c r="C156" s="4" t="s">
        <v>85</v>
      </c>
      <c r="D156" s="4">
        <v>27</v>
      </c>
      <c r="E156" s="4">
        <v>268</v>
      </c>
      <c r="F156" s="4">
        <v>27</v>
      </c>
      <c r="G156" s="4">
        <v>268</v>
      </c>
      <c r="H156" s="4">
        <v>4.3</v>
      </c>
      <c r="I156" s="4">
        <v>0.38</v>
      </c>
      <c r="J156" s="4">
        <v>0.36799999999999999</v>
      </c>
      <c r="K156" s="4">
        <v>0.72099999999999997</v>
      </c>
      <c r="L156" s="4">
        <v>5.8999999999999997E-2</v>
      </c>
      <c r="M156" s="4">
        <v>4.5999999999999996</v>
      </c>
      <c r="N156" s="4">
        <v>8.6999999999999993</v>
      </c>
      <c r="O156" s="4">
        <v>8</v>
      </c>
      <c r="P156" s="4">
        <v>1.1000000000000001</v>
      </c>
      <c r="Q156" s="4">
        <v>3.4</v>
      </c>
      <c r="R156" s="4">
        <v>16.7</v>
      </c>
      <c r="S156" s="4">
        <v>14.1</v>
      </c>
      <c r="T156" s="4">
        <v>81</v>
      </c>
      <c r="U156" s="4">
        <v>109</v>
      </c>
      <c r="V156" s="4"/>
      <c r="W156" s="4">
        <v>-0.5</v>
      </c>
      <c r="X156" s="4">
        <v>0.3</v>
      </c>
      <c r="Y156" s="4">
        <v>-0.2</v>
      </c>
      <c r="Z156" s="4">
        <v>-3.1E-2</v>
      </c>
      <c r="AA156" s="13">
        <f>(I156/TOTAL_BASIC!$D$301)*100</f>
        <v>67.820688022306527</v>
      </c>
      <c r="AB156" s="5">
        <f t="shared" si="36"/>
        <v>0.81</v>
      </c>
      <c r="AC156" s="3">
        <f t="shared" si="33"/>
        <v>-28</v>
      </c>
      <c r="AD156" s="9">
        <f t="shared" si="37"/>
        <v>0.76</v>
      </c>
      <c r="AE156" s="16">
        <f t="shared" si="38"/>
        <v>0.56737588652482274</v>
      </c>
      <c r="AF156" s="16">
        <f t="shared" si="39"/>
        <v>0.47904191616766467</v>
      </c>
      <c r="AG156" s="9"/>
      <c r="AH156" s="9"/>
      <c r="AI156" s="12">
        <f t="shared" si="40"/>
        <v>24.8</v>
      </c>
      <c r="AJ156" s="12">
        <f t="shared" si="40"/>
        <v>15.4</v>
      </c>
      <c r="AK156" s="12">
        <f t="shared" si="40"/>
        <v>1.0999999999999999</v>
      </c>
      <c r="AL156" s="12">
        <f t="shared" si="40"/>
        <v>1.0999999999999999</v>
      </c>
      <c r="AM156" s="12">
        <f t="shared" si="35"/>
        <v>2.1999999999999997</v>
      </c>
      <c r="AN156" s="12">
        <f t="shared" si="35"/>
        <v>95</v>
      </c>
      <c r="AO156" s="12">
        <f t="shared" si="35"/>
        <v>1.0999999999999999</v>
      </c>
      <c r="AP156" s="12">
        <f t="shared" si="35"/>
        <v>51.300000000000004</v>
      </c>
      <c r="AQ156" s="12">
        <f t="shared" si="35"/>
        <v>46.9</v>
      </c>
      <c r="AR156" s="12">
        <f t="shared" si="35"/>
        <v>15.4</v>
      </c>
      <c r="AS156" s="12">
        <f t="shared" si="35"/>
        <v>16.5</v>
      </c>
      <c r="AT156" s="12">
        <f t="shared" si="35"/>
        <v>82.8</v>
      </c>
      <c r="AU156" s="12">
        <f t="shared" si="42"/>
        <v>34.899999999999991</v>
      </c>
      <c r="AV156" s="12">
        <f t="shared" si="44"/>
        <v>15.4</v>
      </c>
      <c r="AW156" s="12">
        <f t="shared" si="44"/>
        <v>1.0999999999999999</v>
      </c>
      <c r="AX156" s="12">
        <f t="shared" si="43"/>
        <v>64.7</v>
      </c>
      <c r="AY156" s="9"/>
      <c r="AZ156" s="12">
        <f t="shared" si="45"/>
        <v>4.9000000000000004</v>
      </c>
      <c r="BA156" s="12">
        <f t="shared" si="45"/>
        <v>28.1</v>
      </c>
      <c r="BB156" s="12">
        <f t="shared" si="45"/>
        <v>6</v>
      </c>
      <c r="BC156" s="12">
        <f t="shared" si="45"/>
        <v>5.5</v>
      </c>
      <c r="BD156" s="12">
        <f t="shared" si="45"/>
        <v>1.0999999999999999</v>
      </c>
      <c r="BE156" s="12">
        <f t="shared" si="45"/>
        <v>1.0999999999999999</v>
      </c>
      <c r="BF156" s="12">
        <f t="shared" si="45"/>
        <v>2.1999999999999997</v>
      </c>
      <c r="BG156" s="12">
        <f t="shared" si="45"/>
        <v>1.0999999999999999</v>
      </c>
      <c r="BH156" s="12">
        <f t="shared" si="45"/>
        <v>27.6</v>
      </c>
      <c r="BI156" s="12">
        <f t="shared" si="45"/>
        <v>9.9</v>
      </c>
    </row>
    <row r="157" spans="1:61" ht="15.75" customHeight="1">
      <c r="A157" s="1" t="s">
        <v>266</v>
      </c>
      <c r="B157" s="3" t="s">
        <v>96</v>
      </c>
      <c r="C157" s="4" t="s">
        <v>85</v>
      </c>
      <c r="D157" s="4">
        <v>18</v>
      </c>
      <c r="E157" s="4">
        <v>261</v>
      </c>
      <c r="F157" s="4">
        <v>18</v>
      </c>
      <c r="G157" s="4">
        <v>261</v>
      </c>
      <c r="H157" s="4">
        <v>10.3</v>
      </c>
      <c r="I157" s="4">
        <v>0.48699999999999999</v>
      </c>
      <c r="J157" s="4">
        <v>0.49199999999999999</v>
      </c>
      <c r="K157" s="4">
        <v>0.69199999999999995</v>
      </c>
      <c r="L157" s="4">
        <v>6.2E-2</v>
      </c>
      <c r="M157" s="4">
        <v>3.3</v>
      </c>
      <c r="N157" s="4">
        <v>11.2</v>
      </c>
      <c r="O157" s="4">
        <v>11.7</v>
      </c>
      <c r="P157" s="4">
        <v>1</v>
      </c>
      <c r="Q157" s="4">
        <v>4.0999999999999996</v>
      </c>
      <c r="R157" s="4">
        <v>13</v>
      </c>
      <c r="S157" s="4">
        <v>12.9</v>
      </c>
      <c r="T157" s="4">
        <v>103</v>
      </c>
      <c r="U157" s="4">
        <v>106</v>
      </c>
      <c r="V157" s="4"/>
      <c r="W157" s="4">
        <v>0.1</v>
      </c>
      <c r="X157" s="4">
        <v>0.4</v>
      </c>
      <c r="Y157" s="4">
        <v>0.5</v>
      </c>
      <c r="Z157" s="4">
        <v>7.5999999999999998E-2</v>
      </c>
      <c r="AA157" s="13">
        <f>(I157/TOTAL_BASIC!$D$301)*100</f>
        <v>86.917565965429688</v>
      </c>
      <c r="AB157" s="5">
        <f t="shared" si="36"/>
        <v>1.03</v>
      </c>
      <c r="AC157" s="3">
        <f t="shared" si="33"/>
        <v>-3</v>
      </c>
      <c r="AD157" s="9">
        <f t="shared" si="37"/>
        <v>0.97399999999999998</v>
      </c>
      <c r="AE157" s="16">
        <f t="shared" si="38"/>
        <v>0.90697674418604646</v>
      </c>
      <c r="AF157" s="16">
        <f t="shared" si="39"/>
        <v>0.89999999999999991</v>
      </c>
      <c r="AG157" s="9"/>
      <c r="AH157" s="9"/>
      <c r="AI157" s="12">
        <f t="shared" si="40"/>
        <v>12.7</v>
      </c>
      <c r="AJ157" s="12">
        <f t="shared" si="40"/>
        <v>14.899999999999999</v>
      </c>
      <c r="AK157" s="12">
        <f t="shared" si="40"/>
        <v>28.7</v>
      </c>
      <c r="AL157" s="12">
        <f t="shared" si="40"/>
        <v>14.299999999999999</v>
      </c>
      <c r="AM157" s="12">
        <f t="shared" si="35"/>
        <v>41.9</v>
      </c>
      <c r="AN157" s="12">
        <f t="shared" si="35"/>
        <v>91.7</v>
      </c>
      <c r="AO157" s="12">
        <f t="shared" si="35"/>
        <v>1.6</v>
      </c>
      <c r="AP157" s="12">
        <f t="shared" si="35"/>
        <v>38.1</v>
      </c>
      <c r="AQ157" s="12">
        <f t="shared" si="35"/>
        <v>66.2</v>
      </c>
      <c r="AR157" s="12">
        <f t="shared" si="35"/>
        <v>38.1</v>
      </c>
      <c r="AS157" s="12">
        <f t="shared" si="35"/>
        <v>11</v>
      </c>
      <c r="AT157" s="12">
        <f t="shared" si="35"/>
        <v>88.9</v>
      </c>
      <c r="AU157" s="12">
        <f t="shared" si="42"/>
        <v>66.900000000000006</v>
      </c>
      <c r="AV157" s="12">
        <f t="shared" si="44"/>
        <v>11</v>
      </c>
      <c r="AW157" s="12">
        <f t="shared" si="44"/>
        <v>33.700000000000003</v>
      </c>
      <c r="AX157" s="12">
        <f t="shared" si="43"/>
        <v>82.9</v>
      </c>
      <c r="AY157" s="9"/>
      <c r="AZ157" s="12">
        <f t="shared" si="45"/>
        <v>32.5</v>
      </c>
      <c r="BA157" s="12">
        <f t="shared" si="45"/>
        <v>33.700000000000003</v>
      </c>
      <c r="BB157" s="12">
        <f t="shared" si="45"/>
        <v>29.799999999999997</v>
      </c>
      <c r="BC157" s="12">
        <f t="shared" si="45"/>
        <v>52.400000000000006</v>
      </c>
      <c r="BD157" s="12">
        <f t="shared" si="45"/>
        <v>14.299999999999999</v>
      </c>
      <c r="BE157" s="12">
        <f t="shared" si="45"/>
        <v>33.700000000000003</v>
      </c>
      <c r="BF157" s="12">
        <f t="shared" si="45"/>
        <v>50.8</v>
      </c>
      <c r="BG157" s="12">
        <f t="shared" si="45"/>
        <v>14.299999999999999</v>
      </c>
      <c r="BH157" s="12">
        <f t="shared" si="45"/>
        <v>65.7</v>
      </c>
      <c r="BI157" s="12">
        <f t="shared" si="45"/>
        <v>41.4</v>
      </c>
    </row>
    <row r="158" spans="1:61" ht="15.75" customHeight="1">
      <c r="A158" s="1" t="s">
        <v>222</v>
      </c>
      <c r="B158" s="3" t="s">
        <v>240</v>
      </c>
      <c r="C158" s="4" t="s">
        <v>8</v>
      </c>
      <c r="D158" s="4">
        <v>25</v>
      </c>
      <c r="E158" s="4">
        <v>257</v>
      </c>
      <c r="F158" s="4">
        <v>25</v>
      </c>
      <c r="G158" s="4">
        <v>257</v>
      </c>
      <c r="H158" s="4">
        <v>11.6</v>
      </c>
      <c r="I158" s="4">
        <v>0.52400000000000002</v>
      </c>
      <c r="J158" s="4">
        <v>0.50700000000000001</v>
      </c>
      <c r="K158" s="4">
        <v>0.35099999999999998</v>
      </c>
      <c r="L158" s="4">
        <v>0.189</v>
      </c>
      <c r="M158" s="4">
        <v>1</v>
      </c>
      <c r="N158" s="4">
        <v>4.9000000000000004</v>
      </c>
      <c r="O158" s="4">
        <v>29.7</v>
      </c>
      <c r="P158" s="4">
        <v>1.8</v>
      </c>
      <c r="Q158" s="4">
        <v>0.7</v>
      </c>
      <c r="R158" s="4">
        <v>20.8</v>
      </c>
      <c r="S158" s="4">
        <v>17.600000000000001</v>
      </c>
      <c r="T158" s="4">
        <v>103</v>
      </c>
      <c r="U158" s="4">
        <v>112</v>
      </c>
      <c r="V158" s="4"/>
      <c r="W158" s="4">
        <v>0.1</v>
      </c>
      <c r="X158" s="4">
        <v>0.2</v>
      </c>
      <c r="Y158" s="4">
        <v>0.3</v>
      </c>
      <c r="Z158" s="4">
        <v>4.3999999999999997E-2</v>
      </c>
      <c r="AA158" s="13">
        <f>(I158/TOTAL_BASIC!$D$301)*100</f>
        <v>93.521159272864807</v>
      </c>
      <c r="AB158" s="5">
        <f t="shared" si="36"/>
        <v>1.03</v>
      </c>
      <c r="AC158" s="3">
        <f t="shared" si="33"/>
        <v>-9</v>
      </c>
      <c r="AD158" s="9">
        <f t="shared" si="37"/>
        <v>1.048</v>
      </c>
      <c r="AE158" s="16">
        <f t="shared" si="38"/>
        <v>1.6874999999999998</v>
      </c>
      <c r="AF158" s="16">
        <f t="shared" si="39"/>
        <v>1.4278846153846152</v>
      </c>
      <c r="AG158" s="9"/>
      <c r="AH158" s="9"/>
      <c r="AI158" s="12">
        <f t="shared" si="40"/>
        <v>22</v>
      </c>
      <c r="AJ158" s="12">
        <f t="shared" si="40"/>
        <v>14.299999999999999</v>
      </c>
      <c r="AK158" s="12">
        <f t="shared" si="40"/>
        <v>41.4</v>
      </c>
      <c r="AL158" s="12">
        <f t="shared" si="40"/>
        <v>35.299999999999997</v>
      </c>
      <c r="AM158" s="12">
        <f t="shared" si="35"/>
        <v>49.7</v>
      </c>
      <c r="AN158" s="12">
        <f t="shared" si="35"/>
        <v>37.5</v>
      </c>
      <c r="AO158" s="12">
        <f t="shared" si="35"/>
        <v>22.6</v>
      </c>
      <c r="AP158" s="12">
        <f t="shared" si="35"/>
        <v>6</v>
      </c>
      <c r="AQ158" s="12">
        <f t="shared" si="35"/>
        <v>11</v>
      </c>
      <c r="AR158" s="12">
        <f t="shared" si="35"/>
        <v>92.800000000000011</v>
      </c>
      <c r="AS158" s="12">
        <f t="shared" si="35"/>
        <v>51.300000000000004</v>
      </c>
      <c r="AT158" s="12">
        <f t="shared" si="35"/>
        <v>24.3</v>
      </c>
      <c r="AU158" s="12">
        <f>100-(PERCENTRANK(R$3:R$298,R158))*100</f>
        <v>10.5</v>
      </c>
      <c r="AV158" s="12">
        <f t="shared" si="44"/>
        <v>43.6</v>
      </c>
      <c r="AW158" s="12">
        <f t="shared" si="44"/>
        <v>33.700000000000003</v>
      </c>
      <c r="AX158" s="12">
        <f t="shared" si="43"/>
        <v>38.700000000000003</v>
      </c>
      <c r="AY158" s="9"/>
      <c r="AZ158" s="12">
        <f t="shared" si="45"/>
        <v>32.5</v>
      </c>
      <c r="BA158" s="12">
        <f t="shared" si="45"/>
        <v>17.599999999999998</v>
      </c>
      <c r="BB158" s="12">
        <f t="shared" si="45"/>
        <v>24.8</v>
      </c>
      <c r="BC158" s="12">
        <f t="shared" si="45"/>
        <v>33.1</v>
      </c>
      <c r="BD158" s="12">
        <f t="shared" si="45"/>
        <v>35.299999999999997</v>
      </c>
      <c r="BE158" s="12">
        <f t="shared" si="45"/>
        <v>33.700000000000003</v>
      </c>
      <c r="BF158" s="12">
        <f t="shared" si="45"/>
        <v>34.200000000000003</v>
      </c>
      <c r="BG158" s="12">
        <f t="shared" si="45"/>
        <v>35.299999999999997</v>
      </c>
      <c r="BH158" s="12">
        <f t="shared" si="45"/>
        <v>96.6</v>
      </c>
      <c r="BI158" s="12">
        <f t="shared" si="45"/>
        <v>76.2</v>
      </c>
    </row>
    <row r="159" spans="1:61" ht="15.75" customHeight="1">
      <c r="A159" s="1" t="s">
        <v>197</v>
      </c>
      <c r="B159" s="3" t="s">
        <v>114</v>
      </c>
      <c r="C159" s="4" t="s">
        <v>85</v>
      </c>
      <c r="D159" s="4">
        <v>26</v>
      </c>
      <c r="E159" s="4">
        <v>252</v>
      </c>
      <c r="F159" s="4">
        <v>26</v>
      </c>
      <c r="G159" s="4">
        <v>252</v>
      </c>
      <c r="H159" s="4">
        <v>15.2</v>
      </c>
      <c r="I159" s="4">
        <v>0.64200000000000002</v>
      </c>
      <c r="J159" s="4">
        <v>0.61699999999999999</v>
      </c>
      <c r="K159" s="4">
        <v>0.23400000000000001</v>
      </c>
      <c r="L159" s="4">
        <v>0.36199999999999999</v>
      </c>
      <c r="M159" s="4">
        <v>10.8</v>
      </c>
      <c r="N159" s="4">
        <v>16.8</v>
      </c>
      <c r="O159" s="4">
        <v>8.1</v>
      </c>
      <c r="P159" s="4">
        <v>3</v>
      </c>
      <c r="Q159" s="4">
        <v>2.2000000000000002</v>
      </c>
      <c r="R159" s="4">
        <v>18.100000000000001</v>
      </c>
      <c r="S159" s="4">
        <v>11.5</v>
      </c>
      <c r="T159" s="4">
        <v>121</v>
      </c>
      <c r="U159" s="4">
        <v>106</v>
      </c>
      <c r="V159" s="4"/>
      <c r="W159" s="4">
        <v>0.4</v>
      </c>
      <c r="X159" s="4">
        <v>0.4</v>
      </c>
      <c r="Y159" s="4">
        <v>0.9</v>
      </c>
      <c r="Z159" s="4">
        <v>0.14099999999999999</v>
      </c>
      <c r="AA159" s="13">
        <f>(I159/TOTAL_BASIC!$D$301)*100</f>
        <v>114.58126765873892</v>
      </c>
      <c r="AB159" s="5">
        <f t="shared" si="36"/>
        <v>1.21</v>
      </c>
      <c r="AC159" s="3">
        <f t="shared" si="33"/>
        <v>15</v>
      </c>
      <c r="AD159" s="9">
        <f t="shared" si="37"/>
        <v>1.284</v>
      </c>
      <c r="AE159" s="16">
        <f t="shared" si="38"/>
        <v>0.70434782608695645</v>
      </c>
      <c r="AF159" s="16">
        <f t="shared" si="39"/>
        <v>0.4475138121546961</v>
      </c>
      <c r="AG159" s="9"/>
      <c r="AH159" s="9"/>
      <c r="AI159" s="12">
        <f t="shared" si="40"/>
        <v>23.200000000000003</v>
      </c>
      <c r="AJ159" s="12">
        <f t="shared" si="40"/>
        <v>13.8</v>
      </c>
      <c r="AK159" s="12">
        <f t="shared" si="40"/>
        <v>62.9</v>
      </c>
      <c r="AL159" s="12">
        <f t="shared" si="40"/>
        <v>94.399999999999991</v>
      </c>
      <c r="AM159" s="12">
        <f t="shared" si="35"/>
        <v>95.5</v>
      </c>
      <c r="AN159" s="12">
        <f t="shared" si="35"/>
        <v>20.399999999999999</v>
      </c>
      <c r="AO159" s="12">
        <f t="shared" si="35"/>
        <v>69.599999999999994</v>
      </c>
      <c r="AP159" s="12">
        <f t="shared" si="35"/>
        <v>91.100000000000009</v>
      </c>
      <c r="AQ159" s="12">
        <f t="shared" si="35"/>
        <v>91.100000000000009</v>
      </c>
      <c r="AR159" s="12">
        <f t="shared" si="35"/>
        <v>17.100000000000001</v>
      </c>
      <c r="AS159" s="12">
        <f t="shared" si="35"/>
        <v>94.399999999999991</v>
      </c>
      <c r="AT159" s="12">
        <f t="shared" si="35"/>
        <v>69</v>
      </c>
      <c r="AU159" s="12">
        <f t="shared" ref="AU159:AU176" si="46">100-(PERCENTRANK(R$3:R$298,R159))*100</f>
        <v>25.5</v>
      </c>
      <c r="AV159" s="12">
        <f t="shared" si="44"/>
        <v>5.5</v>
      </c>
      <c r="AW159" s="12">
        <f t="shared" si="44"/>
        <v>87.8</v>
      </c>
      <c r="AX159" s="12">
        <f t="shared" si="43"/>
        <v>82.9</v>
      </c>
      <c r="AY159" s="9"/>
      <c r="AZ159" s="12">
        <f t="shared" si="45"/>
        <v>46.9</v>
      </c>
      <c r="BA159" s="12">
        <f t="shared" si="45"/>
        <v>33.700000000000003</v>
      </c>
      <c r="BB159" s="12">
        <f t="shared" si="45"/>
        <v>45.800000000000004</v>
      </c>
      <c r="BC159" s="12">
        <f t="shared" si="45"/>
        <v>77.900000000000006</v>
      </c>
      <c r="BD159" s="12">
        <f t="shared" si="45"/>
        <v>94.399999999999991</v>
      </c>
      <c r="BE159" s="12">
        <f t="shared" si="45"/>
        <v>87.8</v>
      </c>
      <c r="BF159" s="12">
        <f t="shared" si="45"/>
        <v>90.600000000000009</v>
      </c>
      <c r="BG159" s="12">
        <f t="shared" si="45"/>
        <v>94.399999999999991</v>
      </c>
      <c r="BH159" s="12">
        <f t="shared" si="45"/>
        <v>50.2</v>
      </c>
      <c r="BI159" s="12">
        <f t="shared" si="45"/>
        <v>6</v>
      </c>
    </row>
    <row r="160" spans="1:61" ht="15.75" customHeight="1">
      <c r="A160" t="s">
        <v>270</v>
      </c>
      <c r="B160" s="3" t="s">
        <v>84</v>
      </c>
      <c r="C160" s="3" t="s">
        <v>8</v>
      </c>
      <c r="D160" s="3">
        <v>19</v>
      </c>
      <c r="E160" s="3">
        <v>236</v>
      </c>
      <c r="F160" s="3">
        <v>19</v>
      </c>
      <c r="G160" s="3">
        <v>236</v>
      </c>
      <c r="H160" s="3">
        <v>8.1999999999999993</v>
      </c>
      <c r="I160" s="3">
        <v>0.50700000000000001</v>
      </c>
      <c r="J160" s="3">
        <v>0.46500000000000002</v>
      </c>
      <c r="K160" s="3">
        <v>0.61399999999999999</v>
      </c>
      <c r="L160" s="3">
        <v>0.439</v>
      </c>
      <c r="M160" s="3">
        <v>3.2</v>
      </c>
      <c r="N160" s="3">
        <v>9.4</v>
      </c>
      <c r="O160" s="3">
        <v>21.7</v>
      </c>
      <c r="P160" s="3">
        <v>0.6</v>
      </c>
      <c r="Q160" s="3">
        <v>0</v>
      </c>
      <c r="R160" s="3">
        <v>24.4</v>
      </c>
      <c r="S160" s="3">
        <v>17</v>
      </c>
      <c r="T160" s="3">
        <v>97</v>
      </c>
      <c r="U160" s="3">
        <v>113</v>
      </c>
      <c r="V160" s="3"/>
      <c r="W160" s="3">
        <v>-0.1</v>
      </c>
      <c r="X160" s="3">
        <v>0.2</v>
      </c>
      <c r="Y160" s="3">
        <v>0.1</v>
      </c>
      <c r="Z160" s="3">
        <v>1.2999999999999999E-2</v>
      </c>
      <c r="AA160" s="13">
        <f>(I160/TOTAL_BASIC!$D$301)*100</f>
        <v>90.487075861340557</v>
      </c>
      <c r="AB160" s="5">
        <f t="shared" si="36"/>
        <v>0.97</v>
      </c>
      <c r="AC160" s="3">
        <f t="shared" si="33"/>
        <v>-16</v>
      </c>
      <c r="AD160" s="9">
        <f t="shared" si="37"/>
        <v>1.014</v>
      </c>
      <c r="AE160" s="16">
        <f t="shared" si="38"/>
        <v>1.276470588235294</v>
      </c>
      <c r="AF160" s="16">
        <f t="shared" si="39"/>
        <v>0.88934426229508201</v>
      </c>
      <c r="AG160" s="9"/>
      <c r="AH160" s="9"/>
      <c r="AI160" s="12">
        <f t="shared" ref="AI160:AT176" si="47">(PERCENTRANK(F$3:F$298,F160))*100</f>
        <v>14.899999999999999</v>
      </c>
      <c r="AJ160" s="12">
        <f t="shared" si="47"/>
        <v>13.200000000000001</v>
      </c>
      <c r="AK160" s="12">
        <f t="shared" si="47"/>
        <v>12.7</v>
      </c>
      <c r="AL160" s="12">
        <f t="shared" si="47"/>
        <v>25.4</v>
      </c>
      <c r="AM160" s="12">
        <f t="shared" si="47"/>
        <v>25.900000000000002</v>
      </c>
      <c r="AN160" s="12">
        <f t="shared" si="47"/>
        <v>85</v>
      </c>
      <c r="AO160" s="12">
        <f t="shared" si="47"/>
        <v>82.3</v>
      </c>
      <c r="AP160" s="12">
        <f t="shared" si="47"/>
        <v>36.4</v>
      </c>
      <c r="AQ160" s="12">
        <f t="shared" si="47"/>
        <v>54.6</v>
      </c>
      <c r="AR160" s="12">
        <f t="shared" si="47"/>
        <v>80.600000000000009</v>
      </c>
      <c r="AS160" s="12">
        <f t="shared" si="47"/>
        <v>2.1999999999999997</v>
      </c>
      <c r="AT160" s="12">
        <f t="shared" si="47"/>
        <v>0</v>
      </c>
      <c r="AU160" s="12">
        <f t="shared" si="46"/>
        <v>3.9000000000000057</v>
      </c>
      <c r="AV160" s="12">
        <f t="shared" ref="AV160:AW176" si="48">(PERCENTRANK(S$3:S$298,S160))*100</f>
        <v>34.200000000000003</v>
      </c>
      <c r="AW160" s="12">
        <f t="shared" si="48"/>
        <v>15.4</v>
      </c>
      <c r="AX160" s="12">
        <f t="shared" si="43"/>
        <v>30.400000000000006</v>
      </c>
      <c r="AY160" s="9"/>
      <c r="AZ160" s="12">
        <f t="shared" ref="AZ160:BI175" si="49">(PERCENTRANK(W$3:W$298,W160))*100</f>
        <v>20.9</v>
      </c>
      <c r="BA160" s="12">
        <f t="shared" si="49"/>
        <v>17.599999999999998</v>
      </c>
      <c r="BB160" s="12">
        <f t="shared" si="49"/>
        <v>13.8</v>
      </c>
      <c r="BC160" s="12">
        <f t="shared" si="49"/>
        <v>16</v>
      </c>
      <c r="BD160" s="12">
        <f t="shared" si="49"/>
        <v>25.4</v>
      </c>
      <c r="BE160" s="12">
        <f t="shared" si="49"/>
        <v>15.4</v>
      </c>
      <c r="BF160" s="12">
        <f t="shared" si="49"/>
        <v>13.8</v>
      </c>
      <c r="BG160" s="12">
        <f t="shared" si="49"/>
        <v>25.4</v>
      </c>
      <c r="BH160" s="12">
        <f t="shared" si="49"/>
        <v>86.7</v>
      </c>
      <c r="BI160" s="12">
        <f t="shared" si="49"/>
        <v>39.700000000000003</v>
      </c>
    </row>
    <row r="161" spans="1:61" ht="15.75" customHeight="1">
      <c r="A161" t="s">
        <v>155</v>
      </c>
      <c r="B161" s="3" t="s">
        <v>117</v>
      </c>
      <c r="C161" s="3" t="s">
        <v>8</v>
      </c>
      <c r="D161" s="3">
        <v>13</v>
      </c>
      <c r="E161" s="3">
        <v>220</v>
      </c>
      <c r="F161" s="3">
        <v>13</v>
      </c>
      <c r="G161" s="3">
        <v>220</v>
      </c>
      <c r="H161" s="3">
        <v>24.4</v>
      </c>
      <c r="I161" s="3">
        <v>0.68400000000000005</v>
      </c>
      <c r="J161" s="3">
        <v>0.65500000000000003</v>
      </c>
      <c r="K161" s="3">
        <v>0.21</v>
      </c>
      <c r="L161" s="3">
        <v>0.37</v>
      </c>
      <c r="M161" s="3">
        <v>5</v>
      </c>
      <c r="N161" s="3">
        <v>6.3</v>
      </c>
      <c r="O161" s="3">
        <v>14.1</v>
      </c>
      <c r="P161" s="3">
        <v>2.5</v>
      </c>
      <c r="Q161" s="3">
        <v>1.6</v>
      </c>
      <c r="R161" s="3">
        <v>12.8</v>
      </c>
      <c r="S161" s="3">
        <v>27.3</v>
      </c>
      <c r="T161" s="3">
        <v>121</v>
      </c>
      <c r="U161" s="3">
        <v>109</v>
      </c>
      <c r="V161" s="3"/>
      <c r="W161" s="3">
        <v>0.8</v>
      </c>
      <c r="X161" s="3">
        <v>0.3</v>
      </c>
      <c r="Y161" s="3">
        <v>1.1000000000000001</v>
      </c>
      <c r="Z161" s="3">
        <v>0.19600000000000001</v>
      </c>
      <c r="AA161" s="13">
        <f>(I161/TOTAL_BASIC!$D$301)*100</f>
        <v>122.07723844015177</v>
      </c>
      <c r="AB161" s="5">
        <f t="shared" si="36"/>
        <v>1.21</v>
      </c>
      <c r="AC161" s="3">
        <f t="shared" si="33"/>
        <v>12</v>
      </c>
      <c r="AD161" s="9">
        <f t="shared" si="37"/>
        <v>1.3680000000000001</v>
      </c>
      <c r="AE161" s="16">
        <f t="shared" si="38"/>
        <v>0.51648351648351642</v>
      </c>
      <c r="AF161" s="16">
        <f t="shared" si="39"/>
        <v>1.1015625</v>
      </c>
      <c r="AG161" s="9"/>
      <c r="AH161" s="9"/>
      <c r="AI161" s="12">
        <f t="shared" si="47"/>
        <v>4.3999999999999995</v>
      </c>
      <c r="AJ161" s="12">
        <f t="shared" si="47"/>
        <v>12.7</v>
      </c>
      <c r="AK161" s="12">
        <f t="shared" si="47"/>
        <v>98.8</v>
      </c>
      <c r="AL161" s="12">
        <f t="shared" si="47"/>
        <v>98.8</v>
      </c>
      <c r="AM161" s="12">
        <f t="shared" si="47"/>
        <v>99.4</v>
      </c>
      <c r="AN161" s="12">
        <f t="shared" si="47"/>
        <v>17.100000000000001</v>
      </c>
      <c r="AO161" s="12">
        <f t="shared" si="47"/>
        <v>71.8</v>
      </c>
      <c r="AP161" s="12">
        <f t="shared" si="47"/>
        <v>56.3</v>
      </c>
      <c r="AQ161" s="12">
        <f t="shared" si="47"/>
        <v>24.3</v>
      </c>
      <c r="AR161" s="12">
        <f t="shared" si="47"/>
        <v>50.2</v>
      </c>
      <c r="AS161" s="12">
        <f t="shared" si="47"/>
        <v>83.399999999999991</v>
      </c>
      <c r="AT161" s="12">
        <f t="shared" si="47"/>
        <v>60.199999999999996</v>
      </c>
      <c r="AU161" s="12">
        <f t="shared" si="46"/>
        <v>68.599999999999994</v>
      </c>
      <c r="AV161" s="12">
        <f t="shared" si="48"/>
        <v>91.7</v>
      </c>
      <c r="AW161" s="12">
        <f t="shared" si="48"/>
        <v>87.8</v>
      </c>
      <c r="AX161" s="12">
        <f t="shared" si="43"/>
        <v>64.7</v>
      </c>
      <c r="AY161" s="9"/>
      <c r="AZ161" s="12">
        <f t="shared" si="49"/>
        <v>64.600000000000009</v>
      </c>
      <c r="BA161" s="12">
        <f t="shared" si="49"/>
        <v>28.1</v>
      </c>
      <c r="BB161" s="12">
        <f t="shared" si="49"/>
        <v>53.5</v>
      </c>
      <c r="BC161" s="12">
        <f t="shared" si="49"/>
        <v>93.899999999999991</v>
      </c>
      <c r="BD161" s="12">
        <f t="shared" si="49"/>
        <v>98.8</v>
      </c>
      <c r="BE161" s="12">
        <f t="shared" si="49"/>
        <v>87.8</v>
      </c>
      <c r="BF161" s="12">
        <f t="shared" si="49"/>
        <v>84.5</v>
      </c>
      <c r="BG161" s="12">
        <f t="shared" si="49"/>
        <v>98.8</v>
      </c>
      <c r="BH161" s="12">
        <f t="shared" si="49"/>
        <v>21.5</v>
      </c>
      <c r="BI161" s="12">
        <f t="shared" si="49"/>
        <v>61.8</v>
      </c>
    </row>
    <row r="162" spans="1:61" ht="15.75" customHeight="1">
      <c r="A162" t="s">
        <v>242</v>
      </c>
      <c r="B162" s="3" t="s">
        <v>84</v>
      </c>
      <c r="C162" s="3" t="s">
        <v>85</v>
      </c>
      <c r="D162" s="3">
        <v>13</v>
      </c>
      <c r="E162" s="3">
        <v>218</v>
      </c>
      <c r="F162" s="3">
        <v>13</v>
      </c>
      <c r="G162" s="3">
        <v>218</v>
      </c>
      <c r="H162" s="3">
        <v>15.9</v>
      </c>
      <c r="I162" s="3">
        <v>0.60899999999999999</v>
      </c>
      <c r="J162" s="3">
        <v>0.56100000000000005</v>
      </c>
      <c r="K162" s="3">
        <v>0.53100000000000003</v>
      </c>
      <c r="L162" s="3">
        <v>0.29599999999999999</v>
      </c>
      <c r="M162" s="3">
        <v>2.9</v>
      </c>
      <c r="N162" s="3">
        <v>9.9</v>
      </c>
      <c r="O162" s="3">
        <v>20.3</v>
      </c>
      <c r="P162" s="3">
        <v>0.2</v>
      </c>
      <c r="Q162" s="3">
        <v>0.8</v>
      </c>
      <c r="R162" s="3">
        <v>16.600000000000001</v>
      </c>
      <c r="S162" s="3">
        <v>27.2</v>
      </c>
      <c r="T162" s="3">
        <v>110</v>
      </c>
      <c r="U162" s="3">
        <v>112</v>
      </c>
      <c r="V162" s="3"/>
      <c r="W162" s="3">
        <v>0.4</v>
      </c>
      <c r="X162" s="3">
        <v>0.2</v>
      </c>
      <c r="Y162" s="3">
        <v>0.6</v>
      </c>
      <c r="Z162" s="3">
        <v>0.10100000000000001</v>
      </c>
      <c r="AA162" s="13">
        <f>(I162/TOTAL_BASIC!$D$301)*100</f>
        <v>108.69157633048599</v>
      </c>
      <c r="AB162" s="5">
        <f t="shared" si="36"/>
        <v>1.1000000000000001</v>
      </c>
      <c r="AC162" s="3">
        <f t="shared" si="33"/>
        <v>-2</v>
      </c>
      <c r="AD162" s="9">
        <f t="shared" si="37"/>
        <v>1.218</v>
      </c>
      <c r="AE162" s="16">
        <f t="shared" si="38"/>
        <v>0.74632352941176472</v>
      </c>
      <c r="AF162" s="16">
        <f t="shared" si="39"/>
        <v>1.2228915662650601</v>
      </c>
      <c r="AG162" s="9"/>
      <c r="AH162" s="9"/>
      <c r="AI162" s="12">
        <f t="shared" si="47"/>
        <v>4.3999999999999995</v>
      </c>
      <c r="AJ162" s="12">
        <f t="shared" si="47"/>
        <v>12.1</v>
      </c>
      <c r="AK162" s="12">
        <f t="shared" si="47"/>
        <v>66.2</v>
      </c>
      <c r="AL162" s="12">
        <f t="shared" si="47"/>
        <v>80.600000000000009</v>
      </c>
      <c r="AM162" s="12">
        <f t="shared" si="47"/>
        <v>79</v>
      </c>
      <c r="AN162" s="12">
        <f t="shared" si="47"/>
        <v>77.3</v>
      </c>
      <c r="AO162" s="12">
        <f t="shared" si="47"/>
        <v>54.6</v>
      </c>
      <c r="AP162" s="12">
        <f t="shared" si="47"/>
        <v>31.4</v>
      </c>
      <c r="AQ162" s="12">
        <f t="shared" si="47"/>
        <v>57.999999999999993</v>
      </c>
      <c r="AR162" s="12">
        <f t="shared" si="47"/>
        <v>77.3</v>
      </c>
      <c r="AS162" s="12">
        <f t="shared" si="47"/>
        <v>0</v>
      </c>
      <c r="AT162" s="12">
        <f t="shared" si="47"/>
        <v>30.3</v>
      </c>
      <c r="AU162" s="12">
        <f t="shared" si="46"/>
        <v>35.399999999999991</v>
      </c>
      <c r="AV162" s="12">
        <f t="shared" si="48"/>
        <v>90.600000000000009</v>
      </c>
      <c r="AW162" s="12">
        <f t="shared" si="48"/>
        <v>60.699999999999996</v>
      </c>
      <c r="AX162" s="12">
        <f t="shared" si="43"/>
        <v>38.700000000000003</v>
      </c>
      <c r="AY162" s="9"/>
      <c r="AZ162" s="12">
        <f t="shared" si="49"/>
        <v>46.9</v>
      </c>
      <c r="BA162" s="12">
        <f t="shared" si="49"/>
        <v>17.599999999999998</v>
      </c>
      <c r="BB162" s="12">
        <f t="shared" si="49"/>
        <v>33.1</v>
      </c>
      <c r="BC162" s="12">
        <f t="shared" si="49"/>
        <v>65.100000000000009</v>
      </c>
      <c r="BD162" s="12">
        <f t="shared" si="49"/>
        <v>80.600000000000009</v>
      </c>
      <c r="BE162" s="12">
        <f t="shared" si="49"/>
        <v>60.699999999999996</v>
      </c>
      <c r="BF162" s="12">
        <f t="shared" si="49"/>
        <v>53.5</v>
      </c>
      <c r="BG162" s="12">
        <f t="shared" si="49"/>
        <v>80.600000000000009</v>
      </c>
      <c r="BH162" s="12">
        <f t="shared" si="49"/>
        <v>55.800000000000004</v>
      </c>
      <c r="BI162" s="12">
        <f t="shared" si="49"/>
        <v>69.599999999999994</v>
      </c>
    </row>
    <row r="163" spans="1:61" ht="15.75" customHeight="1">
      <c r="A163" t="s">
        <v>281</v>
      </c>
      <c r="B163" s="3" t="s">
        <v>107</v>
      </c>
      <c r="C163" s="3" t="s">
        <v>8</v>
      </c>
      <c r="D163" s="3">
        <v>16</v>
      </c>
      <c r="E163" s="3">
        <v>202</v>
      </c>
      <c r="F163" s="3">
        <v>16</v>
      </c>
      <c r="G163" s="3">
        <v>202</v>
      </c>
      <c r="H163" s="3">
        <v>4.4000000000000004</v>
      </c>
      <c r="I163" s="3">
        <v>0.38600000000000001</v>
      </c>
      <c r="J163" s="3">
        <v>0.39200000000000002</v>
      </c>
      <c r="K163" s="3">
        <v>0.72499999999999998</v>
      </c>
      <c r="L163" s="3">
        <v>3.9E-2</v>
      </c>
      <c r="M163" s="3">
        <v>1.1000000000000001</v>
      </c>
      <c r="N163" s="3">
        <v>5.7</v>
      </c>
      <c r="O163" s="3">
        <v>8.5</v>
      </c>
      <c r="P163" s="3">
        <v>2</v>
      </c>
      <c r="Q163" s="3">
        <v>0.5</v>
      </c>
      <c r="R163" s="3">
        <v>10.4</v>
      </c>
      <c r="S163" s="3">
        <v>12.6</v>
      </c>
      <c r="T163" s="3">
        <v>81</v>
      </c>
      <c r="U163" s="3">
        <v>113</v>
      </c>
      <c r="V163" s="3"/>
      <c r="W163" s="3">
        <v>-0.3</v>
      </c>
      <c r="X163" s="3">
        <v>0.1</v>
      </c>
      <c r="Y163" s="3">
        <v>-0.2</v>
      </c>
      <c r="Z163" s="3">
        <v>-4.1000000000000002E-2</v>
      </c>
      <c r="AA163" s="13">
        <f>(I163/TOTAL_BASIC!$D$301)*100</f>
        <v>68.891540991079793</v>
      </c>
      <c r="AB163" s="5">
        <f t="shared" si="36"/>
        <v>0.81</v>
      </c>
      <c r="AC163" s="3">
        <f t="shared" si="33"/>
        <v>-32</v>
      </c>
      <c r="AD163" s="9">
        <f t="shared" si="37"/>
        <v>0.77200000000000002</v>
      </c>
      <c r="AE163" s="16">
        <f t="shared" si="38"/>
        <v>0.67460317460317465</v>
      </c>
      <c r="AF163" s="16">
        <f t="shared" si="39"/>
        <v>0.81730769230769229</v>
      </c>
      <c r="AG163" s="9"/>
      <c r="AH163" s="9"/>
      <c r="AI163" s="12">
        <f t="shared" si="47"/>
        <v>8.2000000000000011</v>
      </c>
      <c r="AJ163" s="12">
        <f t="shared" si="47"/>
        <v>11</v>
      </c>
      <c r="AK163" s="12">
        <f t="shared" si="47"/>
        <v>1.6</v>
      </c>
      <c r="AL163" s="12">
        <f t="shared" si="47"/>
        <v>1.6</v>
      </c>
      <c r="AM163" s="12">
        <f t="shared" si="47"/>
        <v>5.5</v>
      </c>
      <c r="AN163" s="12">
        <f t="shared" si="47"/>
        <v>95.5</v>
      </c>
      <c r="AO163" s="12">
        <f t="shared" si="47"/>
        <v>0.5</v>
      </c>
      <c r="AP163" s="12">
        <f t="shared" si="47"/>
        <v>7.7</v>
      </c>
      <c r="AQ163" s="12">
        <f t="shared" si="47"/>
        <v>18.7</v>
      </c>
      <c r="AR163" s="12">
        <f t="shared" si="47"/>
        <v>20.9</v>
      </c>
      <c r="AS163" s="12">
        <f t="shared" si="47"/>
        <v>64.600000000000009</v>
      </c>
      <c r="AT163" s="12">
        <f t="shared" si="47"/>
        <v>16.5</v>
      </c>
      <c r="AU163" s="12">
        <f t="shared" si="46"/>
        <v>85.1</v>
      </c>
      <c r="AV163" s="12">
        <f t="shared" si="48"/>
        <v>8.7999999999999989</v>
      </c>
      <c r="AW163" s="12">
        <f t="shared" si="48"/>
        <v>1.0999999999999999</v>
      </c>
      <c r="AX163" s="12">
        <f t="shared" si="43"/>
        <v>30.400000000000006</v>
      </c>
      <c r="AY163" s="9"/>
      <c r="AZ163" s="12">
        <f t="shared" si="49"/>
        <v>11</v>
      </c>
      <c r="BA163" s="12">
        <f t="shared" si="49"/>
        <v>8.7999999999999989</v>
      </c>
      <c r="BB163" s="12">
        <f t="shared" si="49"/>
        <v>6</v>
      </c>
      <c r="BC163" s="12">
        <f t="shared" si="49"/>
        <v>3.3000000000000003</v>
      </c>
      <c r="BD163" s="12">
        <f t="shared" si="49"/>
        <v>1.6</v>
      </c>
      <c r="BE163" s="12">
        <f t="shared" si="49"/>
        <v>1.0999999999999999</v>
      </c>
      <c r="BF163" s="12">
        <f t="shared" si="49"/>
        <v>0</v>
      </c>
      <c r="BG163" s="12">
        <f t="shared" si="49"/>
        <v>1.6</v>
      </c>
      <c r="BH163" s="12">
        <f t="shared" si="49"/>
        <v>44.1</v>
      </c>
      <c r="BI163" s="12">
        <f t="shared" si="49"/>
        <v>33.700000000000003</v>
      </c>
    </row>
    <row r="164" spans="1:61" ht="15.75" customHeight="1">
      <c r="A164" t="s">
        <v>207</v>
      </c>
      <c r="B164" s="3" t="s">
        <v>93</v>
      </c>
      <c r="C164" s="3" t="s">
        <v>88</v>
      </c>
      <c r="D164" s="3">
        <v>19</v>
      </c>
      <c r="E164" s="3">
        <v>202</v>
      </c>
      <c r="F164" s="3">
        <v>19</v>
      </c>
      <c r="G164" s="3">
        <v>202</v>
      </c>
      <c r="H164" s="3">
        <v>10.6</v>
      </c>
      <c r="I164" s="3">
        <v>0.435</v>
      </c>
      <c r="J164" s="3">
        <v>0.38800000000000001</v>
      </c>
      <c r="K164" s="3">
        <v>0.44800000000000001</v>
      </c>
      <c r="L164" s="3">
        <v>0.29299999999999998</v>
      </c>
      <c r="M164" s="3">
        <v>7.8</v>
      </c>
      <c r="N164" s="3">
        <v>13.7</v>
      </c>
      <c r="O164" s="3">
        <v>9.4</v>
      </c>
      <c r="P164" s="3">
        <v>2.5</v>
      </c>
      <c r="Q164" s="3">
        <v>6.9</v>
      </c>
      <c r="R164" s="3">
        <v>14.4</v>
      </c>
      <c r="S164" s="3">
        <v>17.2</v>
      </c>
      <c r="T164" s="3">
        <v>91</v>
      </c>
      <c r="U164" s="3">
        <v>105</v>
      </c>
      <c r="V164" s="3"/>
      <c r="W164" s="3">
        <v>-0.2</v>
      </c>
      <c r="X164" s="3">
        <v>0.4</v>
      </c>
      <c r="Y164" s="3">
        <v>0.1</v>
      </c>
      <c r="Z164" s="3">
        <v>2.5000000000000001E-2</v>
      </c>
      <c r="AA164" s="13">
        <f>(I164/TOTAL_BASIC!$D$301)*100</f>
        <v>77.636840236061417</v>
      </c>
      <c r="AB164" s="5">
        <f t="shared" si="36"/>
        <v>0.91</v>
      </c>
      <c r="AC164" s="3">
        <f t="shared" si="33"/>
        <v>-14</v>
      </c>
      <c r="AD164" s="9">
        <f t="shared" si="37"/>
        <v>0.87</v>
      </c>
      <c r="AE164" s="16">
        <f t="shared" si="38"/>
        <v>0.54651162790697683</v>
      </c>
      <c r="AF164" s="16">
        <f t="shared" si="39"/>
        <v>0.65277777777777779</v>
      </c>
      <c r="AG164" s="9"/>
      <c r="AH164" s="9"/>
      <c r="AI164" s="12">
        <f t="shared" si="47"/>
        <v>14.899999999999999</v>
      </c>
      <c r="AJ164" s="12">
        <f t="shared" si="47"/>
        <v>11</v>
      </c>
      <c r="AK164" s="12">
        <f t="shared" si="47"/>
        <v>33.1</v>
      </c>
      <c r="AL164" s="12">
        <f t="shared" si="47"/>
        <v>4.3999999999999995</v>
      </c>
      <c r="AM164" s="12">
        <f t="shared" si="47"/>
        <v>4.9000000000000004</v>
      </c>
      <c r="AN164" s="12">
        <f t="shared" si="47"/>
        <v>58.5</v>
      </c>
      <c r="AO164" s="12">
        <f t="shared" si="47"/>
        <v>54.1</v>
      </c>
      <c r="AP164" s="12">
        <f t="shared" si="47"/>
        <v>76.7</v>
      </c>
      <c r="AQ164" s="12">
        <f t="shared" si="47"/>
        <v>78.400000000000006</v>
      </c>
      <c r="AR164" s="12">
        <f t="shared" si="47"/>
        <v>24.8</v>
      </c>
      <c r="AS164" s="12">
        <f t="shared" si="47"/>
        <v>83.399999999999991</v>
      </c>
      <c r="AT164" s="12">
        <f t="shared" si="47"/>
        <v>97.7</v>
      </c>
      <c r="AU164" s="12">
        <f t="shared" si="46"/>
        <v>53.599999999999994</v>
      </c>
      <c r="AV164" s="12">
        <f t="shared" si="48"/>
        <v>38.6</v>
      </c>
      <c r="AW164" s="12">
        <f t="shared" si="48"/>
        <v>6</v>
      </c>
      <c r="AX164" s="12">
        <f t="shared" si="43"/>
        <v>85.7</v>
      </c>
      <c r="AY164" s="9"/>
      <c r="AZ164" s="12">
        <f t="shared" si="49"/>
        <v>13.8</v>
      </c>
      <c r="BA164" s="12">
        <f t="shared" si="49"/>
        <v>33.700000000000003</v>
      </c>
      <c r="BB164" s="12">
        <f t="shared" si="49"/>
        <v>13.8</v>
      </c>
      <c r="BC164" s="12">
        <f t="shared" si="49"/>
        <v>22.6</v>
      </c>
      <c r="BD164" s="12">
        <f t="shared" si="49"/>
        <v>4.3999999999999995</v>
      </c>
      <c r="BE164" s="12">
        <f t="shared" si="49"/>
        <v>6</v>
      </c>
      <c r="BF164" s="12">
        <f t="shared" si="49"/>
        <v>18.2</v>
      </c>
      <c r="BG164" s="12">
        <f t="shared" si="49"/>
        <v>4.3999999999999995</v>
      </c>
      <c r="BH164" s="12">
        <f t="shared" si="49"/>
        <v>24.8</v>
      </c>
      <c r="BI164" s="12">
        <f t="shared" si="49"/>
        <v>22.6</v>
      </c>
    </row>
    <row r="165" spans="1:61" ht="15.75" customHeight="1">
      <c r="A165" t="s">
        <v>271</v>
      </c>
      <c r="B165" s="3" t="s">
        <v>117</v>
      </c>
      <c r="C165" s="3" t="s">
        <v>8</v>
      </c>
      <c r="D165" s="3">
        <v>12</v>
      </c>
      <c r="E165" s="3">
        <v>196</v>
      </c>
      <c r="F165" s="3">
        <v>12</v>
      </c>
      <c r="G165" s="3">
        <v>196</v>
      </c>
      <c r="H165" s="3">
        <v>3.8</v>
      </c>
      <c r="I165" s="3">
        <v>0.377</v>
      </c>
      <c r="J165" s="3">
        <v>0.36899999999999999</v>
      </c>
      <c r="K165" s="3">
        <v>0.47499999999999998</v>
      </c>
      <c r="L165" s="3">
        <v>9.8000000000000004E-2</v>
      </c>
      <c r="M165" s="3">
        <v>0</v>
      </c>
      <c r="N165" s="3">
        <v>5.8</v>
      </c>
      <c r="O165" s="3">
        <v>18.100000000000001</v>
      </c>
      <c r="P165" s="3">
        <v>0.8</v>
      </c>
      <c r="Q165" s="3">
        <v>0.9</v>
      </c>
      <c r="R165" s="3">
        <v>17</v>
      </c>
      <c r="S165" s="3">
        <v>17.600000000000001</v>
      </c>
      <c r="T165" s="3">
        <v>80</v>
      </c>
      <c r="U165" s="3">
        <v>112</v>
      </c>
      <c r="V165" s="3"/>
      <c r="W165" s="3">
        <v>-0.5</v>
      </c>
      <c r="X165" s="3">
        <v>0.2</v>
      </c>
      <c r="Y165" s="3">
        <v>-0.3</v>
      </c>
      <c r="Z165" s="3">
        <v>-7.0000000000000007E-2</v>
      </c>
      <c r="AA165" s="13">
        <f>(I165/TOTAL_BASIC!$D$301)*100</f>
        <v>67.285261537919908</v>
      </c>
      <c r="AB165" s="5">
        <f t="shared" si="36"/>
        <v>0.8</v>
      </c>
      <c r="AC165" s="3">
        <f t="shared" ref="AC165:AC180" si="50">T165-U165</f>
        <v>-32</v>
      </c>
      <c r="AD165" s="9">
        <f t="shared" si="37"/>
        <v>0.754</v>
      </c>
      <c r="AE165" s="16">
        <f t="shared" si="38"/>
        <v>1.0284090909090908</v>
      </c>
      <c r="AF165" s="16">
        <f t="shared" si="39"/>
        <v>1.0647058823529412</v>
      </c>
      <c r="AG165" s="9"/>
      <c r="AH165" s="9"/>
      <c r="AI165" s="12">
        <f t="shared" si="47"/>
        <v>3.8</v>
      </c>
      <c r="AJ165" s="12">
        <f t="shared" si="47"/>
        <v>10.4</v>
      </c>
      <c r="AK165" s="12">
        <f t="shared" si="47"/>
        <v>0.5</v>
      </c>
      <c r="AL165" s="12">
        <f t="shared" si="47"/>
        <v>0.5</v>
      </c>
      <c r="AM165" s="12">
        <f t="shared" si="47"/>
        <v>2.7</v>
      </c>
      <c r="AN165" s="12">
        <f t="shared" si="47"/>
        <v>62.9</v>
      </c>
      <c r="AO165" s="12">
        <f t="shared" si="47"/>
        <v>4.9000000000000004</v>
      </c>
      <c r="AP165" s="12">
        <f t="shared" si="47"/>
        <v>0</v>
      </c>
      <c r="AQ165" s="12">
        <f t="shared" si="47"/>
        <v>19.3</v>
      </c>
      <c r="AR165" s="12">
        <f t="shared" si="47"/>
        <v>71.2</v>
      </c>
      <c r="AS165" s="12">
        <f t="shared" si="47"/>
        <v>5.5</v>
      </c>
      <c r="AT165" s="12">
        <f t="shared" si="47"/>
        <v>35.9</v>
      </c>
      <c r="AU165" s="12">
        <f t="shared" si="46"/>
        <v>32.599999999999994</v>
      </c>
      <c r="AV165" s="12">
        <f t="shared" si="48"/>
        <v>43.6</v>
      </c>
      <c r="AW165" s="12">
        <f t="shared" si="48"/>
        <v>0</v>
      </c>
      <c r="AX165" s="12">
        <f t="shared" si="43"/>
        <v>38.700000000000003</v>
      </c>
      <c r="AY165" s="9"/>
      <c r="AZ165" s="12">
        <f t="shared" si="49"/>
        <v>4.9000000000000004</v>
      </c>
      <c r="BA165" s="12">
        <f t="shared" si="49"/>
        <v>17.599999999999998</v>
      </c>
      <c r="BB165" s="12">
        <f t="shared" si="49"/>
        <v>3.3000000000000003</v>
      </c>
      <c r="BC165" s="12">
        <f t="shared" si="49"/>
        <v>0.5</v>
      </c>
      <c r="BD165" s="12">
        <f t="shared" si="49"/>
        <v>0.5</v>
      </c>
      <c r="BE165" s="12">
        <f t="shared" si="49"/>
        <v>0</v>
      </c>
      <c r="BF165" s="12">
        <f t="shared" si="49"/>
        <v>0</v>
      </c>
      <c r="BG165" s="12">
        <f t="shared" si="49"/>
        <v>0.5</v>
      </c>
      <c r="BH165" s="12">
        <f t="shared" si="49"/>
        <v>74</v>
      </c>
      <c r="BI165" s="12">
        <f t="shared" si="49"/>
        <v>59.599999999999994</v>
      </c>
    </row>
    <row r="166" spans="1:61" ht="15.75" customHeight="1">
      <c r="A166" t="s">
        <v>279</v>
      </c>
      <c r="B166" s="3" t="s">
        <v>232</v>
      </c>
      <c r="C166" s="3" t="s">
        <v>8</v>
      </c>
      <c r="D166" s="3">
        <v>14</v>
      </c>
      <c r="E166" s="3">
        <v>187</v>
      </c>
      <c r="F166" s="3">
        <v>14</v>
      </c>
      <c r="G166" s="3">
        <v>187</v>
      </c>
      <c r="H166" s="3">
        <v>13.2</v>
      </c>
      <c r="I166" s="3">
        <v>0.56599999999999995</v>
      </c>
      <c r="J166" s="3">
        <v>0.50900000000000001</v>
      </c>
      <c r="K166" s="3">
        <v>0.34</v>
      </c>
      <c r="L166" s="3">
        <v>0.49099999999999999</v>
      </c>
      <c r="M166" s="3">
        <v>4</v>
      </c>
      <c r="N166" s="3">
        <v>7.7</v>
      </c>
      <c r="O166" s="3">
        <v>45.2</v>
      </c>
      <c r="P166" s="3">
        <v>2.2000000000000002</v>
      </c>
      <c r="Q166" s="3">
        <v>0.5</v>
      </c>
      <c r="R166" s="3">
        <v>31.8</v>
      </c>
      <c r="S166" s="3">
        <v>22.7</v>
      </c>
      <c r="T166" s="3">
        <v>102</v>
      </c>
      <c r="U166" s="3">
        <v>116</v>
      </c>
      <c r="V166" s="3"/>
      <c r="W166" s="3">
        <v>0</v>
      </c>
      <c r="X166" s="3">
        <v>0.1</v>
      </c>
      <c r="Y166" s="3">
        <v>0.1</v>
      </c>
      <c r="Z166" s="3">
        <v>2.3E-2</v>
      </c>
      <c r="AA166" s="13">
        <f>(I166/TOTAL_BASIC!$D$301)*100</f>
        <v>101.01713005427762</v>
      </c>
      <c r="AB166" s="5">
        <f t="shared" si="36"/>
        <v>1.02</v>
      </c>
      <c r="AC166" s="3">
        <f t="shared" si="50"/>
        <v>-14</v>
      </c>
      <c r="AD166" s="9">
        <f t="shared" si="37"/>
        <v>1.1319999999999999</v>
      </c>
      <c r="AE166" s="16">
        <f t="shared" si="38"/>
        <v>1.9911894273127755</v>
      </c>
      <c r="AF166" s="16">
        <f t="shared" si="39"/>
        <v>1.4213836477987423</v>
      </c>
      <c r="AG166" s="9"/>
      <c r="AH166" s="9"/>
      <c r="AI166" s="12">
        <f t="shared" si="47"/>
        <v>6</v>
      </c>
      <c r="AJ166" s="12">
        <f t="shared" si="47"/>
        <v>9.9</v>
      </c>
      <c r="AK166" s="12">
        <f t="shared" si="47"/>
        <v>50.8</v>
      </c>
      <c r="AL166" s="12">
        <f t="shared" si="47"/>
        <v>58.5</v>
      </c>
      <c r="AM166" s="12">
        <f t="shared" si="47"/>
        <v>50.8</v>
      </c>
      <c r="AN166" s="12">
        <f t="shared" si="47"/>
        <v>35.9</v>
      </c>
      <c r="AO166" s="12">
        <f t="shared" si="47"/>
        <v>92.800000000000011</v>
      </c>
      <c r="AP166" s="12">
        <f t="shared" si="47"/>
        <v>45.300000000000004</v>
      </c>
      <c r="AQ166" s="12">
        <f t="shared" si="47"/>
        <v>39.700000000000003</v>
      </c>
      <c r="AR166" s="12">
        <f t="shared" si="47"/>
        <v>100</v>
      </c>
      <c r="AS166" s="12">
        <f t="shared" si="47"/>
        <v>75.099999999999994</v>
      </c>
      <c r="AT166" s="12">
        <f t="shared" si="47"/>
        <v>16.5</v>
      </c>
      <c r="AU166" s="12">
        <f t="shared" si="46"/>
        <v>0.59999999999999432</v>
      </c>
      <c r="AV166" s="12">
        <f t="shared" si="48"/>
        <v>74</v>
      </c>
      <c r="AW166" s="12">
        <f t="shared" si="48"/>
        <v>31.4</v>
      </c>
      <c r="AX166" s="12">
        <f t="shared" si="43"/>
        <v>14.400000000000006</v>
      </c>
      <c r="AY166" s="9"/>
      <c r="AZ166" s="12">
        <f t="shared" si="49"/>
        <v>24.8</v>
      </c>
      <c r="BA166" s="12">
        <f t="shared" si="49"/>
        <v>8.7999999999999989</v>
      </c>
      <c r="BB166" s="12">
        <f t="shared" si="49"/>
        <v>13.8</v>
      </c>
      <c r="BC166" s="12">
        <f t="shared" si="49"/>
        <v>21.5</v>
      </c>
      <c r="BD166" s="12">
        <f t="shared" si="49"/>
        <v>58.5</v>
      </c>
      <c r="BE166" s="12">
        <f t="shared" si="49"/>
        <v>31.4</v>
      </c>
      <c r="BF166" s="12">
        <f t="shared" si="49"/>
        <v>18.2</v>
      </c>
      <c r="BG166" s="12">
        <f t="shared" si="49"/>
        <v>58.5</v>
      </c>
      <c r="BH166" s="12">
        <f t="shared" si="49"/>
        <v>98.3</v>
      </c>
      <c r="BI166" s="12">
        <f t="shared" si="49"/>
        <v>75.599999999999994</v>
      </c>
    </row>
    <row r="167" spans="1:61" ht="15.75" customHeight="1">
      <c r="A167" t="s">
        <v>276</v>
      </c>
      <c r="B167" s="3" t="s">
        <v>131</v>
      </c>
      <c r="C167" s="3" t="s">
        <v>94</v>
      </c>
      <c r="D167" s="3">
        <v>11</v>
      </c>
      <c r="E167" s="3">
        <v>178</v>
      </c>
      <c r="F167" s="3">
        <v>11</v>
      </c>
      <c r="G167" s="3">
        <v>178</v>
      </c>
      <c r="H167" s="3">
        <v>10</v>
      </c>
      <c r="I167" s="3">
        <v>0.438</v>
      </c>
      <c r="J167" s="3">
        <v>0.36699999999999999</v>
      </c>
      <c r="K167" s="3">
        <v>0.26600000000000001</v>
      </c>
      <c r="L167" s="3">
        <v>0.40400000000000003</v>
      </c>
      <c r="M167" s="3">
        <v>3.2</v>
      </c>
      <c r="N167" s="3">
        <v>11</v>
      </c>
      <c r="O167" s="3">
        <v>6.7</v>
      </c>
      <c r="P167" s="3">
        <v>1.9</v>
      </c>
      <c r="Q167" s="3">
        <v>1</v>
      </c>
      <c r="R167" s="3">
        <v>7.5</v>
      </c>
      <c r="S167" s="3">
        <v>29.2</v>
      </c>
      <c r="T167" s="3">
        <v>89</v>
      </c>
      <c r="U167" s="3">
        <v>109</v>
      </c>
      <c r="V167" s="3"/>
      <c r="W167" s="3">
        <v>-0.4</v>
      </c>
      <c r="X167" s="3">
        <v>0.2</v>
      </c>
      <c r="Y167" s="3">
        <v>-0.2</v>
      </c>
      <c r="Z167" s="3">
        <v>-0.04</v>
      </c>
      <c r="AA167" s="13">
        <f>(I167/TOTAL_BASIC!$D$301)*100</f>
        <v>78.172266720448064</v>
      </c>
      <c r="AB167" s="5">
        <f t="shared" si="36"/>
        <v>0.89</v>
      </c>
      <c r="AC167" s="3">
        <f t="shared" si="50"/>
        <v>-20</v>
      </c>
      <c r="AD167" s="9">
        <f t="shared" si="37"/>
        <v>0.876</v>
      </c>
      <c r="AE167" s="16">
        <f t="shared" si="38"/>
        <v>0.22945205479452055</v>
      </c>
      <c r="AF167" s="16">
        <f t="shared" si="39"/>
        <v>0.89333333333333331</v>
      </c>
      <c r="AG167" s="9"/>
      <c r="AH167" s="9"/>
      <c r="AI167" s="12">
        <f t="shared" si="47"/>
        <v>2.1999999999999997</v>
      </c>
      <c r="AJ167" s="12">
        <f t="shared" si="47"/>
        <v>8.7999999999999989</v>
      </c>
      <c r="AK167" s="12">
        <f t="shared" si="47"/>
        <v>27</v>
      </c>
      <c r="AL167" s="12">
        <f t="shared" si="47"/>
        <v>4.9000000000000004</v>
      </c>
      <c r="AM167" s="12">
        <f t="shared" si="47"/>
        <v>1.6</v>
      </c>
      <c r="AN167" s="12">
        <f t="shared" si="47"/>
        <v>24.3</v>
      </c>
      <c r="AO167" s="12">
        <f t="shared" si="47"/>
        <v>78.400000000000006</v>
      </c>
      <c r="AP167" s="12">
        <f t="shared" si="47"/>
        <v>36.4</v>
      </c>
      <c r="AQ167" s="12">
        <f t="shared" si="47"/>
        <v>63.5</v>
      </c>
      <c r="AR167" s="12">
        <f t="shared" si="47"/>
        <v>6.6000000000000005</v>
      </c>
      <c r="AS167" s="12">
        <f t="shared" si="47"/>
        <v>57.999999999999993</v>
      </c>
      <c r="AT167" s="12">
        <f t="shared" si="47"/>
        <v>39.700000000000003</v>
      </c>
      <c r="AU167" s="12">
        <f t="shared" si="46"/>
        <v>96.2</v>
      </c>
      <c r="AV167" s="12">
        <f t="shared" si="48"/>
        <v>96.6</v>
      </c>
      <c r="AW167" s="12">
        <f t="shared" si="48"/>
        <v>4.3999999999999995</v>
      </c>
      <c r="AX167" s="12">
        <f t="shared" si="43"/>
        <v>64.7</v>
      </c>
      <c r="AY167" s="9"/>
      <c r="AZ167" s="12">
        <f t="shared" si="49"/>
        <v>6.6000000000000005</v>
      </c>
      <c r="BA167" s="12">
        <f t="shared" si="49"/>
        <v>17.599999999999998</v>
      </c>
      <c r="BB167" s="12">
        <f t="shared" si="49"/>
        <v>6</v>
      </c>
      <c r="BC167" s="12">
        <f t="shared" si="49"/>
        <v>3.8</v>
      </c>
      <c r="BD167" s="12">
        <f t="shared" si="49"/>
        <v>4.9000000000000004</v>
      </c>
      <c r="BE167" s="12">
        <f t="shared" si="49"/>
        <v>4.3999999999999995</v>
      </c>
      <c r="BF167" s="12">
        <f t="shared" si="49"/>
        <v>6.6000000000000005</v>
      </c>
      <c r="BG167" s="12">
        <f t="shared" si="49"/>
        <v>4.9000000000000004</v>
      </c>
      <c r="BH167" s="12">
        <f t="shared" si="49"/>
        <v>0.5</v>
      </c>
      <c r="BI167" s="12">
        <f t="shared" si="49"/>
        <v>40.300000000000004</v>
      </c>
    </row>
    <row r="168" spans="1:61" ht="15.75" customHeight="1">
      <c r="A168" t="s">
        <v>260</v>
      </c>
      <c r="B168" s="3" t="s">
        <v>161</v>
      </c>
      <c r="C168" s="3" t="s">
        <v>8</v>
      </c>
      <c r="D168" s="3">
        <v>19</v>
      </c>
      <c r="E168" s="3">
        <v>178</v>
      </c>
      <c r="F168" s="3">
        <v>19</v>
      </c>
      <c r="G168" s="3">
        <v>178</v>
      </c>
      <c r="H168" s="3">
        <v>6.2</v>
      </c>
      <c r="I168" s="3">
        <v>0.47699999999999998</v>
      </c>
      <c r="J168" s="3">
        <v>0.41799999999999998</v>
      </c>
      <c r="K168" s="3">
        <v>0.47299999999999998</v>
      </c>
      <c r="L168" s="3">
        <v>0.32700000000000001</v>
      </c>
      <c r="M168" s="3">
        <v>4.0999999999999996</v>
      </c>
      <c r="N168" s="3">
        <v>5.4</v>
      </c>
      <c r="O168" s="3">
        <v>19.399999999999999</v>
      </c>
      <c r="P168" s="3">
        <v>1.1000000000000001</v>
      </c>
      <c r="Q168" s="3">
        <v>0</v>
      </c>
      <c r="R168" s="3">
        <v>18.2</v>
      </c>
      <c r="S168" s="3">
        <v>19.100000000000001</v>
      </c>
      <c r="T168" s="3">
        <v>96</v>
      </c>
      <c r="U168" s="3">
        <v>123</v>
      </c>
      <c r="V168" s="3"/>
      <c r="W168" s="3">
        <v>-0.1</v>
      </c>
      <c r="X168" s="3">
        <v>-0.1</v>
      </c>
      <c r="Y168" s="3">
        <v>-0.2</v>
      </c>
      <c r="Z168" s="3">
        <v>-4.9000000000000002E-2</v>
      </c>
      <c r="AA168" s="13">
        <f>(I168/TOTAL_BASIC!$D$301)*100</f>
        <v>85.132811017474253</v>
      </c>
      <c r="AB168" s="5">
        <f t="shared" si="36"/>
        <v>0.96</v>
      </c>
      <c r="AC168" s="3">
        <f t="shared" si="50"/>
        <v>-27</v>
      </c>
      <c r="AD168" s="9">
        <f t="shared" si="37"/>
        <v>0.95399999999999996</v>
      </c>
      <c r="AE168" s="16">
        <f t="shared" si="38"/>
        <v>1.0157068062827224</v>
      </c>
      <c r="AF168" s="16">
        <f t="shared" si="39"/>
        <v>1.0659340659340659</v>
      </c>
      <c r="AG168" s="9"/>
      <c r="AH168" s="9"/>
      <c r="AI168" s="12">
        <f t="shared" si="47"/>
        <v>14.899999999999999</v>
      </c>
      <c r="AJ168" s="12">
        <f t="shared" si="47"/>
        <v>8.7999999999999989</v>
      </c>
      <c r="AK168" s="12">
        <f t="shared" si="47"/>
        <v>4.3999999999999995</v>
      </c>
      <c r="AL168" s="12">
        <f t="shared" si="47"/>
        <v>11</v>
      </c>
      <c r="AM168" s="12">
        <f t="shared" si="47"/>
        <v>8.2000000000000011</v>
      </c>
      <c r="AN168" s="12">
        <f t="shared" si="47"/>
        <v>61.8</v>
      </c>
      <c r="AO168" s="12">
        <f t="shared" si="47"/>
        <v>61.8</v>
      </c>
      <c r="AP168" s="12">
        <f t="shared" si="47"/>
        <v>48</v>
      </c>
      <c r="AQ168" s="12">
        <f t="shared" si="47"/>
        <v>17.599999999999998</v>
      </c>
      <c r="AR168" s="12">
        <f t="shared" si="47"/>
        <v>73.400000000000006</v>
      </c>
      <c r="AS168" s="12">
        <f t="shared" si="47"/>
        <v>16.5</v>
      </c>
      <c r="AT168" s="12">
        <f t="shared" si="47"/>
        <v>0</v>
      </c>
      <c r="AU168" s="12">
        <f t="shared" si="46"/>
        <v>24.900000000000006</v>
      </c>
      <c r="AV168" s="12">
        <f t="shared" si="48"/>
        <v>56.3</v>
      </c>
      <c r="AW168" s="12">
        <f t="shared" si="48"/>
        <v>13.200000000000001</v>
      </c>
      <c r="AX168" s="12">
        <f t="shared" si="43"/>
        <v>0.59999999999999432</v>
      </c>
      <c r="AY168" s="9"/>
      <c r="AZ168" s="12">
        <f t="shared" si="49"/>
        <v>20.9</v>
      </c>
      <c r="BA168" s="12">
        <f t="shared" si="49"/>
        <v>2.7</v>
      </c>
      <c r="BB168" s="12">
        <f t="shared" si="49"/>
        <v>6</v>
      </c>
      <c r="BC168" s="12">
        <f t="shared" si="49"/>
        <v>1.6</v>
      </c>
      <c r="BD168" s="12">
        <f t="shared" si="49"/>
        <v>11</v>
      </c>
      <c r="BE168" s="12">
        <f t="shared" si="49"/>
        <v>13.200000000000001</v>
      </c>
      <c r="BF168" s="12">
        <f t="shared" si="49"/>
        <v>2.7</v>
      </c>
      <c r="BG168" s="12">
        <f t="shared" si="49"/>
        <v>11</v>
      </c>
      <c r="BH168" s="12">
        <f t="shared" si="49"/>
        <v>73.400000000000006</v>
      </c>
      <c r="BI168" s="12">
        <f t="shared" si="49"/>
        <v>60.199999999999996</v>
      </c>
    </row>
    <row r="169" spans="1:61" ht="15.75" customHeight="1">
      <c r="A169" t="s">
        <v>261</v>
      </c>
      <c r="B169" s="3" t="s">
        <v>128</v>
      </c>
      <c r="C169" s="3" t="s">
        <v>85</v>
      </c>
      <c r="D169" s="3">
        <v>33</v>
      </c>
      <c r="E169" s="3">
        <v>167</v>
      </c>
      <c r="F169" s="3">
        <v>33</v>
      </c>
      <c r="G169" s="3">
        <v>167</v>
      </c>
      <c r="H169" s="3">
        <v>6.5</v>
      </c>
      <c r="I169" s="3">
        <v>0.44500000000000001</v>
      </c>
      <c r="J169" s="3">
        <v>0.38600000000000001</v>
      </c>
      <c r="K169" s="3">
        <v>0.50900000000000001</v>
      </c>
      <c r="L169" s="3">
        <v>0.36799999999999999</v>
      </c>
      <c r="M169" s="3">
        <v>9.6</v>
      </c>
      <c r="N169" s="3">
        <v>12.3</v>
      </c>
      <c r="O169" s="3">
        <v>6.2</v>
      </c>
      <c r="P169" s="3">
        <v>0.6</v>
      </c>
      <c r="Q169" s="3">
        <v>0</v>
      </c>
      <c r="R169" s="3">
        <v>10.8</v>
      </c>
      <c r="S169" s="3">
        <v>18.8</v>
      </c>
      <c r="T169" s="3">
        <v>99</v>
      </c>
      <c r="U169" s="3">
        <v>110</v>
      </c>
      <c r="V169" s="3"/>
      <c r="W169" s="3">
        <v>0</v>
      </c>
      <c r="X169" s="3">
        <v>0.2</v>
      </c>
      <c r="Y169" s="3">
        <v>0.2</v>
      </c>
      <c r="Z169" s="3">
        <v>3.7999999999999999E-2</v>
      </c>
      <c r="AA169" s="13">
        <f>(I169/TOTAL_BASIC!$D$301)*100</f>
        <v>79.421595184016851</v>
      </c>
      <c r="AB169" s="5">
        <f t="shared" si="36"/>
        <v>0.99</v>
      </c>
      <c r="AC169" s="3">
        <f t="shared" si="50"/>
        <v>-11</v>
      </c>
      <c r="AD169" s="9">
        <f t="shared" si="37"/>
        <v>0.89</v>
      </c>
      <c r="AE169" s="16">
        <f t="shared" si="38"/>
        <v>0.32978723404255317</v>
      </c>
      <c r="AF169" s="16">
        <f t="shared" si="39"/>
        <v>0.57407407407407407</v>
      </c>
      <c r="AG169" s="9"/>
      <c r="AH169" s="9"/>
      <c r="AI169" s="12">
        <f t="shared" si="47"/>
        <v>39.700000000000003</v>
      </c>
      <c r="AJ169" s="12">
        <f t="shared" si="47"/>
        <v>7.7</v>
      </c>
      <c r="AK169" s="12">
        <f t="shared" si="47"/>
        <v>5.5</v>
      </c>
      <c r="AL169" s="12">
        <f t="shared" si="47"/>
        <v>7.1</v>
      </c>
      <c r="AM169" s="12">
        <f t="shared" si="47"/>
        <v>4.3999999999999995</v>
      </c>
      <c r="AN169" s="12">
        <f t="shared" si="47"/>
        <v>71.8</v>
      </c>
      <c r="AO169" s="12">
        <f t="shared" si="47"/>
        <v>70.7</v>
      </c>
      <c r="AP169" s="12">
        <f t="shared" si="47"/>
        <v>88.3</v>
      </c>
      <c r="AQ169" s="12">
        <f t="shared" si="47"/>
        <v>75.099999999999994</v>
      </c>
      <c r="AR169" s="12">
        <f t="shared" si="47"/>
        <v>6</v>
      </c>
      <c r="AS169" s="12">
        <f t="shared" si="47"/>
        <v>2.1999999999999997</v>
      </c>
      <c r="AT169" s="12">
        <f t="shared" si="47"/>
        <v>0</v>
      </c>
      <c r="AU169" s="12">
        <f t="shared" si="46"/>
        <v>82.9</v>
      </c>
      <c r="AV169" s="12">
        <f t="shared" si="48"/>
        <v>54.1</v>
      </c>
      <c r="AW169" s="12">
        <f t="shared" si="48"/>
        <v>22.6</v>
      </c>
      <c r="AX169" s="12">
        <f t="shared" si="43"/>
        <v>58.6</v>
      </c>
      <c r="AY169" s="9"/>
      <c r="AZ169" s="12">
        <f t="shared" si="49"/>
        <v>24.8</v>
      </c>
      <c r="BA169" s="12">
        <f t="shared" si="49"/>
        <v>17.599999999999998</v>
      </c>
      <c r="BB169" s="12">
        <f t="shared" si="49"/>
        <v>20.9</v>
      </c>
      <c r="BC169" s="12">
        <f t="shared" si="49"/>
        <v>28.7</v>
      </c>
      <c r="BD169" s="12">
        <f t="shared" si="49"/>
        <v>7.1</v>
      </c>
      <c r="BE169" s="12">
        <f t="shared" si="49"/>
        <v>22.6</v>
      </c>
      <c r="BF169" s="12">
        <f t="shared" si="49"/>
        <v>28.1</v>
      </c>
      <c r="BG169" s="12">
        <f t="shared" si="49"/>
        <v>7.1</v>
      </c>
      <c r="BH169" s="12">
        <f t="shared" si="49"/>
        <v>3.3000000000000003</v>
      </c>
      <c r="BI169" s="12">
        <f t="shared" si="49"/>
        <v>16.5</v>
      </c>
    </row>
    <row r="170" spans="1:61" ht="15.75" customHeight="1">
      <c r="A170" t="s">
        <v>280</v>
      </c>
      <c r="B170" s="3" t="s">
        <v>117</v>
      </c>
      <c r="C170" s="3" t="s">
        <v>8</v>
      </c>
      <c r="D170" s="3">
        <v>11</v>
      </c>
      <c r="E170" s="3">
        <v>167</v>
      </c>
      <c r="F170" s="3">
        <v>11</v>
      </c>
      <c r="G170" s="3">
        <v>167</v>
      </c>
      <c r="H170" s="3">
        <v>13.2</v>
      </c>
      <c r="I170" s="3">
        <v>0.54800000000000004</v>
      </c>
      <c r="J170" s="3">
        <v>0.5</v>
      </c>
      <c r="K170" s="3">
        <v>0.69399999999999995</v>
      </c>
      <c r="L170" s="3">
        <v>0.184</v>
      </c>
      <c r="M170" s="3">
        <v>2.2000000000000002</v>
      </c>
      <c r="N170" s="3">
        <v>4.7</v>
      </c>
      <c r="O170" s="3">
        <v>15.9</v>
      </c>
      <c r="P170" s="3">
        <v>2.4</v>
      </c>
      <c r="Q170" s="3">
        <v>0</v>
      </c>
      <c r="R170" s="3">
        <v>7</v>
      </c>
      <c r="S170" s="3">
        <v>15.4</v>
      </c>
      <c r="T170" s="3">
        <v>119</v>
      </c>
      <c r="U170" s="3">
        <v>110</v>
      </c>
      <c r="V170" s="3"/>
      <c r="W170" s="3">
        <v>0.3</v>
      </c>
      <c r="X170" s="3">
        <v>0.2</v>
      </c>
      <c r="Y170" s="3">
        <v>0.5</v>
      </c>
      <c r="Z170" s="3">
        <v>0.124</v>
      </c>
      <c r="AA170" s="13">
        <f>(I170/TOTAL_BASIC!$D$301)*100</f>
        <v>97.804571147957859</v>
      </c>
      <c r="AB170" s="5">
        <f t="shared" si="36"/>
        <v>1.19</v>
      </c>
      <c r="AC170" s="3">
        <f t="shared" si="50"/>
        <v>9</v>
      </c>
      <c r="AD170" s="9">
        <f t="shared" si="37"/>
        <v>1.0960000000000001</v>
      </c>
      <c r="AE170" s="16">
        <f t="shared" si="38"/>
        <v>1.0324675324675325</v>
      </c>
      <c r="AF170" s="16">
        <f t="shared" si="39"/>
        <v>2.2714285714285714</v>
      </c>
      <c r="AG170" s="9"/>
      <c r="AH170" s="9"/>
      <c r="AI170" s="12">
        <f t="shared" si="47"/>
        <v>2.1999999999999997</v>
      </c>
      <c r="AJ170" s="12">
        <f t="shared" si="47"/>
        <v>7.7</v>
      </c>
      <c r="AK170" s="12">
        <f t="shared" si="47"/>
        <v>50.8</v>
      </c>
      <c r="AL170" s="12">
        <f t="shared" si="47"/>
        <v>44.1</v>
      </c>
      <c r="AM170" s="12">
        <f t="shared" si="47"/>
        <v>44.7</v>
      </c>
      <c r="AN170" s="12">
        <f t="shared" si="47"/>
        <v>92.2</v>
      </c>
      <c r="AO170" s="12">
        <f t="shared" si="47"/>
        <v>22</v>
      </c>
      <c r="AP170" s="12">
        <f t="shared" si="47"/>
        <v>20.399999999999999</v>
      </c>
      <c r="AQ170" s="12">
        <f t="shared" si="47"/>
        <v>9.3000000000000007</v>
      </c>
      <c r="AR170" s="12">
        <f t="shared" si="47"/>
        <v>61.3</v>
      </c>
      <c r="AS170" s="12">
        <f t="shared" si="47"/>
        <v>81.2</v>
      </c>
      <c r="AT170" s="12">
        <f t="shared" si="47"/>
        <v>0</v>
      </c>
      <c r="AU170" s="12">
        <f t="shared" si="46"/>
        <v>97.8</v>
      </c>
      <c r="AV170" s="12">
        <f t="shared" si="48"/>
        <v>22</v>
      </c>
      <c r="AW170" s="12">
        <f t="shared" si="48"/>
        <v>82.3</v>
      </c>
      <c r="AX170" s="12">
        <f t="shared" si="43"/>
        <v>58.6</v>
      </c>
      <c r="AY170" s="9"/>
      <c r="AZ170" s="12">
        <f t="shared" si="49"/>
        <v>43</v>
      </c>
      <c r="BA170" s="12">
        <f t="shared" si="49"/>
        <v>17.599999999999998</v>
      </c>
      <c r="BB170" s="12">
        <f t="shared" si="49"/>
        <v>29.799999999999997</v>
      </c>
      <c r="BC170" s="12">
        <f t="shared" si="49"/>
        <v>72.3</v>
      </c>
      <c r="BD170" s="12">
        <f t="shared" si="49"/>
        <v>44.1</v>
      </c>
      <c r="BE170" s="12">
        <f t="shared" si="49"/>
        <v>82.3</v>
      </c>
      <c r="BF170" s="12">
        <f t="shared" si="49"/>
        <v>77.900000000000006</v>
      </c>
      <c r="BG170" s="12">
        <f t="shared" si="49"/>
        <v>44.1</v>
      </c>
      <c r="BH170" s="12">
        <f t="shared" si="49"/>
        <v>74.5</v>
      </c>
      <c r="BI170" s="12">
        <f t="shared" si="49"/>
        <v>97.7</v>
      </c>
    </row>
    <row r="171" spans="1:61" ht="15.75" customHeight="1">
      <c r="A171" t="s">
        <v>284</v>
      </c>
      <c r="B171" s="3" t="s">
        <v>161</v>
      </c>
      <c r="C171" s="3" t="s">
        <v>85</v>
      </c>
      <c r="D171" s="3">
        <v>11</v>
      </c>
      <c r="E171" s="3">
        <v>154</v>
      </c>
      <c r="F171" s="3">
        <v>11</v>
      </c>
      <c r="G171" s="3">
        <v>154</v>
      </c>
      <c r="H171" s="3">
        <v>8.3000000000000007</v>
      </c>
      <c r="I171" s="3">
        <v>0.61499999999999999</v>
      </c>
      <c r="J171" s="3">
        <v>0.57399999999999995</v>
      </c>
      <c r="K171" s="3">
        <v>0.40699999999999997</v>
      </c>
      <c r="L171" s="3">
        <v>0.25900000000000001</v>
      </c>
      <c r="M171" s="3">
        <v>7.9</v>
      </c>
      <c r="N171" s="3">
        <v>9</v>
      </c>
      <c r="O171" s="3">
        <v>11.8</v>
      </c>
      <c r="P171" s="3">
        <v>0.7</v>
      </c>
      <c r="Q171" s="3">
        <v>0</v>
      </c>
      <c r="R171" s="3">
        <v>11.7</v>
      </c>
      <c r="S171" s="3">
        <v>9.8000000000000007</v>
      </c>
      <c r="T171" s="3">
        <v>131</v>
      </c>
      <c r="U171" s="3">
        <v>123</v>
      </c>
      <c r="V171" s="3"/>
      <c r="W171" s="3">
        <v>0.4</v>
      </c>
      <c r="X171" s="3">
        <v>-0.1</v>
      </c>
      <c r="Y171" s="3">
        <v>0.3</v>
      </c>
      <c r="Z171" s="3">
        <v>6.6000000000000003E-2</v>
      </c>
      <c r="AA171" s="13">
        <f>(I171/TOTAL_BASIC!$D$301)*100</f>
        <v>109.76242929925925</v>
      </c>
      <c r="AB171" s="5">
        <f t="shared" si="36"/>
        <v>1.31</v>
      </c>
      <c r="AC171" s="3">
        <f t="shared" si="50"/>
        <v>8</v>
      </c>
      <c r="AD171" s="9">
        <f t="shared" si="37"/>
        <v>1.23</v>
      </c>
      <c r="AE171" s="16">
        <f t="shared" si="38"/>
        <v>1.2040816326530612</v>
      </c>
      <c r="AF171" s="16">
        <f t="shared" si="39"/>
        <v>1.0085470085470087</v>
      </c>
      <c r="AG171" s="9"/>
      <c r="AH171" s="9"/>
      <c r="AI171" s="12">
        <f t="shared" si="47"/>
        <v>2.1999999999999997</v>
      </c>
      <c r="AJ171" s="12">
        <f t="shared" si="47"/>
        <v>7.1</v>
      </c>
      <c r="AK171" s="12">
        <f t="shared" si="47"/>
        <v>14.299999999999999</v>
      </c>
      <c r="AL171" s="12">
        <f t="shared" si="47"/>
        <v>85.6</v>
      </c>
      <c r="AM171" s="12">
        <f t="shared" si="47"/>
        <v>83.899999999999991</v>
      </c>
      <c r="AN171" s="12">
        <f t="shared" si="47"/>
        <v>50.2</v>
      </c>
      <c r="AO171" s="12">
        <f t="shared" si="47"/>
        <v>42.5</v>
      </c>
      <c r="AP171" s="12">
        <f t="shared" si="47"/>
        <v>77.3</v>
      </c>
      <c r="AQ171" s="12">
        <f t="shared" si="47"/>
        <v>49.1</v>
      </c>
      <c r="AR171" s="12">
        <f t="shared" si="47"/>
        <v>39.200000000000003</v>
      </c>
      <c r="AS171" s="12">
        <f t="shared" si="47"/>
        <v>3.3000000000000003</v>
      </c>
      <c r="AT171" s="12">
        <f t="shared" si="47"/>
        <v>0</v>
      </c>
      <c r="AU171" s="12">
        <f t="shared" si="46"/>
        <v>76.3</v>
      </c>
      <c r="AV171" s="12">
        <f t="shared" si="48"/>
        <v>2.1999999999999997</v>
      </c>
      <c r="AW171" s="12">
        <f t="shared" si="48"/>
        <v>100</v>
      </c>
      <c r="AX171" s="12">
        <f t="shared" si="43"/>
        <v>0.59999999999999432</v>
      </c>
      <c r="AY171" s="9"/>
      <c r="AZ171" s="12">
        <f t="shared" si="49"/>
        <v>46.9</v>
      </c>
      <c r="BA171" s="12">
        <f t="shared" si="49"/>
        <v>2.7</v>
      </c>
      <c r="BB171" s="12">
        <f t="shared" si="49"/>
        <v>24.8</v>
      </c>
      <c r="BC171" s="12">
        <f t="shared" si="49"/>
        <v>41.4</v>
      </c>
      <c r="BD171" s="12">
        <f t="shared" si="49"/>
        <v>85.6</v>
      </c>
      <c r="BE171" s="12">
        <f t="shared" si="49"/>
        <v>100</v>
      </c>
      <c r="BF171" s="12">
        <f t="shared" si="49"/>
        <v>75.599999999999994</v>
      </c>
      <c r="BG171" s="12">
        <f t="shared" si="49"/>
        <v>85.6</v>
      </c>
      <c r="BH171" s="12">
        <f t="shared" si="49"/>
        <v>85</v>
      </c>
      <c r="BI171" s="12">
        <f t="shared" si="49"/>
        <v>51.300000000000004</v>
      </c>
    </row>
    <row r="172" spans="1:61" ht="15.75" customHeight="1">
      <c r="A172" t="s">
        <v>274</v>
      </c>
      <c r="B172" s="3" t="s">
        <v>128</v>
      </c>
      <c r="C172" s="3" t="s">
        <v>85</v>
      </c>
      <c r="D172" s="3">
        <v>9</v>
      </c>
      <c r="E172" s="3">
        <v>152</v>
      </c>
      <c r="F172" s="3">
        <v>9</v>
      </c>
      <c r="G172" s="3">
        <v>152</v>
      </c>
      <c r="H172" s="3">
        <v>21.8</v>
      </c>
      <c r="I172" s="3">
        <v>0.60399999999999998</v>
      </c>
      <c r="J172" s="3">
        <v>0.52900000000000003</v>
      </c>
      <c r="K172" s="3">
        <v>0.115</v>
      </c>
      <c r="L172" s="3">
        <v>0.40400000000000003</v>
      </c>
      <c r="M172" s="3">
        <v>13.5</v>
      </c>
      <c r="N172" s="3">
        <v>19.899999999999999</v>
      </c>
      <c r="O172" s="3">
        <v>19.5</v>
      </c>
      <c r="P172" s="3">
        <v>1</v>
      </c>
      <c r="Q172" s="3">
        <v>3.8</v>
      </c>
      <c r="R172" s="3">
        <v>12.8</v>
      </c>
      <c r="S172" s="3">
        <v>19.5</v>
      </c>
      <c r="T172" s="3">
        <v>127</v>
      </c>
      <c r="U172" s="3">
        <v>104</v>
      </c>
      <c r="V172" s="3"/>
      <c r="W172" s="3">
        <v>0.6</v>
      </c>
      <c r="X172" s="3">
        <v>0.3</v>
      </c>
      <c r="Y172" s="3">
        <v>0.9</v>
      </c>
      <c r="Z172" s="3">
        <v>0.23100000000000001</v>
      </c>
      <c r="AA172" s="13">
        <f>(I172/TOTAL_BASIC!$D$301)*100</f>
        <v>107.79919885650828</v>
      </c>
      <c r="AB172" s="5">
        <f t="shared" si="36"/>
        <v>1.27</v>
      </c>
      <c r="AC172" s="3">
        <f t="shared" si="50"/>
        <v>23</v>
      </c>
      <c r="AD172" s="9">
        <f t="shared" si="37"/>
        <v>1.208</v>
      </c>
      <c r="AE172" s="16">
        <f t="shared" si="38"/>
        <v>1</v>
      </c>
      <c r="AF172" s="16">
        <f t="shared" si="39"/>
        <v>1.5234375</v>
      </c>
      <c r="AG172" s="9"/>
      <c r="AH172" s="9"/>
      <c r="AI172" s="12">
        <f t="shared" si="47"/>
        <v>0.5</v>
      </c>
      <c r="AJ172" s="12">
        <f t="shared" si="47"/>
        <v>6.6000000000000005</v>
      </c>
      <c r="AK172" s="12">
        <f t="shared" si="47"/>
        <v>92.800000000000011</v>
      </c>
      <c r="AL172" s="12">
        <f t="shared" si="47"/>
        <v>79.5</v>
      </c>
      <c r="AM172" s="12">
        <f t="shared" si="47"/>
        <v>61.3</v>
      </c>
      <c r="AN172" s="12">
        <f t="shared" si="47"/>
        <v>12.1</v>
      </c>
      <c r="AO172" s="12">
        <f t="shared" si="47"/>
        <v>78.400000000000006</v>
      </c>
      <c r="AP172" s="12">
        <f t="shared" si="47"/>
        <v>97.7</v>
      </c>
      <c r="AQ172" s="12">
        <f t="shared" si="47"/>
        <v>97.2</v>
      </c>
      <c r="AR172" s="12">
        <f t="shared" si="47"/>
        <v>74.5</v>
      </c>
      <c r="AS172" s="12">
        <f t="shared" si="47"/>
        <v>11</v>
      </c>
      <c r="AT172" s="12">
        <f t="shared" si="47"/>
        <v>87.2</v>
      </c>
      <c r="AU172" s="12">
        <f t="shared" si="46"/>
        <v>68.599999999999994</v>
      </c>
      <c r="AV172" s="12">
        <f t="shared" si="48"/>
        <v>57.4</v>
      </c>
      <c r="AW172" s="12">
        <f t="shared" si="48"/>
        <v>98.3</v>
      </c>
      <c r="AX172" s="12">
        <f t="shared" si="43"/>
        <v>88.4</v>
      </c>
      <c r="AY172" s="9"/>
      <c r="AZ172" s="12">
        <f t="shared" si="49"/>
        <v>56.3</v>
      </c>
      <c r="BA172" s="12">
        <f t="shared" si="49"/>
        <v>28.1</v>
      </c>
      <c r="BB172" s="12">
        <f t="shared" si="49"/>
        <v>45.800000000000004</v>
      </c>
      <c r="BC172" s="12">
        <f t="shared" si="49"/>
        <v>98.8</v>
      </c>
      <c r="BD172" s="12">
        <f t="shared" si="49"/>
        <v>79.5</v>
      </c>
      <c r="BE172" s="12">
        <f t="shared" si="49"/>
        <v>98.3</v>
      </c>
      <c r="BF172" s="12">
        <f t="shared" si="49"/>
        <v>99.4</v>
      </c>
      <c r="BG172" s="12">
        <f t="shared" si="49"/>
        <v>79.5</v>
      </c>
      <c r="BH172" s="12">
        <f t="shared" si="49"/>
        <v>71.8</v>
      </c>
      <c r="BI172" s="12">
        <f t="shared" si="49"/>
        <v>81.2</v>
      </c>
    </row>
    <row r="173" spans="1:61" ht="15.75" customHeight="1">
      <c r="A173" t="s">
        <v>265</v>
      </c>
      <c r="B173" s="3" t="s">
        <v>93</v>
      </c>
      <c r="C173" s="3" t="s">
        <v>85</v>
      </c>
      <c r="D173" s="3">
        <v>16</v>
      </c>
      <c r="E173" s="3">
        <v>149</v>
      </c>
      <c r="F173" s="3">
        <v>16</v>
      </c>
      <c r="G173" s="3">
        <v>149</v>
      </c>
      <c r="H173" s="3">
        <v>8.8000000000000007</v>
      </c>
      <c r="I173" s="3">
        <v>0.56699999999999995</v>
      </c>
      <c r="J173" s="3">
        <v>0.54400000000000004</v>
      </c>
      <c r="K173" s="3">
        <v>0.33300000000000002</v>
      </c>
      <c r="L173" s="3">
        <v>0.311</v>
      </c>
      <c r="M173" s="3">
        <v>6.5</v>
      </c>
      <c r="N173" s="3">
        <v>9.1</v>
      </c>
      <c r="O173" s="3">
        <v>8.1</v>
      </c>
      <c r="P173" s="3">
        <v>1.4</v>
      </c>
      <c r="Q173" s="3">
        <v>0.7</v>
      </c>
      <c r="R173" s="3">
        <v>17.7</v>
      </c>
      <c r="S173" s="3">
        <v>18.899999999999999</v>
      </c>
      <c r="T173" s="3">
        <v>99</v>
      </c>
      <c r="U173" s="3">
        <v>113</v>
      </c>
      <c r="V173" s="3"/>
      <c r="W173" s="3">
        <v>0</v>
      </c>
      <c r="X173" s="3">
        <v>0.1</v>
      </c>
      <c r="Y173" s="3">
        <v>0.1</v>
      </c>
      <c r="Z173" s="3">
        <v>0.02</v>
      </c>
      <c r="AA173" s="13">
        <f>(I173/TOTAL_BASIC!$D$301)*100</f>
        <v>101.19560554907316</v>
      </c>
      <c r="AB173" s="5">
        <f t="shared" si="36"/>
        <v>0.99</v>
      </c>
      <c r="AC173" s="3">
        <f t="shared" si="50"/>
        <v>-14</v>
      </c>
      <c r="AD173" s="9">
        <f t="shared" si="37"/>
        <v>1.1339999999999999</v>
      </c>
      <c r="AE173" s="16">
        <f t="shared" si="38"/>
        <v>0.4285714285714286</v>
      </c>
      <c r="AF173" s="16">
        <f t="shared" si="39"/>
        <v>0.4576271186440678</v>
      </c>
      <c r="AG173" s="9"/>
      <c r="AH173" s="9"/>
      <c r="AI173" s="12">
        <f t="shared" si="47"/>
        <v>8.2000000000000011</v>
      </c>
      <c r="AJ173" s="12">
        <f t="shared" si="47"/>
        <v>6</v>
      </c>
      <c r="AK173" s="12">
        <f t="shared" si="47"/>
        <v>17.599999999999998</v>
      </c>
      <c r="AL173" s="12">
        <f t="shared" si="47"/>
        <v>59.599999999999994</v>
      </c>
      <c r="AM173" s="12">
        <f t="shared" si="47"/>
        <v>67.900000000000006</v>
      </c>
      <c r="AN173" s="12">
        <f t="shared" si="47"/>
        <v>34.799999999999997</v>
      </c>
      <c r="AO173" s="12">
        <f t="shared" si="47"/>
        <v>56.899999999999991</v>
      </c>
      <c r="AP173" s="12">
        <f t="shared" si="47"/>
        <v>69.599999999999994</v>
      </c>
      <c r="AQ173" s="12">
        <f t="shared" si="47"/>
        <v>51.300000000000004</v>
      </c>
      <c r="AR173" s="12">
        <f t="shared" si="47"/>
        <v>17.100000000000001</v>
      </c>
      <c r="AS173" s="12">
        <f t="shared" si="47"/>
        <v>28.1</v>
      </c>
      <c r="AT173" s="12">
        <f t="shared" si="47"/>
        <v>24.3</v>
      </c>
      <c r="AU173" s="12">
        <f t="shared" si="46"/>
        <v>28.200000000000003</v>
      </c>
      <c r="AV173" s="12">
        <f t="shared" si="48"/>
        <v>54.6</v>
      </c>
      <c r="AW173" s="12">
        <f t="shared" si="48"/>
        <v>22.6</v>
      </c>
      <c r="AX173" s="12">
        <f t="shared" si="43"/>
        <v>30.400000000000006</v>
      </c>
      <c r="AY173" s="9"/>
      <c r="AZ173" s="12">
        <f t="shared" si="49"/>
        <v>24.8</v>
      </c>
      <c r="BA173" s="12">
        <f t="shared" si="49"/>
        <v>8.7999999999999989</v>
      </c>
      <c r="BB173" s="12">
        <f t="shared" si="49"/>
        <v>13.8</v>
      </c>
      <c r="BC173" s="12">
        <f t="shared" si="49"/>
        <v>18.7</v>
      </c>
      <c r="BD173" s="12">
        <f t="shared" si="49"/>
        <v>59.599999999999994</v>
      </c>
      <c r="BE173" s="12">
        <f t="shared" si="49"/>
        <v>22.6</v>
      </c>
      <c r="BF173" s="12">
        <f t="shared" si="49"/>
        <v>18.2</v>
      </c>
      <c r="BG173" s="12">
        <f t="shared" si="49"/>
        <v>59.599999999999994</v>
      </c>
      <c r="BH173" s="12">
        <f t="shared" si="49"/>
        <v>11.600000000000001</v>
      </c>
      <c r="BI173" s="12">
        <f t="shared" si="49"/>
        <v>7.1</v>
      </c>
    </row>
    <row r="174" spans="1:61" ht="15.75" customHeight="1">
      <c r="A174" t="s">
        <v>164</v>
      </c>
      <c r="B174" s="3" t="s">
        <v>114</v>
      </c>
      <c r="C174" s="3" t="s">
        <v>8</v>
      </c>
      <c r="D174" s="3">
        <v>10</v>
      </c>
      <c r="E174" s="3">
        <v>148</v>
      </c>
      <c r="F174" s="3">
        <v>10</v>
      </c>
      <c r="G174" s="3">
        <v>148</v>
      </c>
      <c r="H174" s="3">
        <v>8.1</v>
      </c>
      <c r="I174" s="3">
        <v>0.66300000000000003</v>
      </c>
      <c r="J174" s="3">
        <v>0.63500000000000001</v>
      </c>
      <c r="K174" s="3">
        <v>0.76900000000000002</v>
      </c>
      <c r="L174" s="3">
        <v>0.23100000000000001</v>
      </c>
      <c r="M174" s="3">
        <v>0.8</v>
      </c>
      <c r="N174" s="3">
        <v>5</v>
      </c>
      <c r="O174" s="3">
        <v>11.3</v>
      </c>
      <c r="P174" s="3">
        <v>1.7</v>
      </c>
      <c r="Q174" s="3">
        <v>0.6</v>
      </c>
      <c r="R174" s="3">
        <v>25.9</v>
      </c>
      <c r="S174" s="3">
        <v>11.4</v>
      </c>
      <c r="T174" s="3">
        <v>104</v>
      </c>
      <c r="U174" s="3">
        <v>114</v>
      </c>
      <c r="V174" s="3"/>
      <c r="W174" s="3">
        <v>0</v>
      </c>
      <c r="X174" s="3">
        <v>0.1</v>
      </c>
      <c r="Y174" s="3">
        <v>0.1</v>
      </c>
      <c r="Z174" s="3">
        <v>3.5000000000000003E-2</v>
      </c>
      <c r="AA174" s="13">
        <f>(I174/TOTAL_BASIC!$D$301)*100</f>
        <v>118.32925304944536</v>
      </c>
      <c r="AB174" s="5">
        <f t="shared" si="36"/>
        <v>1.04</v>
      </c>
      <c r="AC174" s="3">
        <f t="shared" si="50"/>
        <v>-10</v>
      </c>
      <c r="AD174" s="9">
        <f t="shared" si="37"/>
        <v>1.3260000000000001</v>
      </c>
      <c r="AE174" s="16">
        <f t="shared" si="38"/>
        <v>0.99122807017543868</v>
      </c>
      <c r="AF174" s="16">
        <f t="shared" si="39"/>
        <v>0.43629343629343637</v>
      </c>
      <c r="AG174" s="9"/>
      <c r="AH174" s="9"/>
      <c r="AI174" s="12">
        <f t="shared" si="47"/>
        <v>1.6</v>
      </c>
      <c r="AJ174" s="12">
        <f t="shared" si="47"/>
        <v>5.5</v>
      </c>
      <c r="AK174" s="12">
        <f t="shared" si="47"/>
        <v>11.600000000000001</v>
      </c>
      <c r="AL174" s="12">
        <f t="shared" si="47"/>
        <v>97.7</v>
      </c>
      <c r="AM174" s="12">
        <f t="shared" si="47"/>
        <v>97.2</v>
      </c>
      <c r="AN174" s="12">
        <f t="shared" si="47"/>
        <v>98.3</v>
      </c>
      <c r="AO174" s="12">
        <f t="shared" si="47"/>
        <v>35.9</v>
      </c>
      <c r="AP174" s="12">
        <f t="shared" si="47"/>
        <v>2.1999999999999997</v>
      </c>
      <c r="AQ174" s="12">
        <f t="shared" si="47"/>
        <v>13.200000000000001</v>
      </c>
      <c r="AR174" s="12">
        <f t="shared" si="47"/>
        <v>34.200000000000003</v>
      </c>
      <c r="AS174" s="12">
        <f t="shared" si="47"/>
        <v>44.1</v>
      </c>
      <c r="AT174" s="12">
        <f t="shared" si="47"/>
        <v>19.8</v>
      </c>
      <c r="AU174" s="12">
        <f t="shared" si="46"/>
        <v>2.2999999999999972</v>
      </c>
      <c r="AV174" s="12">
        <f t="shared" si="48"/>
        <v>4.9000000000000004</v>
      </c>
      <c r="AW174" s="12">
        <f t="shared" si="48"/>
        <v>38.6</v>
      </c>
      <c r="AX174" s="12">
        <f t="shared" si="43"/>
        <v>24.900000000000006</v>
      </c>
      <c r="AY174" s="9"/>
      <c r="AZ174" s="12">
        <f t="shared" si="49"/>
        <v>24.8</v>
      </c>
      <c r="BA174" s="12">
        <f t="shared" si="49"/>
        <v>8.7999999999999989</v>
      </c>
      <c r="BB174" s="12">
        <f t="shared" si="49"/>
        <v>13.8</v>
      </c>
      <c r="BC174" s="12">
        <f t="shared" si="49"/>
        <v>28.1</v>
      </c>
      <c r="BD174" s="12">
        <f t="shared" si="49"/>
        <v>97.7</v>
      </c>
      <c r="BE174" s="12">
        <f t="shared" si="49"/>
        <v>38.6</v>
      </c>
      <c r="BF174" s="12">
        <f t="shared" si="49"/>
        <v>30.3</v>
      </c>
      <c r="BG174" s="12">
        <f t="shared" si="49"/>
        <v>97.7</v>
      </c>
      <c r="BH174" s="12">
        <f t="shared" si="49"/>
        <v>71.2</v>
      </c>
      <c r="BI174" s="12">
        <f t="shared" si="49"/>
        <v>4.9000000000000004</v>
      </c>
    </row>
    <row r="175" spans="1:61" ht="15.75" customHeight="1">
      <c r="A175" t="s">
        <v>259</v>
      </c>
      <c r="B175" s="3" t="s">
        <v>140</v>
      </c>
      <c r="C175" s="3" t="s">
        <v>8</v>
      </c>
      <c r="D175" s="3">
        <v>20</v>
      </c>
      <c r="E175" s="3">
        <v>143</v>
      </c>
      <c r="F175" s="3">
        <v>20</v>
      </c>
      <c r="G175" s="3">
        <v>143</v>
      </c>
      <c r="H175" s="3">
        <v>10.5</v>
      </c>
      <c r="I175" s="3">
        <v>0.56299999999999994</v>
      </c>
      <c r="J175" s="3">
        <v>0.52300000000000002</v>
      </c>
      <c r="K175" s="3">
        <v>0.47699999999999998</v>
      </c>
      <c r="L175" s="3">
        <v>0.25</v>
      </c>
      <c r="M175" s="3">
        <v>0.9</v>
      </c>
      <c r="N175" s="3">
        <v>4.5999999999999996</v>
      </c>
      <c r="O175" s="3">
        <v>21.3</v>
      </c>
      <c r="P175" s="3">
        <v>1.4</v>
      </c>
      <c r="Q175" s="3">
        <v>0.7</v>
      </c>
      <c r="R175" s="3">
        <v>18.399999999999999</v>
      </c>
      <c r="S175" s="3">
        <v>18.7</v>
      </c>
      <c r="T175" s="3">
        <v>106</v>
      </c>
      <c r="U175" s="3">
        <v>108</v>
      </c>
      <c r="V175" s="3"/>
      <c r="W175" s="3">
        <v>0.1</v>
      </c>
      <c r="X175" s="3">
        <v>0.2</v>
      </c>
      <c r="Y175" s="3">
        <v>0.3</v>
      </c>
      <c r="Z175" s="3">
        <v>8.5999999999999993E-2</v>
      </c>
      <c r="AA175" s="13">
        <f>(I175/TOTAL_BASIC!$D$301)*100</f>
        <v>100.481703569891</v>
      </c>
      <c r="AB175" s="5">
        <f t="shared" si="36"/>
        <v>1.06</v>
      </c>
      <c r="AC175" s="3">
        <f t="shared" si="50"/>
        <v>-2</v>
      </c>
      <c r="AD175" s="9">
        <f t="shared" si="37"/>
        <v>1.1259999999999999</v>
      </c>
      <c r="AE175" s="16">
        <f t="shared" si="38"/>
        <v>1.1390374331550803</v>
      </c>
      <c r="AF175" s="16">
        <f t="shared" si="39"/>
        <v>1.1576086956521741</v>
      </c>
      <c r="AG175" s="9"/>
      <c r="AH175" s="9"/>
      <c r="AI175" s="12">
        <f t="shared" si="47"/>
        <v>17.100000000000001</v>
      </c>
      <c r="AJ175" s="12">
        <f t="shared" si="47"/>
        <v>4.9000000000000004</v>
      </c>
      <c r="AK175" s="12">
        <f t="shared" si="47"/>
        <v>31.4</v>
      </c>
      <c r="AL175" s="12">
        <f t="shared" si="47"/>
        <v>55.800000000000004</v>
      </c>
      <c r="AM175" s="12">
        <f t="shared" si="47"/>
        <v>57.4</v>
      </c>
      <c r="AN175" s="12">
        <f t="shared" si="47"/>
        <v>63.5</v>
      </c>
      <c r="AO175" s="12">
        <f t="shared" si="47"/>
        <v>39.700000000000003</v>
      </c>
      <c r="AP175" s="12">
        <f t="shared" si="47"/>
        <v>3.3000000000000003</v>
      </c>
      <c r="AQ175" s="12">
        <f t="shared" si="47"/>
        <v>8.7999999999999989</v>
      </c>
      <c r="AR175" s="12">
        <f t="shared" si="47"/>
        <v>79.5</v>
      </c>
      <c r="AS175" s="12">
        <f t="shared" si="47"/>
        <v>28.1</v>
      </c>
      <c r="AT175" s="12">
        <f t="shared" si="47"/>
        <v>24.3</v>
      </c>
      <c r="AU175" s="12">
        <f t="shared" si="46"/>
        <v>22.700000000000003</v>
      </c>
      <c r="AV175" s="12">
        <f t="shared" si="48"/>
        <v>53.5</v>
      </c>
      <c r="AW175" s="12">
        <f t="shared" si="48"/>
        <v>44.7</v>
      </c>
      <c r="AX175" s="12">
        <f t="shared" si="43"/>
        <v>71.3</v>
      </c>
      <c r="AY175" s="9"/>
      <c r="AZ175" s="12">
        <f t="shared" si="49"/>
        <v>32.5</v>
      </c>
      <c r="BA175" s="12">
        <f t="shared" si="49"/>
        <v>17.599999999999998</v>
      </c>
      <c r="BB175" s="12">
        <f t="shared" si="49"/>
        <v>24.8</v>
      </c>
      <c r="BC175" s="12">
        <f t="shared" si="49"/>
        <v>57.999999999999993</v>
      </c>
      <c r="BD175" s="12">
        <f t="shared" si="49"/>
        <v>55.800000000000004</v>
      </c>
      <c r="BE175" s="12">
        <f t="shared" si="49"/>
        <v>44.7</v>
      </c>
      <c r="BF175" s="12">
        <f t="shared" si="49"/>
        <v>53.5</v>
      </c>
      <c r="BG175" s="12">
        <f t="shared" si="49"/>
        <v>55.800000000000004</v>
      </c>
      <c r="BH175" s="12">
        <f t="shared" si="49"/>
        <v>80.600000000000009</v>
      </c>
      <c r="BI175" s="12">
        <f t="shared" si="49"/>
        <v>64</v>
      </c>
    </row>
    <row r="176" spans="1:61" ht="15.75" customHeight="1">
      <c r="A176" t="s">
        <v>285</v>
      </c>
      <c r="B176" s="3" t="s">
        <v>137</v>
      </c>
      <c r="C176" s="3" t="s">
        <v>8</v>
      </c>
      <c r="D176" s="3">
        <v>9</v>
      </c>
      <c r="E176" s="3">
        <v>138</v>
      </c>
      <c r="F176" s="3">
        <v>9</v>
      </c>
      <c r="G176" s="3">
        <v>138</v>
      </c>
      <c r="H176" s="3">
        <v>9.5</v>
      </c>
      <c r="I176" s="3">
        <v>0.53500000000000003</v>
      </c>
      <c r="J176" s="3">
        <v>0.48499999999999999</v>
      </c>
      <c r="K176" s="3">
        <v>0.20599999999999999</v>
      </c>
      <c r="L176" s="3">
        <v>0.41199999999999998</v>
      </c>
      <c r="M176" s="3">
        <v>0.9</v>
      </c>
      <c r="N176" s="3">
        <v>3.9</v>
      </c>
      <c r="O176" s="3">
        <v>23.7</v>
      </c>
      <c r="P176" s="3">
        <v>3.2</v>
      </c>
      <c r="Q176" s="3">
        <v>0</v>
      </c>
      <c r="R176" s="3">
        <v>25.8</v>
      </c>
      <c r="S176" s="3">
        <v>17.2</v>
      </c>
      <c r="T176" s="3">
        <v>95</v>
      </c>
      <c r="U176" s="3">
        <v>113</v>
      </c>
      <c r="V176" s="3"/>
      <c r="W176" s="3">
        <v>-0.1</v>
      </c>
      <c r="X176" s="3">
        <v>0.1</v>
      </c>
      <c r="Y176" s="3">
        <v>0</v>
      </c>
      <c r="Z176" s="3">
        <v>0</v>
      </c>
      <c r="AA176" s="13">
        <f>(I176/TOTAL_BASIC!$D$301)*100</f>
        <v>95.484389715615777</v>
      </c>
      <c r="AB176" s="5">
        <f t="shared" si="36"/>
        <v>0.95</v>
      </c>
      <c r="AC176" s="3">
        <f t="shared" si="50"/>
        <v>-18</v>
      </c>
      <c r="AD176" s="9">
        <f t="shared" si="37"/>
        <v>1.07</v>
      </c>
      <c r="AE176" s="16">
        <f t="shared" si="38"/>
        <v>1.3779069767441861</v>
      </c>
      <c r="AF176" s="16">
        <f t="shared" si="39"/>
        <v>0.91860465116279066</v>
      </c>
      <c r="AG176" s="9"/>
      <c r="AH176" s="9"/>
      <c r="AI176" s="12">
        <f t="shared" si="47"/>
        <v>0.5</v>
      </c>
      <c r="AJ176" s="12">
        <f t="shared" si="47"/>
        <v>4.3999999999999995</v>
      </c>
      <c r="AK176" s="12">
        <f t="shared" si="47"/>
        <v>22.6</v>
      </c>
      <c r="AL176" s="12">
        <f t="shared" si="47"/>
        <v>38.6</v>
      </c>
      <c r="AM176" s="12">
        <f t="shared" si="47"/>
        <v>38.1</v>
      </c>
      <c r="AN176" s="12">
        <f t="shared" si="47"/>
        <v>16.5</v>
      </c>
      <c r="AO176" s="12">
        <f t="shared" si="47"/>
        <v>79.5</v>
      </c>
      <c r="AP176" s="12">
        <f t="shared" si="47"/>
        <v>3.3000000000000003</v>
      </c>
      <c r="AQ176" s="12">
        <f t="shared" si="47"/>
        <v>3.8</v>
      </c>
      <c r="AR176" s="12">
        <f t="shared" si="47"/>
        <v>82.8</v>
      </c>
      <c r="AS176" s="12">
        <f t="shared" si="47"/>
        <v>98.3</v>
      </c>
      <c r="AT176" s="12">
        <f t="shared" si="47"/>
        <v>0</v>
      </c>
      <c r="AU176" s="12">
        <f t="shared" si="46"/>
        <v>2.7999999999999972</v>
      </c>
      <c r="AV176" s="12">
        <f t="shared" si="48"/>
        <v>38.6</v>
      </c>
      <c r="AW176" s="12">
        <f t="shared" si="48"/>
        <v>10.4</v>
      </c>
      <c r="AX176" s="12">
        <f t="shared" si="43"/>
        <v>30.400000000000006</v>
      </c>
      <c r="AY176" s="9"/>
      <c r="AZ176" s="12">
        <f t="shared" ref="AZ176" si="51">(PERCENTRANK(W$3:W$298,W176))*100</f>
        <v>20.9</v>
      </c>
      <c r="BA176" s="12">
        <f t="shared" ref="BA176" si="52">(PERCENTRANK(X$3:X$298,X176))*100</f>
        <v>8.7999999999999989</v>
      </c>
      <c r="BB176" s="12">
        <f t="shared" ref="BB176" si="53">(PERCENTRANK(Y$3:Y$298,Y176))*100</f>
        <v>9.9</v>
      </c>
      <c r="BC176" s="12">
        <f t="shared" ref="BC176" si="54">(PERCENTRANK(Z$3:Z$298,Z176))*100</f>
        <v>10.4</v>
      </c>
      <c r="BD176" s="12">
        <f t="shared" ref="BD176" si="55">(PERCENTRANK(AA$3:AA$298,AA176))*100</f>
        <v>38.6</v>
      </c>
      <c r="BE176" s="12">
        <f t="shared" ref="BE176" si="56">(PERCENTRANK(AB$3:AB$298,AB176))*100</f>
        <v>10.4</v>
      </c>
      <c r="BF176" s="12">
        <f t="shared" ref="BF176" si="57">(PERCENTRANK(AC$3:AC$298,AC176))*100</f>
        <v>9.9</v>
      </c>
      <c r="BG176" s="12">
        <f t="shared" ref="BG176" si="58">(PERCENTRANK(AD$3:AD$298,AD176))*100</f>
        <v>38.6</v>
      </c>
      <c r="BH176" s="12">
        <f t="shared" ref="BH176" si="59">(PERCENTRANK(AE$3:AE$298,AE176))*100</f>
        <v>90.600000000000009</v>
      </c>
      <c r="BI176" s="12">
        <f t="shared" ref="BI176" si="60">(PERCENTRANK(AF$3:AF$298,AF176))*100</f>
        <v>43.6</v>
      </c>
    </row>
    <row r="177" spans="1:61" ht="15.75" customHeight="1">
      <c r="A177" t="s">
        <v>277</v>
      </c>
      <c r="B177" s="3" t="s">
        <v>84</v>
      </c>
      <c r="C177" s="3" t="s">
        <v>88</v>
      </c>
      <c r="D177" s="3">
        <v>22</v>
      </c>
      <c r="E177" s="3">
        <v>120</v>
      </c>
      <c r="F177" s="3">
        <v>22</v>
      </c>
      <c r="G177" s="3">
        <v>120</v>
      </c>
      <c r="H177" s="3">
        <v>10.1</v>
      </c>
      <c r="I177" s="3">
        <v>0.61299999999999999</v>
      </c>
      <c r="J177" s="3">
        <v>0.6</v>
      </c>
      <c r="K177" s="3">
        <v>0.4</v>
      </c>
      <c r="L177" s="3">
        <v>0.6</v>
      </c>
      <c r="M177" s="3">
        <v>8.5</v>
      </c>
      <c r="N177" s="3">
        <v>12</v>
      </c>
      <c r="O177" s="3">
        <v>8.6</v>
      </c>
      <c r="P177" s="3">
        <v>0.8</v>
      </c>
      <c r="Q177" s="3">
        <v>1.5</v>
      </c>
      <c r="R177" s="3">
        <v>19.2</v>
      </c>
      <c r="S177" s="3">
        <v>11.6</v>
      </c>
      <c r="T177" s="3">
        <v>116</v>
      </c>
      <c r="U177" s="3">
        <v>111</v>
      </c>
      <c r="V177" s="3"/>
      <c r="W177" s="3">
        <v>0.2</v>
      </c>
      <c r="X177" s="3">
        <v>0.1</v>
      </c>
      <c r="Y177" s="3">
        <v>0.3</v>
      </c>
      <c r="Z177" s="3">
        <v>9.4E-2</v>
      </c>
      <c r="AA177" s="13">
        <f>(I177/TOTAL_BASIC!$D$301)*100</f>
        <v>109.40547830966815</v>
      </c>
      <c r="AB177" s="5">
        <f t="shared" si="36"/>
        <v>1.1599999999999999</v>
      </c>
      <c r="AC177" s="3">
        <f t="shared" si="50"/>
        <v>5</v>
      </c>
      <c r="AD177" s="9">
        <f t="shared" si="37"/>
        <v>1.226</v>
      </c>
      <c r="AE177" s="16">
        <f t="shared" si="38"/>
        <v>0.74137931034482762</v>
      </c>
      <c r="AF177" s="16">
        <f t="shared" si="39"/>
        <v>0.44791666666666669</v>
      </c>
      <c r="AG177" s="9"/>
      <c r="AH177" s="9"/>
      <c r="AI177" s="12">
        <f t="shared" ref="AI177:AI180" si="61">(PERCENTRANK(F$3:F$298,F177))*100</f>
        <v>19.3</v>
      </c>
      <c r="AJ177" s="12">
        <f t="shared" ref="AJ177:AJ180" si="62">(PERCENTRANK(G$3:G$298,G177))*100</f>
        <v>3.3000000000000003</v>
      </c>
      <c r="AK177" s="12">
        <f t="shared" ref="AK177:AK180" si="63">(PERCENTRANK(H$3:H$298,H177))*100</f>
        <v>27.6</v>
      </c>
      <c r="AL177" s="12">
        <f t="shared" ref="AL177:AL180" si="64">(PERCENTRANK(I$3:I$298,I177))*100</f>
        <v>83.899999999999991</v>
      </c>
      <c r="AM177" s="12">
        <f t="shared" ref="AM177:AM180" si="65">(PERCENTRANK(J$3:J$298,J177))*100</f>
        <v>93.300000000000011</v>
      </c>
      <c r="AN177" s="12">
        <f t="shared" ref="AN177:AN180" si="66">(PERCENTRANK(K$3:K$298,K177))*100</f>
        <v>49.1</v>
      </c>
      <c r="AO177" s="12">
        <f t="shared" ref="AO177:AO180" si="67">(PERCENTRANK(L$3:L$298,L177))*100</f>
        <v>97.7</v>
      </c>
      <c r="AP177" s="12">
        <f t="shared" ref="AP177:AP180" si="68">(PERCENTRANK(M$3:M$298,M177))*100</f>
        <v>82.3</v>
      </c>
      <c r="AQ177" s="12">
        <f t="shared" ref="AQ177:AQ180" si="69">(PERCENTRANK(N$3:N$298,N177))*100</f>
        <v>72.3</v>
      </c>
      <c r="AR177" s="12">
        <f t="shared" ref="AR177:AR180" si="70">(PERCENTRANK(O$3:O$298,O177))*100</f>
        <v>21.5</v>
      </c>
      <c r="AS177" s="12">
        <f t="shared" ref="AS177:AS180" si="71">(PERCENTRANK(P$3:P$298,P177))*100</f>
        <v>5.5</v>
      </c>
      <c r="AT177" s="12">
        <f t="shared" ref="AT177:AT180" si="72">(PERCENTRANK(Q$3:Q$298,Q177))*100</f>
        <v>57.999999999999993</v>
      </c>
      <c r="AU177" s="12">
        <f t="shared" ref="AU177:AU180" si="73">100-(PERCENTRANK(R$3:R$298,R177))*100</f>
        <v>17.700000000000003</v>
      </c>
      <c r="AV177" s="12">
        <f t="shared" ref="AV177:AV180" si="74">(PERCENTRANK(S$3:S$298,S177))*100</f>
        <v>6.6000000000000005</v>
      </c>
      <c r="AW177" s="12">
        <f t="shared" ref="AW177:AW180" si="75">(PERCENTRANK(T$3:T$298,T177))*100</f>
        <v>76.2</v>
      </c>
      <c r="AX177" s="12">
        <f t="shared" ref="AX177:AX180" si="76">100-(PERCENTRANK(U$3:U$298,U177))*100</f>
        <v>48.699999999999996</v>
      </c>
      <c r="AY177" s="9"/>
      <c r="AZ177" s="12">
        <f t="shared" ref="AZ177:AZ180" si="77">(PERCENTRANK(W$3:W$298,W177))*100</f>
        <v>38.1</v>
      </c>
      <c r="BA177" s="12">
        <f t="shared" ref="BA177:BA180" si="78">(PERCENTRANK(X$3:X$298,X177))*100</f>
        <v>8.7999999999999989</v>
      </c>
      <c r="BB177" s="12">
        <f t="shared" ref="BB177:BB180" si="79">(PERCENTRANK(Y$3:Y$298,Y177))*100</f>
        <v>24.8</v>
      </c>
      <c r="BC177" s="12">
        <f t="shared" ref="BC177:BC180" si="80">(PERCENTRANK(Z$3:Z$298,Z177))*100</f>
        <v>62.9</v>
      </c>
      <c r="BD177" s="12">
        <f t="shared" ref="BD177:BD180" si="81">(PERCENTRANK(AA$3:AA$298,AA177))*100</f>
        <v>83.899999999999991</v>
      </c>
      <c r="BE177" s="12">
        <f t="shared" ref="BE177:BE180" si="82">(PERCENTRANK(AB$3:AB$298,AB177))*100</f>
        <v>76.2</v>
      </c>
      <c r="BF177" s="12">
        <f t="shared" ref="BF177:BF180" si="83">(PERCENTRANK(AC$3:AC$298,AC177))*100</f>
        <v>71.8</v>
      </c>
      <c r="BG177" s="12">
        <f t="shared" ref="BG177:BG180" si="84">(PERCENTRANK(AD$3:AD$298,AD177))*100</f>
        <v>83.899999999999991</v>
      </c>
      <c r="BH177" s="12">
        <f t="shared" ref="BH177:BH180" si="85">(PERCENTRANK(AE$3:AE$298,AE177))*100</f>
        <v>55.2</v>
      </c>
      <c r="BI177" s="12">
        <f t="shared" ref="BI177:BI180" si="86">(PERCENTRANK(AF$3:AF$298,AF177))*100</f>
        <v>6.6000000000000005</v>
      </c>
    </row>
    <row r="178" spans="1:61" ht="15.75" customHeight="1">
      <c r="A178" t="s">
        <v>263</v>
      </c>
      <c r="B178" s="3" t="s">
        <v>137</v>
      </c>
      <c r="C178" s="3" t="s">
        <v>8</v>
      </c>
      <c r="D178" s="3">
        <v>17</v>
      </c>
      <c r="E178" s="3">
        <v>120</v>
      </c>
      <c r="F178" s="3">
        <v>17</v>
      </c>
      <c r="G178" s="3">
        <v>120</v>
      </c>
      <c r="H178" s="3">
        <v>10.6</v>
      </c>
      <c r="I178" s="3">
        <v>0.50600000000000001</v>
      </c>
      <c r="J178" s="3">
        <v>0.48599999999999999</v>
      </c>
      <c r="K178" s="3">
        <v>0.74299999999999999</v>
      </c>
      <c r="L178" s="3">
        <v>0.22900000000000001</v>
      </c>
      <c r="M178" s="3">
        <v>5</v>
      </c>
      <c r="N178" s="3">
        <v>9.5</v>
      </c>
      <c r="O178" s="3">
        <v>7.4</v>
      </c>
      <c r="P178" s="3">
        <v>2</v>
      </c>
      <c r="Q178" s="3">
        <v>2.2999999999999998</v>
      </c>
      <c r="R178" s="3">
        <v>7.2</v>
      </c>
      <c r="S178" s="3">
        <v>15.2</v>
      </c>
      <c r="T178" s="3">
        <v>105</v>
      </c>
      <c r="U178" s="3">
        <v>112</v>
      </c>
      <c r="V178" s="3"/>
      <c r="W178" s="3">
        <v>0.1</v>
      </c>
      <c r="X178" s="3">
        <v>0.1</v>
      </c>
      <c r="Y178" s="3">
        <v>0.2</v>
      </c>
      <c r="Z178" s="3">
        <v>5.2999999999999999E-2</v>
      </c>
      <c r="AA178" s="13">
        <f>(I178/TOTAL_BASIC!$D$301)*100</f>
        <v>90.308600366545008</v>
      </c>
      <c r="AB178" s="5">
        <f t="shared" si="36"/>
        <v>1.05</v>
      </c>
      <c r="AC178" s="3">
        <f t="shared" si="50"/>
        <v>-7</v>
      </c>
      <c r="AD178" s="9">
        <f t="shared" si="37"/>
        <v>1.012</v>
      </c>
      <c r="AE178" s="16">
        <f t="shared" si="38"/>
        <v>0.48684210526315796</v>
      </c>
      <c r="AF178" s="16">
        <f t="shared" si="39"/>
        <v>1.0277777777777779</v>
      </c>
      <c r="AG178" s="9"/>
      <c r="AH178" s="9"/>
      <c r="AI178" s="12">
        <f t="shared" si="61"/>
        <v>10.4</v>
      </c>
      <c r="AJ178" s="12">
        <f t="shared" si="62"/>
        <v>3.3000000000000003</v>
      </c>
      <c r="AK178" s="12">
        <f t="shared" si="63"/>
        <v>33.1</v>
      </c>
      <c r="AL178" s="12">
        <f t="shared" si="64"/>
        <v>24.3</v>
      </c>
      <c r="AM178" s="12">
        <f t="shared" si="65"/>
        <v>39.200000000000003</v>
      </c>
      <c r="AN178" s="12">
        <f t="shared" si="66"/>
        <v>97.2</v>
      </c>
      <c r="AO178" s="12">
        <f t="shared" si="67"/>
        <v>34.799999999999997</v>
      </c>
      <c r="AP178" s="12">
        <f t="shared" si="68"/>
        <v>56.3</v>
      </c>
      <c r="AQ178" s="12">
        <f t="shared" si="69"/>
        <v>55.2</v>
      </c>
      <c r="AR178" s="12">
        <f t="shared" si="70"/>
        <v>10.4</v>
      </c>
      <c r="AS178" s="12">
        <f t="shared" si="71"/>
        <v>64.600000000000009</v>
      </c>
      <c r="AT178" s="12">
        <f t="shared" si="72"/>
        <v>70.7</v>
      </c>
      <c r="AU178" s="12">
        <f t="shared" si="73"/>
        <v>97.3</v>
      </c>
      <c r="AV178" s="12">
        <f t="shared" si="74"/>
        <v>19.8</v>
      </c>
      <c r="AW178" s="12">
        <f t="shared" si="75"/>
        <v>41.4</v>
      </c>
      <c r="AX178" s="12">
        <f t="shared" si="76"/>
        <v>38.700000000000003</v>
      </c>
      <c r="AY178" s="9"/>
      <c r="AZ178" s="12">
        <f t="shared" si="77"/>
        <v>32.5</v>
      </c>
      <c r="BA178" s="12">
        <f t="shared" si="78"/>
        <v>8.7999999999999989</v>
      </c>
      <c r="BB178" s="12">
        <f t="shared" si="79"/>
        <v>20.9</v>
      </c>
      <c r="BC178" s="12">
        <f t="shared" si="80"/>
        <v>37.5</v>
      </c>
      <c r="BD178" s="12">
        <f t="shared" si="81"/>
        <v>24.3</v>
      </c>
      <c r="BE178" s="12">
        <f t="shared" si="82"/>
        <v>41.4</v>
      </c>
      <c r="BF178" s="12">
        <f t="shared" si="83"/>
        <v>38.6</v>
      </c>
      <c r="BG178" s="12">
        <f t="shared" si="84"/>
        <v>24.3</v>
      </c>
      <c r="BH178" s="12">
        <f t="shared" si="85"/>
        <v>18.2</v>
      </c>
      <c r="BI178" s="12">
        <f t="shared" si="86"/>
        <v>54.6</v>
      </c>
    </row>
    <row r="179" spans="1:61" ht="15.75" customHeight="1">
      <c r="A179" t="s">
        <v>130</v>
      </c>
      <c r="B179" s="3" t="s">
        <v>131</v>
      </c>
      <c r="C179" s="3" t="s">
        <v>85</v>
      </c>
      <c r="D179" s="3">
        <v>4</v>
      </c>
      <c r="E179" s="3">
        <v>118</v>
      </c>
      <c r="F179" s="3">
        <v>4</v>
      </c>
      <c r="G179" s="3">
        <v>118</v>
      </c>
      <c r="H179" s="3">
        <v>16.100000000000001</v>
      </c>
      <c r="I179" s="3">
        <v>0.51700000000000002</v>
      </c>
      <c r="J179" s="3">
        <v>0.45</v>
      </c>
      <c r="K179" s="3">
        <v>0.35</v>
      </c>
      <c r="L179" s="3">
        <v>0.36699999999999999</v>
      </c>
      <c r="M179" s="3">
        <v>3.8</v>
      </c>
      <c r="N179" s="3">
        <v>9.1999999999999993</v>
      </c>
      <c r="O179" s="3">
        <v>12.1</v>
      </c>
      <c r="P179" s="3">
        <v>0.4</v>
      </c>
      <c r="Q179" s="3">
        <v>5.0999999999999996</v>
      </c>
      <c r="R179" s="3">
        <v>10.3</v>
      </c>
      <c r="S179" s="3">
        <v>28.6</v>
      </c>
      <c r="T179" s="3">
        <v>100</v>
      </c>
      <c r="U179" s="3">
        <v>111</v>
      </c>
      <c r="V179" s="3"/>
      <c r="W179" s="3">
        <v>0</v>
      </c>
      <c r="X179" s="3">
        <v>0.1</v>
      </c>
      <c r="Y179" s="3">
        <v>0.1</v>
      </c>
      <c r="Z179" s="3">
        <v>3.3000000000000002E-2</v>
      </c>
      <c r="AA179" s="13">
        <f>(I179/TOTAL_BASIC!$D$301)*100</f>
        <v>92.271830809295992</v>
      </c>
      <c r="AB179" s="5">
        <f t="shared" si="36"/>
        <v>1</v>
      </c>
      <c r="AC179" s="3">
        <f t="shared" si="50"/>
        <v>-11</v>
      </c>
      <c r="AD179" s="9">
        <f t="shared" si="37"/>
        <v>1.034</v>
      </c>
      <c r="AE179" s="16">
        <f t="shared" si="38"/>
        <v>0.42307692307692302</v>
      </c>
      <c r="AF179" s="16">
        <f t="shared" si="39"/>
        <v>1.174757281553398</v>
      </c>
      <c r="AG179" s="9"/>
      <c r="AH179" s="9"/>
      <c r="AI179" s="12">
        <f t="shared" si="61"/>
        <v>0</v>
      </c>
      <c r="AJ179" s="12">
        <f t="shared" si="62"/>
        <v>2.7</v>
      </c>
      <c r="AK179" s="12">
        <f t="shared" si="63"/>
        <v>69</v>
      </c>
      <c r="AL179" s="12">
        <f t="shared" si="64"/>
        <v>32</v>
      </c>
      <c r="AM179" s="12">
        <f t="shared" si="65"/>
        <v>18.2</v>
      </c>
      <c r="AN179" s="12">
        <f t="shared" si="66"/>
        <v>37</v>
      </c>
      <c r="AO179" s="12">
        <f t="shared" si="67"/>
        <v>70.099999999999994</v>
      </c>
      <c r="AP179" s="12">
        <f t="shared" si="68"/>
        <v>42.5</v>
      </c>
      <c r="AQ179" s="12">
        <f t="shared" si="69"/>
        <v>53</v>
      </c>
      <c r="AR179" s="12">
        <f t="shared" si="70"/>
        <v>41.9</v>
      </c>
      <c r="AS179" s="12">
        <f t="shared" si="71"/>
        <v>0.5</v>
      </c>
      <c r="AT179" s="12">
        <f t="shared" si="72"/>
        <v>93.300000000000011</v>
      </c>
      <c r="AU179" s="12">
        <f t="shared" si="73"/>
        <v>87.3</v>
      </c>
      <c r="AV179" s="12">
        <f t="shared" si="74"/>
        <v>95</v>
      </c>
      <c r="AW179" s="12">
        <f t="shared" si="75"/>
        <v>24.8</v>
      </c>
      <c r="AX179" s="12">
        <f t="shared" si="76"/>
        <v>48.699999999999996</v>
      </c>
      <c r="AY179" s="9"/>
      <c r="AZ179" s="12">
        <f t="shared" si="77"/>
        <v>24.8</v>
      </c>
      <c r="BA179" s="12">
        <f t="shared" si="78"/>
        <v>8.7999999999999989</v>
      </c>
      <c r="BB179" s="12">
        <f t="shared" si="79"/>
        <v>13.8</v>
      </c>
      <c r="BC179" s="12">
        <f t="shared" si="80"/>
        <v>27.6</v>
      </c>
      <c r="BD179" s="12">
        <f t="shared" si="81"/>
        <v>32</v>
      </c>
      <c r="BE179" s="12">
        <f t="shared" si="82"/>
        <v>24.8</v>
      </c>
      <c r="BF179" s="12">
        <f t="shared" si="83"/>
        <v>28.1</v>
      </c>
      <c r="BG179" s="12">
        <f t="shared" si="84"/>
        <v>32</v>
      </c>
      <c r="BH179" s="12">
        <f t="shared" si="85"/>
        <v>10.4</v>
      </c>
      <c r="BI179" s="12">
        <f t="shared" si="86"/>
        <v>64.600000000000009</v>
      </c>
    </row>
    <row r="180" spans="1:61" ht="15.75" customHeight="1">
      <c r="A180" t="s">
        <v>286</v>
      </c>
      <c r="B180" s="3" t="s">
        <v>91</v>
      </c>
      <c r="C180" s="3" t="s">
        <v>94</v>
      </c>
      <c r="D180" s="3">
        <v>15</v>
      </c>
      <c r="E180" s="3">
        <v>116</v>
      </c>
      <c r="F180" s="3">
        <v>15</v>
      </c>
      <c r="G180" s="3">
        <v>116</v>
      </c>
      <c r="H180" s="3">
        <v>6.3</v>
      </c>
      <c r="I180" s="3">
        <v>0.46800000000000003</v>
      </c>
      <c r="J180" s="3">
        <v>0.436</v>
      </c>
      <c r="K180" s="3">
        <v>0.59</v>
      </c>
      <c r="L180" s="3">
        <v>0.154</v>
      </c>
      <c r="M180" s="3">
        <v>2</v>
      </c>
      <c r="N180" s="3">
        <v>4.7</v>
      </c>
      <c r="O180" s="3">
        <v>19.8</v>
      </c>
      <c r="P180" s="3">
        <v>0.9</v>
      </c>
      <c r="Q180" s="3">
        <v>0.9</v>
      </c>
      <c r="R180" s="3">
        <v>19.399999999999999</v>
      </c>
      <c r="S180" s="3">
        <v>20.6</v>
      </c>
      <c r="T180" s="3">
        <v>91</v>
      </c>
      <c r="U180" s="3">
        <v>107</v>
      </c>
      <c r="V180" s="3"/>
      <c r="W180" s="3">
        <v>-0.2</v>
      </c>
      <c r="X180" s="3">
        <v>0.2</v>
      </c>
      <c r="Y180" s="3">
        <v>0</v>
      </c>
      <c r="Z180" s="3">
        <v>8.0000000000000002E-3</v>
      </c>
      <c r="AA180" s="13">
        <f>(I180/TOTAL_BASIC!$D$301)*100</f>
        <v>83.526531564314368</v>
      </c>
      <c r="AB180" s="5">
        <f t="shared" si="36"/>
        <v>0.91</v>
      </c>
      <c r="AC180" s="3">
        <f t="shared" si="50"/>
        <v>-16</v>
      </c>
      <c r="AD180" s="9">
        <f t="shared" si="37"/>
        <v>0.93600000000000005</v>
      </c>
      <c r="AE180" s="16">
        <f t="shared" si="38"/>
        <v>0.96116504854368934</v>
      </c>
      <c r="AF180" s="16">
        <f t="shared" si="39"/>
        <v>1.0206185567010311</v>
      </c>
      <c r="AG180" s="9"/>
      <c r="AH180" s="9"/>
      <c r="AI180" s="12">
        <f t="shared" si="61"/>
        <v>7.7</v>
      </c>
      <c r="AJ180" s="12">
        <f t="shared" si="62"/>
        <v>2.1999999999999997</v>
      </c>
      <c r="AK180" s="12">
        <f t="shared" si="63"/>
        <v>4.9000000000000004</v>
      </c>
      <c r="AL180" s="12">
        <f t="shared" si="64"/>
        <v>8.7999999999999989</v>
      </c>
      <c r="AM180" s="12">
        <f t="shared" si="65"/>
        <v>12.7</v>
      </c>
      <c r="AN180" s="12">
        <f t="shared" si="66"/>
        <v>83.899999999999991</v>
      </c>
      <c r="AO180" s="12">
        <f t="shared" si="67"/>
        <v>15.4</v>
      </c>
      <c r="AP180" s="12">
        <f t="shared" si="68"/>
        <v>14.899999999999999</v>
      </c>
      <c r="AQ180" s="12">
        <f t="shared" si="69"/>
        <v>9.3000000000000007</v>
      </c>
      <c r="AR180" s="12">
        <f t="shared" si="70"/>
        <v>75.599999999999994</v>
      </c>
      <c r="AS180" s="12">
        <f t="shared" si="71"/>
        <v>8.2000000000000011</v>
      </c>
      <c r="AT180" s="12">
        <f t="shared" si="72"/>
        <v>35.9</v>
      </c>
      <c r="AU180" s="12">
        <f t="shared" si="73"/>
        <v>17.200000000000003</v>
      </c>
      <c r="AV180" s="12">
        <f t="shared" si="74"/>
        <v>65.7</v>
      </c>
      <c r="AW180" s="12">
        <f t="shared" si="75"/>
        <v>6</v>
      </c>
      <c r="AX180" s="12">
        <f t="shared" si="76"/>
        <v>77.400000000000006</v>
      </c>
      <c r="AY180" s="9"/>
      <c r="AZ180" s="12">
        <f t="shared" si="77"/>
        <v>13.8</v>
      </c>
      <c r="BA180" s="12">
        <f t="shared" si="78"/>
        <v>17.599999999999998</v>
      </c>
      <c r="BB180" s="12">
        <f t="shared" si="79"/>
        <v>9.9</v>
      </c>
      <c r="BC180" s="12">
        <f t="shared" si="80"/>
        <v>12.7</v>
      </c>
      <c r="BD180" s="12">
        <f t="shared" si="81"/>
        <v>8.7999999999999989</v>
      </c>
      <c r="BE180" s="12">
        <f t="shared" si="82"/>
        <v>6</v>
      </c>
      <c r="BF180" s="12">
        <f t="shared" si="83"/>
        <v>13.8</v>
      </c>
      <c r="BG180" s="12">
        <f t="shared" si="84"/>
        <v>8.7999999999999989</v>
      </c>
      <c r="BH180" s="12">
        <f t="shared" si="85"/>
        <v>69.599999999999994</v>
      </c>
      <c r="BI180" s="12">
        <f t="shared" si="86"/>
        <v>53.5</v>
      </c>
    </row>
    <row r="181" spans="1:61" ht="15.75" customHeight="1">
      <c r="A181" t="s">
        <v>287</v>
      </c>
      <c r="B181" s="3" t="s">
        <v>96</v>
      </c>
      <c r="C181" s="3" t="s">
        <v>8</v>
      </c>
      <c r="D181" s="3">
        <v>21</v>
      </c>
      <c r="E181" s="3">
        <v>112</v>
      </c>
      <c r="F181" s="3">
        <v>21</v>
      </c>
      <c r="G181" s="3">
        <v>112</v>
      </c>
      <c r="H181" s="3">
        <v>14.2</v>
      </c>
      <c r="I181" s="3">
        <v>0.55800000000000005</v>
      </c>
      <c r="J181" s="3">
        <v>0.435</v>
      </c>
      <c r="K181" s="3">
        <v>0.26100000000000001</v>
      </c>
      <c r="L181" s="3">
        <v>0.91300000000000003</v>
      </c>
      <c r="M181" s="3">
        <v>7.6</v>
      </c>
      <c r="N181" s="3">
        <v>11.7</v>
      </c>
      <c r="O181" s="3">
        <v>27.1</v>
      </c>
      <c r="P181" s="3">
        <v>1.4</v>
      </c>
      <c r="Q181" s="3">
        <v>2.6</v>
      </c>
      <c r="R181" s="3">
        <v>25.4</v>
      </c>
      <c r="S181" s="3">
        <v>17</v>
      </c>
      <c r="T181" s="3">
        <v>112</v>
      </c>
      <c r="U181" s="3">
        <v>107</v>
      </c>
      <c r="V181" s="3"/>
      <c r="W181" s="3">
        <v>0.2</v>
      </c>
      <c r="X181" s="3">
        <v>0.2</v>
      </c>
      <c r="Y181" s="3">
        <v>0.4</v>
      </c>
      <c r="Z181" s="3">
        <v>0.127</v>
      </c>
      <c r="AA181" s="13">
        <f>(I181/TOTAL_BASIC!$D$301)*100</f>
        <v>99.589326095913293</v>
      </c>
      <c r="AB181" s="5">
        <f t="shared" ref="AB181:AB182" si="87">(T181/100)</f>
        <v>1.1200000000000001</v>
      </c>
      <c r="AC181" s="3">
        <f t="shared" ref="AC181:AC182" si="88">T181-U181</f>
        <v>5</v>
      </c>
      <c r="AD181" s="9">
        <f t="shared" ref="AD181:AD182" si="89">2*I181</f>
        <v>1.1160000000000001</v>
      </c>
      <c r="AE181" s="16">
        <f t="shared" ref="AE181:AE182" si="90">IF(S181=0,0,O181/S181)</f>
        <v>1.5941176470588236</v>
      </c>
      <c r="AF181" s="16">
        <f t="shared" ref="AF181:AF182" si="91">IF(R181=0,0,O181/R181)</f>
        <v>1.0669291338582678</v>
      </c>
      <c r="AG181" s="9"/>
      <c r="AH181" s="9"/>
      <c r="AI181" s="12">
        <f t="shared" ref="AI181:AI182" si="92">(PERCENTRANK(F$3:F$298,F181))*100</f>
        <v>18.2</v>
      </c>
      <c r="AJ181" s="12">
        <f t="shared" ref="AJ181:AJ182" si="93">(PERCENTRANK(G$3:G$298,G181))*100</f>
        <v>1.6</v>
      </c>
      <c r="AK181" s="12">
        <f t="shared" ref="AK181:AK182" si="94">(PERCENTRANK(H$3:H$298,H181))*100</f>
        <v>57.4</v>
      </c>
      <c r="AL181" s="12">
        <f t="shared" ref="AL181:AL182" si="95">(PERCENTRANK(I$3:I$298,I181))*100</f>
        <v>50.2</v>
      </c>
      <c r="AM181" s="12">
        <f t="shared" ref="AM181:AM182" si="96">(PERCENTRANK(J$3:J$298,J181))*100</f>
        <v>11.600000000000001</v>
      </c>
      <c r="AN181" s="12">
        <f t="shared" ref="AN181:AN182" si="97">(PERCENTRANK(K$3:K$298,K181))*100</f>
        <v>23.7</v>
      </c>
      <c r="AO181" s="12">
        <f t="shared" ref="AO181:AO182" si="98">(PERCENTRANK(L$3:L$298,L181))*100</f>
        <v>100</v>
      </c>
      <c r="AP181" s="12">
        <f t="shared" ref="AP181:AP182" si="99">(PERCENTRANK(M$3:M$298,M181))*100</f>
        <v>75.099999999999994</v>
      </c>
      <c r="AQ181" s="12">
        <f t="shared" ref="AQ181:AQ182" si="100">(PERCENTRANK(N$3:N$298,N181))*100</f>
        <v>70.099999999999994</v>
      </c>
      <c r="AR181" s="12">
        <f t="shared" ref="AR181:AR182" si="101">(PERCENTRANK(O$3:O$298,O181))*100</f>
        <v>88.3</v>
      </c>
      <c r="AS181" s="12">
        <f t="shared" ref="AS181:AS182" si="102">(PERCENTRANK(P$3:P$298,P181))*100</f>
        <v>28.1</v>
      </c>
      <c r="AT181" s="12">
        <f t="shared" ref="AT181:AT182" si="103">(PERCENTRANK(Q$3:Q$298,Q181))*100</f>
        <v>76.2</v>
      </c>
      <c r="AU181" s="12">
        <f t="shared" ref="AU181:AU182" si="104">100-(PERCENTRANK(R$3:R$298,R181))*100</f>
        <v>3.4000000000000057</v>
      </c>
      <c r="AV181" s="12">
        <f t="shared" ref="AV181:AV182" si="105">(PERCENTRANK(S$3:S$298,S181))*100</f>
        <v>34.200000000000003</v>
      </c>
      <c r="AW181" s="12">
        <f t="shared" ref="AW181:AW182" si="106">(PERCENTRANK(T$3:T$298,T181))*100</f>
        <v>67.400000000000006</v>
      </c>
      <c r="AX181" s="12">
        <f t="shared" ref="AX181:AX182" si="107">100-(PERCENTRANK(U$3:U$298,U181))*100</f>
        <v>77.400000000000006</v>
      </c>
      <c r="AY181" s="9"/>
      <c r="AZ181" s="12">
        <f t="shared" ref="AZ181:AZ182" si="108">(PERCENTRANK(W$3:W$298,W181))*100</f>
        <v>38.1</v>
      </c>
      <c r="BA181" s="12">
        <f t="shared" ref="BA181:BA182" si="109">(PERCENTRANK(X$3:X$298,X181))*100</f>
        <v>17.599999999999998</v>
      </c>
      <c r="BB181" s="12">
        <f t="shared" ref="BB181:BB182" si="110">(PERCENTRANK(Y$3:Y$298,Y181))*100</f>
        <v>28.7</v>
      </c>
      <c r="BC181" s="12">
        <f t="shared" ref="BC181:BC182" si="111">(PERCENTRANK(Z$3:Z$298,Z181))*100</f>
        <v>74</v>
      </c>
      <c r="BD181" s="12">
        <f t="shared" ref="BD181:BD182" si="112">(PERCENTRANK(AA$3:AA$298,AA181))*100</f>
        <v>50.2</v>
      </c>
      <c r="BE181" s="12">
        <f t="shared" ref="BE181:BE182" si="113">(PERCENTRANK(AB$3:AB$298,AB181))*100</f>
        <v>67.400000000000006</v>
      </c>
      <c r="BF181" s="12">
        <f t="shared" ref="BF181:BF182" si="114">(PERCENTRANK(AC$3:AC$298,AC181))*100</f>
        <v>71.8</v>
      </c>
      <c r="BG181" s="12">
        <f t="shared" ref="BG181:BG182" si="115">(PERCENTRANK(AD$3:AD$298,AD181))*100</f>
        <v>50.2</v>
      </c>
      <c r="BH181" s="12">
        <f t="shared" ref="BH181:BH182" si="116">(PERCENTRANK(AE$3:AE$298,AE181))*100</f>
        <v>95</v>
      </c>
      <c r="BI181" s="12">
        <f t="shared" ref="BI181:BI182" si="117">(PERCENTRANK(AF$3:AF$298,AF181))*100</f>
        <v>60.699999999999996</v>
      </c>
    </row>
    <row r="182" spans="1:61" ht="15.75" customHeight="1">
      <c r="A182" t="s">
        <v>282</v>
      </c>
      <c r="B182" s="3" t="s">
        <v>137</v>
      </c>
      <c r="C182" s="3" t="s">
        <v>85</v>
      </c>
      <c r="D182" s="3">
        <v>16</v>
      </c>
      <c r="E182" s="3">
        <v>110</v>
      </c>
      <c r="F182" s="3">
        <v>16</v>
      </c>
      <c r="G182" s="3">
        <v>110</v>
      </c>
      <c r="H182" s="3">
        <v>13.4</v>
      </c>
      <c r="I182" s="3">
        <v>0.68799999999999994</v>
      </c>
      <c r="J182" s="3">
        <v>0.63900000000000001</v>
      </c>
      <c r="K182" s="3">
        <v>0.55600000000000005</v>
      </c>
      <c r="L182" s="3">
        <v>0.52800000000000002</v>
      </c>
      <c r="M182" s="3">
        <v>9.6999999999999993</v>
      </c>
      <c r="N182" s="3">
        <v>12</v>
      </c>
      <c r="O182" s="3">
        <v>7.3</v>
      </c>
      <c r="P182" s="3">
        <v>0.4</v>
      </c>
      <c r="Q182" s="3">
        <v>1.6</v>
      </c>
      <c r="R182" s="3">
        <v>24</v>
      </c>
      <c r="S182" s="3">
        <v>23.3</v>
      </c>
      <c r="T182" s="3">
        <v>107</v>
      </c>
      <c r="U182" s="3">
        <v>116</v>
      </c>
      <c r="V182" s="3"/>
      <c r="W182" s="3">
        <v>0.1</v>
      </c>
      <c r="X182" s="3">
        <v>0</v>
      </c>
      <c r="Y182" s="3">
        <v>0.2</v>
      </c>
      <c r="Z182" s="3">
        <v>5.7000000000000002E-2</v>
      </c>
      <c r="AA182" s="13">
        <f>(I182/TOTAL_BASIC!$D$301)*100</f>
        <v>122.79114041933393</v>
      </c>
      <c r="AB182" s="5">
        <f t="shared" si="87"/>
        <v>1.07</v>
      </c>
      <c r="AC182" s="3">
        <f t="shared" si="88"/>
        <v>-9</v>
      </c>
      <c r="AD182" s="9">
        <f t="shared" si="89"/>
        <v>1.3759999999999999</v>
      </c>
      <c r="AE182" s="16">
        <f t="shared" si="90"/>
        <v>0.31330472103004292</v>
      </c>
      <c r="AF182" s="16">
        <f t="shared" si="91"/>
        <v>0.30416666666666664</v>
      </c>
      <c r="AG182" s="9"/>
      <c r="AH182" s="9"/>
      <c r="AI182" s="12">
        <f t="shared" si="92"/>
        <v>8.2000000000000011</v>
      </c>
      <c r="AJ182" s="12">
        <f t="shared" si="93"/>
        <v>1.0999999999999999</v>
      </c>
      <c r="AK182" s="12">
        <f t="shared" si="94"/>
        <v>52.400000000000006</v>
      </c>
      <c r="AL182" s="12">
        <f t="shared" si="95"/>
        <v>99.4</v>
      </c>
      <c r="AM182" s="12">
        <f t="shared" si="96"/>
        <v>98.3</v>
      </c>
      <c r="AN182" s="12">
        <f t="shared" si="97"/>
        <v>81.2</v>
      </c>
      <c r="AO182" s="12">
        <f t="shared" si="98"/>
        <v>93.899999999999991</v>
      </c>
      <c r="AP182" s="12">
        <f t="shared" si="99"/>
        <v>88.9</v>
      </c>
      <c r="AQ182" s="12">
        <f t="shared" si="100"/>
        <v>72.3</v>
      </c>
      <c r="AR182" s="12">
        <f t="shared" si="101"/>
        <v>9.9</v>
      </c>
      <c r="AS182" s="12">
        <f t="shared" si="102"/>
        <v>0.5</v>
      </c>
      <c r="AT182" s="12">
        <f t="shared" si="103"/>
        <v>60.199999999999996</v>
      </c>
      <c r="AU182" s="12">
        <f t="shared" si="104"/>
        <v>4.5</v>
      </c>
      <c r="AV182" s="12">
        <f t="shared" si="105"/>
        <v>77.3</v>
      </c>
      <c r="AW182" s="12">
        <f t="shared" si="106"/>
        <v>50.2</v>
      </c>
      <c r="AX182" s="12">
        <f t="shared" si="107"/>
        <v>14.400000000000006</v>
      </c>
      <c r="AY182" s="9"/>
      <c r="AZ182" s="12">
        <f t="shared" si="108"/>
        <v>32.5</v>
      </c>
      <c r="BA182" s="12">
        <f t="shared" si="109"/>
        <v>4.3999999999999995</v>
      </c>
      <c r="BB182" s="12">
        <f t="shared" si="110"/>
        <v>20.9</v>
      </c>
      <c r="BC182" s="12">
        <f t="shared" si="111"/>
        <v>39.700000000000003</v>
      </c>
      <c r="BD182" s="12">
        <f t="shared" si="112"/>
        <v>99.4</v>
      </c>
      <c r="BE182" s="12">
        <f t="shared" si="113"/>
        <v>50.2</v>
      </c>
      <c r="BF182" s="12">
        <f t="shared" si="114"/>
        <v>34.200000000000003</v>
      </c>
      <c r="BG182" s="12">
        <f t="shared" si="115"/>
        <v>99.4</v>
      </c>
      <c r="BH182" s="12">
        <f t="shared" si="116"/>
        <v>2.1999999999999997</v>
      </c>
      <c r="BI182" s="12">
        <f t="shared" si="117"/>
        <v>1.6</v>
      </c>
    </row>
    <row r="183" spans="1:61" ht="15.75" customHeight="1">
      <c r="A183" t="s">
        <v>288</v>
      </c>
      <c r="B183" s="3" t="s">
        <v>114</v>
      </c>
      <c r="C183" s="3" t="s">
        <v>94</v>
      </c>
      <c r="D183" s="3">
        <v>14</v>
      </c>
      <c r="E183" s="3">
        <v>104</v>
      </c>
      <c r="F183" s="3">
        <v>14</v>
      </c>
      <c r="G183" s="3">
        <v>104</v>
      </c>
      <c r="H183" s="3">
        <v>7.8</v>
      </c>
      <c r="I183" s="3">
        <v>0.43</v>
      </c>
      <c r="J183" s="3">
        <v>0.36099999999999999</v>
      </c>
      <c r="K183" s="3">
        <v>0.55600000000000005</v>
      </c>
      <c r="L183" s="3">
        <v>0.222</v>
      </c>
      <c r="M183" s="3">
        <v>13.1</v>
      </c>
      <c r="N183" s="3">
        <v>12.1</v>
      </c>
      <c r="O183" s="3">
        <v>5.6</v>
      </c>
      <c r="P183" s="3">
        <v>1</v>
      </c>
      <c r="Q183" s="3">
        <v>0</v>
      </c>
      <c r="R183" s="3">
        <v>9.1999999999999993</v>
      </c>
      <c r="S183" s="3">
        <v>9.1</v>
      </c>
      <c r="T183" s="3">
        <v>112</v>
      </c>
      <c r="U183" s="3">
        <v>115</v>
      </c>
      <c r="V183" s="3"/>
      <c r="W183" s="3">
        <v>0.1</v>
      </c>
      <c r="X183" s="3">
        <v>0</v>
      </c>
      <c r="Y183" s="3">
        <v>0.1</v>
      </c>
      <c r="Z183" s="3">
        <v>4.8000000000000001E-2</v>
      </c>
      <c r="AA183" s="13">
        <f>(I183/TOTAL_BASIC!$D$301)*100</f>
        <v>76.744462762083714</v>
      </c>
      <c r="AB183" s="5">
        <f t="shared" ref="AB183:AB184" si="118">(T183/100)</f>
        <v>1.1200000000000001</v>
      </c>
      <c r="AC183" s="3">
        <f t="shared" ref="AC183:AC184" si="119">T183-U183</f>
        <v>-3</v>
      </c>
      <c r="AD183" s="9">
        <f t="shared" ref="AD183:AD184" si="120">2*I183</f>
        <v>0.86</v>
      </c>
      <c r="AE183" s="16">
        <f t="shared" ref="AE183:AE184" si="121">IF(S183=0,0,O183/S183)</f>
        <v>0.61538461538461542</v>
      </c>
      <c r="AF183" s="16">
        <f t="shared" ref="AF183:AF184" si="122">IF(R183=0,0,O183/R183)</f>
        <v>0.60869565217391308</v>
      </c>
      <c r="AG183" s="9"/>
      <c r="AH183" s="9"/>
      <c r="AI183" s="12">
        <f t="shared" ref="AI183:AI184" si="123">(PERCENTRANK(F$3:F$298,F183))*100</f>
        <v>6</v>
      </c>
      <c r="AJ183" s="12">
        <f t="shared" ref="AJ183:AJ184" si="124">(PERCENTRANK(G$3:G$298,G183))*100</f>
        <v>0.5</v>
      </c>
      <c r="AK183" s="12">
        <f t="shared" ref="AK183:AK184" si="125">(PERCENTRANK(H$3:H$298,H183))*100</f>
        <v>9.9</v>
      </c>
      <c r="AL183" s="12">
        <f t="shared" ref="AL183:AL184" si="126">(PERCENTRANK(I$3:I$298,I183))*100</f>
        <v>3.8</v>
      </c>
      <c r="AM183" s="12">
        <f t="shared" ref="AM183:AM184" si="127">(PERCENTRANK(J$3:J$298,J183))*100</f>
        <v>0.5</v>
      </c>
      <c r="AN183" s="12">
        <f t="shared" ref="AN183:AN184" si="128">(PERCENTRANK(K$3:K$298,K183))*100</f>
        <v>81.2</v>
      </c>
      <c r="AO183" s="12">
        <f t="shared" ref="AO183:AO184" si="129">(PERCENTRANK(L$3:L$298,L183))*100</f>
        <v>30.9</v>
      </c>
      <c r="AP183" s="12">
        <f t="shared" ref="AP183:AP184" si="130">(PERCENTRANK(M$3:M$298,M183))*100</f>
        <v>96.1</v>
      </c>
      <c r="AQ183" s="12">
        <f t="shared" ref="AQ183:AQ184" si="131">(PERCENTRANK(N$3:N$298,N183))*100</f>
        <v>74</v>
      </c>
      <c r="AR183" s="12">
        <f t="shared" ref="AR183:AR184" si="132">(PERCENTRANK(O$3:O$298,O183))*100</f>
        <v>3.3000000000000003</v>
      </c>
      <c r="AS183" s="12">
        <f t="shared" ref="AS183:AS184" si="133">(PERCENTRANK(P$3:P$298,P183))*100</f>
        <v>11</v>
      </c>
      <c r="AT183" s="12">
        <f t="shared" ref="AT183:AT184" si="134">(PERCENTRANK(Q$3:Q$298,Q183))*100</f>
        <v>0</v>
      </c>
      <c r="AU183" s="12">
        <f t="shared" ref="AU183:AU184" si="135">100-(PERCENTRANK(R$3:R$298,R183))*100</f>
        <v>89.6</v>
      </c>
      <c r="AV183" s="12">
        <f t="shared" ref="AV183:AV184" si="136">(PERCENTRANK(S$3:S$298,S183))*100</f>
        <v>1.0999999999999999</v>
      </c>
      <c r="AW183" s="12">
        <f t="shared" ref="AW183:AW184" si="137">(PERCENTRANK(T$3:T$298,T183))*100</f>
        <v>67.400000000000006</v>
      </c>
      <c r="AX183" s="12">
        <f t="shared" ref="AX183:AX184" si="138">100-(PERCENTRANK(U$3:U$298,U183))*100</f>
        <v>19.399999999999991</v>
      </c>
      <c r="AY183" s="9"/>
      <c r="AZ183" s="12">
        <f t="shared" ref="AZ183:AZ184" si="139">(PERCENTRANK(W$3:W$298,W183))*100</f>
        <v>32.5</v>
      </c>
      <c r="BA183" s="12">
        <f t="shared" ref="BA183:BA184" si="140">(PERCENTRANK(X$3:X$298,X183))*100</f>
        <v>4.3999999999999995</v>
      </c>
      <c r="BB183" s="12">
        <f t="shared" ref="BB183:BB184" si="141">(PERCENTRANK(Y$3:Y$298,Y183))*100</f>
        <v>13.8</v>
      </c>
      <c r="BC183" s="12">
        <f t="shared" ref="BC183:BC184" si="142">(PERCENTRANK(Z$3:Z$298,Z183))*100</f>
        <v>34.799999999999997</v>
      </c>
      <c r="BD183" s="12">
        <f t="shared" ref="BD183:BD184" si="143">(PERCENTRANK(AA$3:AA$298,AA183))*100</f>
        <v>3.8</v>
      </c>
      <c r="BE183" s="12">
        <f t="shared" ref="BE183:BE184" si="144">(PERCENTRANK(AB$3:AB$298,AB183))*100</f>
        <v>67.400000000000006</v>
      </c>
      <c r="BF183" s="12">
        <f t="shared" ref="BF183:BF184" si="145">(PERCENTRANK(AC$3:AC$298,AC183))*100</f>
        <v>50.8</v>
      </c>
      <c r="BG183" s="12">
        <f t="shared" ref="BG183:BG184" si="146">(PERCENTRANK(AD$3:AD$298,AD183))*100</f>
        <v>3.8</v>
      </c>
      <c r="BH183" s="12">
        <f t="shared" ref="BH183:BH184" si="147">(PERCENTRANK(AE$3:AE$298,AE183))*100</f>
        <v>36.4</v>
      </c>
      <c r="BI183" s="12">
        <f t="shared" ref="BI183:BI184" si="148">(PERCENTRANK(AF$3:AF$298,AF183))*100</f>
        <v>18.7</v>
      </c>
    </row>
    <row r="184" spans="1:61" ht="15.75" customHeight="1">
      <c r="A184" t="s">
        <v>283</v>
      </c>
      <c r="B184" s="3" t="s">
        <v>240</v>
      </c>
      <c r="C184" s="3" t="s">
        <v>8</v>
      </c>
      <c r="D184" s="3">
        <v>17</v>
      </c>
      <c r="E184" s="3">
        <v>100</v>
      </c>
      <c r="F184" s="3">
        <v>17</v>
      </c>
      <c r="G184" s="3">
        <v>100</v>
      </c>
      <c r="H184" s="3">
        <v>11</v>
      </c>
      <c r="I184" s="3">
        <v>0.56000000000000005</v>
      </c>
      <c r="J184" s="3">
        <v>0.435</v>
      </c>
      <c r="K184" s="3">
        <v>0.28999999999999998</v>
      </c>
      <c r="L184" s="3">
        <v>0.871</v>
      </c>
      <c r="M184" s="3">
        <v>4.8</v>
      </c>
      <c r="N184" s="3">
        <v>9</v>
      </c>
      <c r="O184" s="3">
        <v>10.4</v>
      </c>
      <c r="P184" s="3">
        <v>0.5</v>
      </c>
      <c r="Q184" s="3">
        <v>0.9</v>
      </c>
      <c r="R184" s="3">
        <v>20.399999999999999</v>
      </c>
      <c r="S184" s="3">
        <v>24</v>
      </c>
      <c r="T184" s="3">
        <v>100</v>
      </c>
      <c r="U184" s="3">
        <v>115</v>
      </c>
      <c r="V184" s="3"/>
      <c r="W184" s="3">
        <v>0</v>
      </c>
      <c r="X184" s="3">
        <v>0</v>
      </c>
      <c r="Y184" s="3">
        <v>0</v>
      </c>
      <c r="Z184" s="3">
        <v>1.4E-2</v>
      </c>
      <c r="AA184" s="13">
        <f>(I184/TOTAL_BASIC!$D$301)*100</f>
        <v>99.946277085504377</v>
      </c>
      <c r="AB184" s="5">
        <f t="shared" si="118"/>
        <v>1</v>
      </c>
      <c r="AC184" s="3">
        <f t="shared" si="119"/>
        <v>-15</v>
      </c>
      <c r="AD184" s="9">
        <f t="shared" si="120"/>
        <v>1.1200000000000001</v>
      </c>
      <c r="AE184" s="16">
        <f t="shared" si="121"/>
        <v>0.43333333333333335</v>
      </c>
      <c r="AF184" s="16">
        <f t="shared" si="122"/>
        <v>0.50980392156862753</v>
      </c>
      <c r="AG184" s="9"/>
      <c r="AH184" s="9"/>
      <c r="AI184" s="12">
        <f t="shared" si="123"/>
        <v>10.4</v>
      </c>
      <c r="AJ184" s="12">
        <f t="shared" si="124"/>
        <v>0</v>
      </c>
      <c r="AK184" s="12">
        <f t="shared" si="125"/>
        <v>38.1</v>
      </c>
      <c r="AL184" s="12">
        <f t="shared" si="126"/>
        <v>53</v>
      </c>
      <c r="AM184" s="12">
        <f t="shared" si="127"/>
        <v>11.600000000000001</v>
      </c>
      <c r="AN184" s="12">
        <f t="shared" si="128"/>
        <v>28.1</v>
      </c>
      <c r="AO184" s="12">
        <f t="shared" si="129"/>
        <v>99.4</v>
      </c>
      <c r="AP184" s="12">
        <f t="shared" si="130"/>
        <v>53.5</v>
      </c>
      <c r="AQ184" s="12">
        <f t="shared" si="131"/>
        <v>49.1</v>
      </c>
      <c r="AR184" s="12">
        <f t="shared" si="132"/>
        <v>29.799999999999997</v>
      </c>
      <c r="AS184" s="12">
        <f t="shared" si="133"/>
        <v>1.6</v>
      </c>
      <c r="AT184" s="12">
        <f t="shared" si="134"/>
        <v>35.9</v>
      </c>
      <c r="AU184" s="12">
        <f t="shared" si="135"/>
        <v>11.700000000000003</v>
      </c>
      <c r="AV184" s="12">
        <f t="shared" si="136"/>
        <v>80.100000000000009</v>
      </c>
      <c r="AW184" s="12">
        <f t="shared" si="137"/>
        <v>24.8</v>
      </c>
      <c r="AX184" s="12">
        <f t="shared" si="138"/>
        <v>19.399999999999991</v>
      </c>
      <c r="AY184" s="9"/>
      <c r="AZ184" s="12">
        <f t="shared" si="139"/>
        <v>24.8</v>
      </c>
      <c r="BA184" s="12">
        <f t="shared" si="140"/>
        <v>4.3999999999999995</v>
      </c>
      <c r="BB184" s="12">
        <f t="shared" si="141"/>
        <v>9.9</v>
      </c>
      <c r="BC184" s="12">
        <f t="shared" si="142"/>
        <v>16.5</v>
      </c>
      <c r="BD184" s="12">
        <f t="shared" si="143"/>
        <v>53</v>
      </c>
      <c r="BE184" s="12">
        <f t="shared" si="144"/>
        <v>24.8</v>
      </c>
      <c r="BF184" s="12">
        <f t="shared" si="145"/>
        <v>17.599999999999998</v>
      </c>
      <c r="BG184" s="12">
        <f t="shared" si="146"/>
        <v>53</v>
      </c>
      <c r="BH184" s="12">
        <f t="shared" si="147"/>
        <v>12.1</v>
      </c>
      <c r="BI184" s="12">
        <f t="shared" si="148"/>
        <v>12.1</v>
      </c>
    </row>
    <row r="185" spans="1:61" ht="15.75" customHeight="1"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13"/>
      <c r="AB185" s="5"/>
      <c r="AC185" s="3"/>
      <c r="AD185" s="9"/>
      <c r="AE185" s="16"/>
      <c r="AF185" s="16"/>
      <c r="AG185" s="9"/>
      <c r="AH185" s="9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9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</row>
    <row r="186" spans="1:61" ht="15.75" customHeight="1"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13"/>
      <c r="AB186" s="5"/>
      <c r="AC186" s="3"/>
      <c r="AD186" s="9"/>
      <c r="AE186" s="16"/>
      <c r="AF186" s="16"/>
      <c r="AG186" s="9"/>
      <c r="AH186" s="9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9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</row>
    <row r="187" spans="1:61" ht="15.75" customHeight="1"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13"/>
      <c r="AB187" s="5"/>
      <c r="AC187" s="3"/>
      <c r="AD187" s="9"/>
      <c r="AE187" s="16"/>
      <c r="AF187" s="16"/>
      <c r="AG187" s="9"/>
      <c r="AH187" s="9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9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</row>
    <row r="188" spans="1:61" ht="15.75" customHeight="1"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13"/>
      <c r="AB188" s="5"/>
      <c r="AC188" s="3"/>
      <c r="AD188" s="9"/>
      <c r="AE188" s="16"/>
      <c r="AF188" s="16"/>
      <c r="AG188" s="9"/>
      <c r="AH188" s="9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9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</row>
    <row r="189" spans="1:61" ht="15.75" customHeight="1"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13"/>
      <c r="AB189" s="5"/>
      <c r="AC189" s="3"/>
      <c r="AD189" s="9"/>
      <c r="AE189" s="16"/>
      <c r="AF189" s="16"/>
      <c r="AG189" s="9"/>
      <c r="AH189" s="9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9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</row>
    <row r="190" spans="1:61" ht="15.75" customHeight="1"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13"/>
      <c r="AB190" s="5"/>
      <c r="AC190" s="3"/>
      <c r="AD190" s="9"/>
      <c r="AE190" s="16"/>
      <c r="AF190" s="16"/>
      <c r="AG190" s="9"/>
      <c r="AH190" s="9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9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</row>
    <row r="191" spans="1:61" ht="15.75" customHeight="1"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13"/>
      <c r="AB191" s="5"/>
      <c r="AC191" s="3"/>
      <c r="AD191" s="9"/>
      <c r="AE191" s="16"/>
      <c r="AF191" s="16"/>
      <c r="AG191" s="9"/>
      <c r="AH191" s="9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9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</row>
    <row r="192" spans="1:61" ht="15.75" customHeight="1"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13"/>
      <c r="AB192" s="5"/>
      <c r="AC192" s="3"/>
      <c r="AD192" s="9"/>
      <c r="AE192" s="16"/>
      <c r="AF192" s="16"/>
      <c r="AG192" s="9"/>
      <c r="AH192" s="9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9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</row>
    <row r="193" spans="2:61" ht="15.75" customHeight="1"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13"/>
      <c r="AB193" s="5"/>
      <c r="AC193" s="3"/>
      <c r="AD193" s="9"/>
      <c r="AE193" s="16"/>
      <c r="AF193" s="16"/>
      <c r="AG193" s="9"/>
      <c r="AH193" s="9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9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</row>
    <row r="194" spans="2:61" ht="15.75" customHeight="1"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13"/>
      <c r="AB194" s="5"/>
      <c r="AC194" s="3"/>
      <c r="AD194" s="9"/>
      <c r="AE194" s="16"/>
      <c r="AF194" s="16"/>
      <c r="AG194" s="9"/>
      <c r="AH194" s="9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9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</row>
    <row r="195" spans="2:61" ht="15.75" customHeight="1"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13"/>
      <c r="AB195" s="5"/>
      <c r="AC195" s="3"/>
      <c r="AD195" s="9"/>
      <c r="AE195" s="16"/>
      <c r="AF195" s="16"/>
      <c r="AG195" s="9"/>
      <c r="AH195" s="9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9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</row>
    <row r="196" spans="2:61" ht="15.75" customHeight="1"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13"/>
      <c r="AB196" s="5"/>
      <c r="AC196" s="3"/>
      <c r="AD196" s="9"/>
      <c r="AE196" s="16"/>
      <c r="AF196" s="16"/>
      <c r="AG196" s="9"/>
      <c r="AH196" s="9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9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</row>
    <row r="197" spans="2:61" ht="15.75" customHeight="1"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13"/>
      <c r="AB197" s="5"/>
      <c r="AC197" s="3"/>
      <c r="AD197" s="9"/>
      <c r="AE197" s="16"/>
      <c r="AF197" s="16"/>
      <c r="AG197" s="9"/>
      <c r="AH197" s="9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9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</row>
    <row r="198" spans="2:61" ht="15.75" customHeight="1"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13"/>
      <c r="AB198" s="5"/>
      <c r="AC198" s="3"/>
      <c r="AD198" s="9"/>
      <c r="AE198" s="16"/>
      <c r="AF198" s="16"/>
      <c r="AG198" s="9"/>
      <c r="AH198" s="9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9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</row>
    <row r="199" spans="2:61" ht="15.75" customHeight="1"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13"/>
      <c r="AB199" s="5"/>
      <c r="AC199" s="3"/>
      <c r="AD199" s="9"/>
      <c r="AE199" s="16"/>
      <c r="AF199" s="16"/>
      <c r="AG199" s="9"/>
      <c r="AH199" s="9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9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</row>
    <row r="200" spans="2:61" ht="15.75" customHeight="1"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13"/>
      <c r="AB200" s="5"/>
      <c r="AC200" s="3"/>
      <c r="AD200" s="9"/>
      <c r="AE200" s="16"/>
      <c r="AF200" s="16"/>
      <c r="AG200" s="9"/>
      <c r="AH200" s="9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9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</row>
    <row r="201" spans="2:61" ht="15.75" customHeight="1"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13"/>
      <c r="AB201" s="5"/>
      <c r="AC201" s="3"/>
      <c r="AD201" s="9"/>
      <c r="AE201" s="16"/>
      <c r="AF201" s="16"/>
      <c r="AG201" s="9"/>
      <c r="AH201" s="9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9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</row>
    <row r="202" spans="2:61" ht="15.75" customHeight="1"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13"/>
      <c r="AB202" s="5"/>
      <c r="AC202" s="3"/>
      <c r="AD202" s="9"/>
      <c r="AE202" s="16"/>
      <c r="AF202" s="16"/>
      <c r="AG202" s="9"/>
      <c r="AH202" s="9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9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</row>
    <row r="203" spans="2:61" ht="15.75" customHeight="1"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13"/>
      <c r="AB203" s="5"/>
      <c r="AC203" s="3"/>
      <c r="AD203" s="9"/>
      <c r="AE203" s="16"/>
      <c r="AF203" s="16"/>
      <c r="AG203" s="9"/>
      <c r="AH203" s="9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9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</row>
    <row r="204" spans="2:61" ht="15.75" customHeight="1"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13"/>
      <c r="AB204" s="5"/>
      <c r="AC204" s="3"/>
      <c r="AD204" s="9"/>
      <c r="AE204" s="16"/>
      <c r="AF204" s="16"/>
      <c r="AG204" s="9"/>
      <c r="AH204" s="9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9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</row>
    <row r="205" spans="2:61" ht="15.75" customHeight="1"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13"/>
      <c r="AB205" s="5"/>
      <c r="AC205" s="3"/>
      <c r="AD205" s="9"/>
      <c r="AE205" s="16"/>
      <c r="AF205" s="16"/>
      <c r="AG205" s="9"/>
      <c r="AH205" s="9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9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</row>
    <row r="206" spans="2:61" ht="15.75" customHeight="1"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13"/>
      <c r="AB206" s="5"/>
      <c r="AC206" s="3"/>
      <c r="AD206" s="9"/>
      <c r="AE206" s="16"/>
      <c r="AF206" s="16"/>
      <c r="AG206" s="9"/>
      <c r="AH206" s="9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9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</row>
    <row r="207" spans="2:61" ht="15.75" customHeight="1"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13"/>
      <c r="AB207" s="5"/>
      <c r="AC207" s="3"/>
      <c r="AD207" s="9"/>
      <c r="AE207" s="16"/>
      <c r="AF207" s="16"/>
      <c r="AG207" s="9"/>
      <c r="AH207" s="9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9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</row>
    <row r="208" spans="2:61" ht="15.75" customHeight="1"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13"/>
      <c r="AB208" s="5"/>
      <c r="AC208" s="3"/>
      <c r="AD208" s="9"/>
      <c r="AE208" s="16"/>
      <c r="AF208" s="16"/>
      <c r="AG208" s="9"/>
      <c r="AH208" s="9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9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</row>
    <row r="209" spans="2:61" ht="15.75" customHeight="1"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13"/>
      <c r="AB209" s="5"/>
      <c r="AC209" s="3"/>
      <c r="AD209" s="9"/>
      <c r="AE209" s="16"/>
      <c r="AF209" s="16"/>
      <c r="AG209" s="9"/>
      <c r="AH209" s="9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9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</row>
    <row r="210" spans="2:61" ht="15.75" customHeight="1"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13"/>
      <c r="AB210" s="5"/>
      <c r="AC210" s="3"/>
      <c r="AD210" s="9"/>
      <c r="AE210" s="16"/>
      <c r="AF210" s="16"/>
      <c r="AG210" s="9"/>
      <c r="AH210" s="9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9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</row>
    <row r="211" spans="2:61" ht="15.75" customHeight="1"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13"/>
      <c r="AB211" s="5"/>
      <c r="AC211" s="3"/>
      <c r="AD211" s="9"/>
      <c r="AE211" s="16"/>
      <c r="AF211" s="16"/>
      <c r="AG211" s="9"/>
      <c r="AH211" s="9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9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</row>
    <row r="212" spans="2:61" ht="15.75" customHeight="1"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13"/>
      <c r="AB212" s="5"/>
      <c r="AC212" s="3"/>
      <c r="AD212" s="9"/>
      <c r="AE212" s="16"/>
      <c r="AF212" s="16"/>
      <c r="AG212" s="9"/>
      <c r="AH212" s="9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9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</row>
    <row r="213" spans="2:61" ht="15.75" customHeight="1"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13"/>
      <c r="AB213" s="5"/>
      <c r="AC213" s="3"/>
      <c r="AD213" s="9"/>
      <c r="AE213" s="16"/>
      <c r="AF213" s="16"/>
      <c r="AG213" s="9"/>
      <c r="AH213" s="9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9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</row>
    <row r="214" spans="2:61" ht="15.75" customHeight="1"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13"/>
      <c r="AB214" s="5"/>
      <c r="AC214" s="3"/>
      <c r="AD214" s="9"/>
      <c r="AE214" s="16"/>
      <c r="AF214" s="16"/>
      <c r="AG214" s="9"/>
      <c r="AH214" s="9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9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</row>
    <row r="215" spans="2:61" ht="15.75" customHeight="1"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13"/>
      <c r="AB215" s="5"/>
      <c r="AC215" s="3"/>
      <c r="AD215" s="9"/>
      <c r="AE215" s="16"/>
      <c r="AF215" s="16"/>
      <c r="AG215" s="9"/>
      <c r="AH215" s="9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9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</row>
    <row r="216" spans="2:61" ht="15.75" customHeight="1"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13"/>
      <c r="AB216" s="5"/>
      <c r="AC216" s="3"/>
      <c r="AD216" s="9"/>
      <c r="AE216" s="16"/>
      <c r="AF216" s="16"/>
      <c r="AG216" s="9"/>
      <c r="AH216" s="9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9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</row>
    <row r="217" spans="2:61" ht="15.75" customHeight="1"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13"/>
      <c r="AB217" s="5"/>
      <c r="AC217" s="3"/>
      <c r="AD217" s="9"/>
      <c r="AE217" s="16"/>
      <c r="AF217" s="16"/>
      <c r="AG217" s="9"/>
      <c r="AH217" s="9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9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</row>
    <row r="218" spans="2:61" ht="15.75" customHeight="1"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13"/>
      <c r="AB218" s="5"/>
      <c r="AC218" s="3"/>
      <c r="AD218" s="9"/>
      <c r="AE218" s="16"/>
      <c r="AF218" s="16"/>
      <c r="AG218" s="9"/>
      <c r="AH218" s="9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9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</row>
    <row r="219" spans="2:61" ht="15.75" customHeight="1"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13"/>
      <c r="AB219" s="5"/>
      <c r="AC219" s="3"/>
      <c r="AD219" s="9"/>
      <c r="AE219" s="16"/>
      <c r="AF219" s="16"/>
      <c r="AG219" s="9"/>
      <c r="AH219" s="9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9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</row>
    <row r="220" spans="2:61" ht="15.75" customHeight="1"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13"/>
      <c r="AB220" s="5"/>
      <c r="AC220" s="3"/>
      <c r="AD220" s="9"/>
      <c r="AE220" s="16"/>
      <c r="AF220" s="16"/>
      <c r="AG220" s="9"/>
      <c r="AH220" s="9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9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</row>
    <row r="221" spans="2:61" ht="15.75" customHeight="1"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13"/>
      <c r="AB221" s="5"/>
      <c r="AC221" s="3"/>
      <c r="AD221" s="9"/>
      <c r="AE221" s="16"/>
      <c r="AF221" s="16"/>
      <c r="AG221" s="9"/>
      <c r="AH221" s="9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9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</row>
    <row r="222" spans="2:61" ht="15.75" customHeight="1"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13"/>
      <c r="AB222" s="5"/>
      <c r="AC222" s="3"/>
      <c r="AD222" s="9"/>
      <c r="AE222" s="16"/>
      <c r="AF222" s="16"/>
      <c r="AG222" s="9"/>
      <c r="AH222" s="9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9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</row>
    <row r="223" spans="2:61" ht="15.75" customHeight="1"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13"/>
      <c r="AB223" s="5"/>
      <c r="AC223" s="3"/>
      <c r="AD223" s="9"/>
      <c r="AE223" s="16"/>
      <c r="AF223" s="16"/>
      <c r="AG223" s="9"/>
      <c r="AH223" s="9"/>
      <c r="AI223" s="12"/>
      <c r="AJ223" s="12"/>
      <c r="AK223" s="12"/>
      <c r="AL223" s="12"/>
      <c r="AM223" s="12"/>
      <c r="AN223" s="12"/>
      <c r="AO223" s="12"/>
      <c r="AP223" s="12"/>
      <c r="AQ223" s="12"/>
      <c r="AR223" s="12"/>
      <c r="AS223" s="12"/>
      <c r="AT223" s="12"/>
      <c r="AU223" s="12"/>
      <c r="AV223" s="12"/>
      <c r="AW223" s="12"/>
      <c r="AX223" s="12"/>
      <c r="AY223" s="9"/>
      <c r="AZ223" s="12"/>
      <c r="BA223" s="12"/>
      <c r="BB223" s="12"/>
      <c r="BC223" s="12"/>
      <c r="BD223" s="12"/>
      <c r="BE223" s="12"/>
      <c r="BF223" s="12"/>
      <c r="BG223" s="12"/>
      <c r="BH223" s="12"/>
      <c r="BI223" s="12"/>
    </row>
    <row r="224" spans="2:61" ht="15.75" customHeight="1"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13"/>
      <c r="AB224" s="5"/>
      <c r="AC224" s="3"/>
      <c r="AD224" s="9"/>
      <c r="AE224" s="16"/>
      <c r="AF224" s="16"/>
      <c r="AG224" s="9"/>
      <c r="AH224" s="9"/>
      <c r="AI224" s="12"/>
      <c r="AJ224" s="12"/>
      <c r="AK224" s="12"/>
      <c r="AL224" s="12"/>
      <c r="AM224" s="12"/>
      <c r="AN224" s="12"/>
      <c r="AO224" s="12"/>
      <c r="AP224" s="12"/>
      <c r="AQ224" s="12"/>
      <c r="AR224" s="12"/>
      <c r="AS224" s="12"/>
      <c r="AT224" s="12"/>
      <c r="AU224" s="12"/>
      <c r="AV224" s="12"/>
      <c r="AW224" s="12"/>
      <c r="AX224" s="12"/>
      <c r="AY224" s="9"/>
      <c r="AZ224" s="12"/>
      <c r="BA224" s="12"/>
      <c r="BB224" s="12"/>
      <c r="BC224" s="12"/>
      <c r="BD224" s="12"/>
      <c r="BE224" s="12"/>
      <c r="BF224" s="12"/>
      <c r="BG224" s="12"/>
      <c r="BH224" s="12"/>
      <c r="BI224" s="12"/>
    </row>
    <row r="225" spans="2:61" ht="15.75" customHeight="1"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13"/>
      <c r="AB225" s="5"/>
      <c r="AC225" s="3"/>
      <c r="AD225" s="9"/>
      <c r="AE225" s="16"/>
      <c r="AF225" s="16"/>
      <c r="AG225" s="9"/>
      <c r="AH225" s="9"/>
      <c r="AI225" s="12"/>
      <c r="AJ225" s="12"/>
      <c r="AK225" s="12"/>
      <c r="AL225" s="12"/>
      <c r="AM225" s="12"/>
      <c r="AN225" s="12"/>
      <c r="AO225" s="12"/>
      <c r="AP225" s="12"/>
      <c r="AQ225" s="12"/>
      <c r="AR225" s="12"/>
      <c r="AS225" s="12"/>
      <c r="AT225" s="12"/>
      <c r="AU225" s="12"/>
      <c r="AV225" s="12"/>
      <c r="AW225" s="12"/>
      <c r="AX225" s="12"/>
      <c r="AY225" s="9"/>
      <c r="AZ225" s="12"/>
      <c r="BA225" s="12"/>
      <c r="BB225" s="12"/>
      <c r="BC225" s="12"/>
      <c r="BD225" s="12"/>
      <c r="BE225" s="12"/>
      <c r="BF225" s="12"/>
      <c r="BG225" s="12"/>
      <c r="BH225" s="12"/>
      <c r="BI225" s="12"/>
    </row>
    <row r="226" spans="2:61" ht="15.75" customHeight="1"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13"/>
      <c r="AB226" s="5"/>
      <c r="AC226" s="3"/>
      <c r="AD226" s="9"/>
      <c r="AE226" s="16"/>
      <c r="AF226" s="16"/>
      <c r="AG226" s="9"/>
      <c r="AH226" s="9"/>
      <c r="AI226" s="12"/>
      <c r="AJ226" s="12"/>
      <c r="AK226" s="12"/>
      <c r="AL226" s="12"/>
      <c r="AM226" s="12"/>
      <c r="AN226" s="12"/>
      <c r="AO226" s="12"/>
      <c r="AP226" s="12"/>
      <c r="AQ226" s="12"/>
      <c r="AR226" s="12"/>
      <c r="AS226" s="12"/>
      <c r="AT226" s="12"/>
      <c r="AU226" s="12"/>
      <c r="AV226" s="12"/>
      <c r="AW226" s="12"/>
      <c r="AX226" s="12"/>
      <c r="AY226" s="9"/>
      <c r="AZ226" s="12"/>
      <c r="BA226" s="12"/>
      <c r="BB226" s="12"/>
      <c r="BC226" s="12"/>
      <c r="BD226" s="12"/>
      <c r="BE226" s="12"/>
      <c r="BF226" s="12"/>
      <c r="BG226" s="12"/>
      <c r="BH226" s="12"/>
      <c r="BI226" s="12"/>
    </row>
    <row r="227" spans="2:61" ht="15.75" customHeight="1"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13"/>
      <c r="AB227" s="5"/>
      <c r="AC227" s="3"/>
      <c r="AD227" s="9"/>
      <c r="AE227" s="16"/>
      <c r="AF227" s="16"/>
      <c r="AG227" s="9"/>
      <c r="AH227" s="9"/>
      <c r="AI227" s="12"/>
      <c r="AJ227" s="12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9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</row>
    <row r="228" spans="2:61" ht="15.75" customHeight="1"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13"/>
      <c r="AB228" s="5"/>
      <c r="AC228" s="3"/>
      <c r="AD228" s="9"/>
      <c r="AE228" s="16"/>
      <c r="AF228" s="16"/>
      <c r="AG228" s="9"/>
      <c r="AH228" s="9"/>
      <c r="AI228" s="12"/>
      <c r="AJ228" s="12"/>
      <c r="AK228" s="12"/>
      <c r="AL228" s="12"/>
      <c r="AM228" s="12"/>
      <c r="AN228" s="12"/>
      <c r="AO228" s="12"/>
      <c r="AP228" s="12"/>
      <c r="AQ228" s="12"/>
      <c r="AR228" s="12"/>
      <c r="AS228" s="12"/>
      <c r="AT228" s="12"/>
      <c r="AU228" s="12"/>
      <c r="AV228" s="12"/>
      <c r="AW228" s="12"/>
      <c r="AX228" s="12"/>
      <c r="AY228" s="9"/>
      <c r="AZ228" s="12"/>
      <c r="BA228" s="12"/>
      <c r="BB228" s="12"/>
      <c r="BC228" s="12"/>
      <c r="BD228" s="12"/>
      <c r="BE228" s="12"/>
      <c r="BF228" s="12"/>
      <c r="BG228" s="12"/>
      <c r="BH228" s="12"/>
      <c r="BI228" s="12"/>
    </row>
    <row r="229" spans="2:61" ht="15.75" customHeight="1"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13"/>
      <c r="AB229" s="5"/>
      <c r="AC229" s="3"/>
      <c r="AD229" s="9"/>
      <c r="AE229" s="16"/>
      <c r="AF229" s="16"/>
      <c r="AG229" s="9"/>
      <c r="AH229" s="9"/>
      <c r="AI229" s="12"/>
      <c r="AJ229" s="12"/>
      <c r="AK229" s="12"/>
      <c r="AL229" s="12"/>
      <c r="AM229" s="12"/>
      <c r="AN229" s="12"/>
      <c r="AO229" s="12"/>
      <c r="AP229" s="12"/>
      <c r="AQ229" s="12"/>
      <c r="AR229" s="12"/>
      <c r="AS229" s="12"/>
      <c r="AT229" s="12"/>
      <c r="AU229" s="12"/>
      <c r="AV229" s="12"/>
      <c r="AW229" s="12"/>
      <c r="AX229" s="12"/>
      <c r="AY229" s="9"/>
      <c r="AZ229" s="12"/>
      <c r="BA229" s="12"/>
      <c r="BB229" s="12"/>
      <c r="BC229" s="12"/>
      <c r="BD229" s="12"/>
      <c r="BE229" s="12"/>
      <c r="BF229" s="12"/>
      <c r="BG229" s="12"/>
      <c r="BH229" s="12"/>
      <c r="BI229" s="12"/>
    </row>
    <row r="230" spans="2:61" ht="15.75" customHeight="1"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13"/>
      <c r="AB230" s="5"/>
      <c r="AC230" s="3"/>
      <c r="AD230" s="9"/>
      <c r="AE230" s="16"/>
      <c r="AF230" s="16"/>
      <c r="AG230" s="9"/>
      <c r="AH230" s="9"/>
      <c r="AI230" s="12"/>
      <c r="AJ230" s="12"/>
      <c r="AK230" s="12"/>
      <c r="AL230" s="12"/>
      <c r="AM230" s="12"/>
      <c r="AN230" s="12"/>
      <c r="AO230" s="12"/>
      <c r="AP230" s="12"/>
      <c r="AQ230" s="12"/>
      <c r="AR230" s="12"/>
      <c r="AS230" s="12"/>
      <c r="AT230" s="12"/>
      <c r="AU230" s="12"/>
      <c r="AV230" s="12"/>
      <c r="AW230" s="12"/>
      <c r="AX230" s="12"/>
      <c r="AY230" s="9"/>
      <c r="AZ230" s="12"/>
      <c r="BA230" s="12"/>
      <c r="BB230" s="12"/>
      <c r="BC230" s="12"/>
      <c r="BD230" s="12"/>
      <c r="BE230" s="12"/>
      <c r="BF230" s="12"/>
      <c r="BG230" s="12"/>
      <c r="BH230" s="12"/>
      <c r="BI230" s="12"/>
    </row>
    <row r="231" spans="2:61" ht="15.75" customHeight="1"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13"/>
      <c r="AB231" s="5"/>
      <c r="AC231" s="3"/>
      <c r="AD231" s="9"/>
      <c r="AE231" s="16"/>
      <c r="AF231" s="16"/>
      <c r="AG231" s="9"/>
      <c r="AH231" s="9"/>
      <c r="AI231" s="12"/>
      <c r="AJ231" s="12"/>
      <c r="AK231" s="12"/>
      <c r="AL231" s="12"/>
      <c r="AM231" s="12"/>
      <c r="AN231" s="12"/>
      <c r="AO231" s="12"/>
      <c r="AP231" s="12"/>
      <c r="AQ231" s="12"/>
      <c r="AR231" s="12"/>
      <c r="AS231" s="12"/>
      <c r="AT231" s="12"/>
      <c r="AU231" s="12"/>
      <c r="AV231" s="12"/>
      <c r="AW231" s="12"/>
      <c r="AX231" s="12"/>
      <c r="AY231" s="9"/>
      <c r="AZ231" s="12"/>
      <c r="BA231" s="12"/>
      <c r="BB231" s="12"/>
      <c r="BC231" s="12"/>
      <c r="BD231" s="12"/>
      <c r="BE231" s="12"/>
      <c r="BF231" s="12"/>
      <c r="BG231" s="12"/>
      <c r="BH231" s="12"/>
      <c r="BI231" s="12"/>
    </row>
    <row r="232" spans="2:61" ht="15.75" customHeight="1"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13"/>
      <c r="AB232" s="5"/>
      <c r="AC232" s="3"/>
      <c r="AD232" s="9"/>
      <c r="AE232" s="16"/>
      <c r="AF232" s="16"/>
      <c r="AG232" s="9"/>
      <c r="AH232" s="9"/>
      <c r="AI232" s="12"/>
      <c r="AJ232" s="12"/>
      <c r="AK232" s="12"/>
      <c r="AL232" s="12"/>
      <c r="AM232" s="12"/>
      <c r="AN232" s="12"/>
      <c r="AO232" s="12"/>
      <c r="AP232" s="12"/>
      <c r="AQ232" s="12"/>
      <c r="AR232" s="12"/>
      <c r="AS232" s="12"/>
      <c r="AT232" s="12"/>
      <c r="AU232" s="12"/>
      <c r="AV232" s="12"/>
      <c r="AW232" s="12"/>
      <c r="AX232" s="12"/>
      <c r="AY232" s="9"/>
      <c r="AZ232" s="12"/>
      <c r="BA232" s="12"/>
      <c r="BB232" s="12"/>
      <c r="BC232" s="12"/>
      <c r="BD232" s="12"/>
      <c r="BE232" s="12"/>
      <c r="BF232" s="12"/>
      <c r="BG232" s="12"/>
      <c r="BH232" s="12"/>
      <c r="BI232" s="12"/>
    </row>
    <row r="233" spans="2:61" ht="15.75" customHeight="1"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13"/>
      <c r="AB233" s="5"/>
      <c r="AC233" s="3"/>
      <c r="AD233" s="9"/>
      <c r="AE233" s="16"/>
      <c r="AF233" s="16"/>
      <c r="AG233" s="9"/>
      <c r="AH233" s="9"/>
      <c r="AI233" s="12"/>
      <c r="AJ233" s="12"/>
      <c r="AK233" s="12"/>
      <c r="AL233" s="12"/>
      <c r="AM233" s="12"/>
      <c r="AN233" s="12"/>
      <c r="AO233" s="12"/>
      <c r="AP233" s="12"/>
      <c r="AQ233" s="12"/>
      <c r="AR233" s="12"/>
      <c r="AS233" s="12"/>
      <c r="AT233" s="12"/>
      <c r="AU233" s="12"/>
      <c r="AV233" s="12"/>
      <c r="AW233" s="12"/>
      <c r="AX233" s="12"/>
      <c r="AY233" s="9"/>
      <c r="AZ233" s="12"/>
      <c r="BA233" s="12"/>
      <c r="BB233" s="12"/>
      <c r="BC233" s="12"/>
      <c r="BD233" s="12"/>
      <c r="BE233" s="12"/>
      <c r="BF233" s="12"/>
      <c r="BG233" s="12"/>
      <c r="BH233" s="12"/>
      <c r="BI233" s="12"/>
    </row>
    <row r="234" spans="2:61" ht="15.75" customHeight="1"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13"/>
      <c r="AB234" s="5"/>
      <c r="AC234" s="3"/>
      <c r="AD234" s="9"/>
      <c r="AE234" s="16"/>
      <c r="AF234" s="16"/>
      <c r="AG234" s="9"/>
      <c r="AH234" s="9"/>
      <c r="AI234" s="12"/>
      <c r="AJ234" s="12"/>
      <c r="AK234" s="12"/>
      <c r="AL234" s="12"/>
      <c r="AM234" s="12"/>
      <c r="AN234" s="12"/>
      <c r="AO234" s="12"/>
      <c r="AP234" s="12"/>
      <c r="AQ234" s="12"/>
      <c r="AR234" s="12"/>
      <c r="AS234" s="12"/>
      <c r="AT234" s="12"/>
      <c r="AU234" s="12"/>
      <c r="AV234" s="12"/>
      <c r="AW234" s="12"/>
      <c r="AX234" s="12"/>
      <c r="AY234" s="9"/>
      <c r="AZ234" s="12"/>
      <c r="BA234" s="12"/>
      <c r="BB234" s="12"/>
      <c r="BC234" s="12"/>
      <c r="BD234" s="12"/>
      <c r="BE234" s="12"/>
      <c r="BF234" s="12"/>
      <c r="BG234" s="12"/>
      <c r="BH234" s="12"/>
      <c r="BI234" s="12"/>
    </row>
    <row r="235" spans="2:61" ht="15.75" customHeight="1"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13"/>
      <c r="AB235" s="5"/>
      <c r="AC235" s="3"/>
      <c r="AD235" s="9"/>
      <c r="AE235" s="16"/>
      <c r="AF235" s="16"/>
      <c r="AG235" s="9"/>
      <c r="AH235" s="9"/>
      <c r="AI235" s="12"/>
      <c r="AJ235" s="12"/>
      <c r="AK235" s="12"/>
      <c r="AL235" s="12"/>
      <c r="AM235" s="12"/>
      <c r="AN235" s="12"/>
      <c r="AO235" s="12"/>
      <c r="AP235" s="12"/>
      <c r="AQ235" s="12"/>
      <c r="AR235" s="12"/>
      <c r="AS235" s="12"/>
      <c r="AT235" s="12"/>
      <c r="AU235" s="12"/>
      <c r="AV235" s="12"/>
      <c r="AW235" s="12"/>
      <c r="AX235" s="12"/>
      <c r="AY235" s="9"/>
      <c r="AZ235" s="12"/>
      <c r="BA235" s="12"/>
      <c r="BB235" s="12"/>
      <c r="BC235" s="12"/>
      <c r="BD235" s="12"/>
      <c r="BE235" s="12"/>
      <c r="BF235" s="12"/>
      <c r="BG235" s="12"/>
      <c r="BH235" s="12"/>
      <c r="BI235" s="12"/>
    </row>
    <row r="236" spans="2:61" ht="15.75" customHeight="1"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13"/>
      <c r="AB236" s="5"/>
      <c r="AC236" s="3"/>
      <c r="AD236" s="9"/>
      <c r="AE236" s="16"/>
      <c r="AF236" s="16"/>
      <c r="AG236" s="9"/>
      <c r="AH236" s="9"/>
      <c r="AI236" s="12"/>
      <c r="AJ236" s="12"/>
      <c r="AK236" s="12"/>
      <c r="AL236" s="12"/>
      <c r="AM236" s="12"/>
      <c r="AN236" s="12"/>
      <c r="AO236" s="12"/>
      <c r="AP236" s="12"/>
      <c r="AQ236" s="12"/>
      <c r="AR236" s="12"/>
      <c r="AS236" s="12"/>
      <c r="AT236" s="12"/>
      <c r="AU236" s="12"/>
      <c r="AV236" s="12"/>
      <c r="AW236" s="12"/>
      <c r="AX236" s="12"/>
      <c r="AY236" s="9"/>
      <c r="AZ236" s="12"/>
      <c r="BA236" s="12"/>
      <c r="BB236" s="12"/>
      <c r="BC236" s="12"/>
      <c r="BD236" s="12"/>
      <c r="BE236" s="12"/>
      <c r="BF236" s="12"/>
      <c r="BG236" s="12"/>
      <c r="BH236" s="12"/>
      <c r="BI236" s="12"/>
    </row>
    <row r="237" spans="2:61" ht="15.75" customHeight="1"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13"/>
      <c r="AB237" s="5"/>
      <c r="AC237" s="3"/>
      <c r="AD237" s="9"/>
      <c r="AE237" s="16"/>
      <c r="AF237" s="16"/>
      <c r="AG237" s="9"/>
      <c r="AH237" s="9"/>
      <c r="AI237" s="12"/>
      <c r="AJ237" s="12"/>
      <c r="AK237" s="12"/>
      <c r="AL237" s="12"/>
      <c r="AM237" s="12"/>
      <c r="AN237" s="12"/>
      <c r="AO237" s="12"/>
      <c r="AP237" s="12"/>
      <c r="AQ237" s="12"/>
      <c r="AR237" s="12"/>
      <c r="AS237" s="12"/>
      <c r="AT237" s="12"/>
      <c r="AU237" s="12"/>
      <c r="AV237" s="12"/>
      <c r="AW237" s="12"/>
      <c r="AX237" s="12"/>
      <c r="AY237" s="9"/>
      <c r="AZ237" s="12"/>
      <c r="BA237" s="12"/>
      <c r="BB237" s="12"/>
      <c r="BC237" s="12"/>
      <c r="BD237" s="12"/>
      <c r="BE237" s="12"/>
      <c r="BF237" s="12"/>
      <c r="BG237" s="12"/>
      <c r="BH237" s="12"/>
      <c r="BI237" s="12"/>
    </row>
    <row r="238" spans="2:61" ht="15.75" customHeight="1"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13"/>
      <c r="AB238" s="5"/>
      <c r="AC238" s="3"/>
      <c r="AD238" s="9"/>
      <c r="AE238" s="16"/>
      <c r="AF238" s="16"/>
      <c r="AG238" s="9"/>
      <c r="AH238" s="9"/>
      <c r="AI238" s="12"/>
      <c r="AJ238" s="12"/>
      <c r="AK238" s="12"/>
      <c r="AL238" s="12"/>
      <c r="AM238" s="12"/>
      <c r="AN238" s="12"/>
      <c r="AO238" s="12"/>
      <c r="AP238" s="12"/>
      <c r="AQ238" s="12"/>
      <c r="AR238" s="12"/>
      <c r="AS238" s="12"/>
      <c r="AT238" s="12"/>
      <c r="AU238" s="12"/>
      <c r="AV238" s="12"/>
      <c r="AW238" s="12"/>
      <c r="AX238" s="12"/>
      <c r="AY238" s="9"/>
      <c r="AZ238" s="12"/>
      <c r="BA238" s="12"/>
      <c r="BB238" s="12"/>
      <c r="BC238" s="12"/>
      <c r="BD238" s="12"/>
      <c r="BE238" s="12"/>
      <c r="BF238" s="12"/>
      <c r="BG238" s="12"/>
      <c r="BH238" s="12"/>
      <c r="BI238" s="12"/>
    </row>
    <row r="239" spans="2:61" ht="15.75" customHeight="1"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13"/>
      <c r="AB239" s="5"/>
      <c r="AC239" s="3"/>
      <c r="AD239" s="9"/>
      <c r="AE239" s="16"/>
      <c r="AF239" s="16"/>
      <c r="AG239" s="9"/>
      <c r="AH239" s="9"/>
      <c r="AI239" s="12"/>
      <c r="AJ239" s="12"/>
      <c r="AK239" s="12"/>
      <c r="AL239" s="12"/>
      <c r="AM239" s="12"/>
      <c r="AN239" s="12"/>
      <c r="AO239" s="12"/>
      <c r="AP239" s="12"/>
      <c r="AQ239" s="12"/>
      <c r="AR239" s="12"/>
      <c r="AS239" s="12"/>
      <c r="AT239" s="12"/>
      <c r="AU239" s="12"/>
      <c r="AV239" s="12"/>
      <c r="AW239" s="12"/>
      <c r="AX239" s="12"/>
      <c r="AY239" s="9"/>
      <c r="AZ239" s="12"/>
      <c r="BA239" s="12"/>
      <c r="BB239" s="12"/>
      <c r="BC239" s="12"/>
      <c r="BD239" s="12"/>
      <c r="BE239" s="12"/>
      <c r="BF239" s="12"/>
      <c r="BG239" s="12"/>
      <c r="BH239" s="12"/>
      <c r="BI239" s="12"/>
    </row>
    <row r="240" spans="2:61" ht="15.75" customHeight="1"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13"/>
      <c r="AB240" s="5"/>
      <c r="AC240" s="3"/>
      <c r="AD240" s="9"/>
      <c r="AE240" s="16"/>
      <c r="AF240" s="16"/>
      <c r="AG240" s="9"/>
      <c r="AH240" s="9"/>
      <c r="AI240" s="12"/>
      <c r="AJ240" s="12"/>
      <c r="AK240" s="12"/>
      <c r="AL240" s="12"/>
      <c r="AM240" s="12"/>
      <c r="AN240" s="12"/>
      <c r="AO240" s="12"/>
      <c r="AP240" s="12"/>
      <c r="AQ240" s="12"/>
      <c r="AR240" s="12"/>
      <c r="AS240" s="12"/>
      <c r="AT240" s="12"/>
      <c r="AU240" s="12"/>
      <c r="AV240" s="12"/>
      <c r="AW240" s="12"/>
      <c r="AX240" s="12"/>
      <c r="AY240" s="9"/>
      <c r="AZ240" s="12"/>
      <c r="BA240" s="12"/>
      <c r="BB240" s="12"/>
      <c r="BC240" s="12"/>
      <c r="BD240" s="12"/>
      <c r="BE240" s="12"/>
      <c r="BF240" s="12"/>
      <c r="BG240" s="12"/>
      <c r="BH240" s="12"/>
      <c r="BI240" s="12"/>
    </row>
    <row r="241" spans="2:61" ht="15.75" customHeight="1"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13"/>
      <c r="AB241" s="5"/>
      <c r="AC241" s="3"/>
      <c r="AD241" s="9"/>
      <c r="AE241" s="16"/>
      <c r="AF241" s="16"/>
      <c r="AG241" s="9"/>
      <c r="AH241" s="9"/>
      <c r="AI241" s="12"/>
      <c r="AJ241" s="12"/>
      <c r="AK241" s="12"/>
      <c r="AL241" s="12"/>
      <c r="AM241" s="12"/>
      <c r="AN241" s="12"/>
      <c r="AO241" s="12"/>
      <c r="AP241" s="12"/>
      <c r="AQ241" s="12"/>
      <c r="AR241" s="12"/>
      <c r="AS241" s="12"/>
      <c r="AT241" s="12"/>
      <c r="AU241" s="12"/>
      <c r="AV241" s="12"/>
      <c r="AW241" s="12"/>
      <c r="AX241" s="12"/>
      <c r="AY241" s="9"/>
      <c r="AZ241" s="12"/>
      <c r="BA241" s="12"/>
      <c r="BB241" s="12"/>
      <c r="BC241" s="12"/>
      <c r="BD241" s="12"/>
      <c r="BE241" s="12"/>
      <c r="BF241" s="12"/>
      <c r="BG241" s="12"/>
      <c r="BH241" s="12"/>
      <c r="BI241" s="12"/>
    </row>
    <row r="242" spans="2:61" ht="15.75" customHeight="1"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13"/>
      <c r="AB242" s="5"/>
      <c r="AC242" s="3"/>
      <c r="AD242" s="9"/>
      <c r="AE242" s="16"/>
      <c r="AF242" s="16"/>
      <c r="AG242" s="9"/>
      <c r="AH242" s="9"/>
      <c r="AI242" s="12"/>
      <c r="AJ242" s="12"/>
      <c r="AK242" s="12"/>
      <c r="AL242" s="12"/>
      <c r="AM242" s="12"/>
      <c r="AN242" s="12"/>
      <c r="AO242" s="12"/>
      <c r="AP242" s="12"/>
      <c r="AQ242" s="12"/>
      <c r="AR242" s="12"/>
      <c r="AS242" s="12"/>
      <c r="AT242" s="12"/>
      <c r="AU242" s="12"/>
      <c r="AV242" s="12"/>
      <c r="AW242" s="12"/>
      <c r="AX242" s="12"/>
      <c r="AY242" s="9"/>
      <c r="AZ242" s="12"/>
      <c r="BA242" s="12"/>
      <c r="BB242" s="12"/>
      <c r="BC242" s="12"/>
      <c r="BD242" s="12"/>
      <c r="BE242" s="12"/>
      <c r="BF242" s="12"/>
      <c r="BG242" s="12"/>
      <c r="BH242" s="12"/>
      <c r="BI242" s="12"/>
    </row>
    <row r="243" spans="2:61" ht="15.75" customHeight="1"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13"/>
      <c r="AB243" s="5"/>
      <c r="AC243" s="3"/>
      <c r="AD243" s="9"/>
      <c r="AE243" s="16"/>
      <c r="AF243" s="16"/>
      <c r="AG243" s="9"/>
      <c r="AH243" s="9"/>
      <c r="AI243" s="12"/>
      <c r="AJ243" s="12"/>
      <c r="AK243" s="12"/>
      <c r="AL243" s="12"/>
      <c r="AM243" s="12"/>
      <c r="AN243" s="12"/>
      <c r="AO243" s="12"/>
      <c r="AP243" s="12"/>
      <c r="AQ243" s="12"/>
      <c r="AR243" s="12"/>
      <c r="AS243" s="12"/>
      <c r="AT243" s="12"/>
      <c r="AU243" s="12"/>
      <c r="AV243" s="12"/>
      <c r="AW243" s="12"/>
      <c r="AX243" s="12"/>
      <c r="AY243" s="9"/>
      <c r="AZ243" s="12"/>
      <c r="BA243" s="12"/>
      <c r="BB243" s="12"/>
      <c r="BC243" s="12"/>
      <c r="BD243" s="12"/>
      <c r="BE243" s="12"/>
      <c r="BF243" s="12"/>
      <c r="BG243" s="12"/>
      <c r="BH243" s="12"/>
      <c r="BI243" s="12"/>
    </row>
    <row r="244" spans="2:61" ht="15.75" customHeight="1"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13"/>
      <c r="AB244" s="5"/>
      <c r="AC244" s="3"/>
      <c r="AD244" s="9"/>
      <c r="AE244" s="16"/>
      <c r="AF244" s="16"/>
      <c r="AG244" s="9"/>
      <c r="AH244" s="9"/>
      <c r="AI244" s="12"/>
      <c r="AJ244" s="12"/>
      <c r="AK244" s="12"/>
      <c r="AL244" s="12"/>
      <c r="AM244" s="12"/>
      <c r="AN244" s="12"/>
      <c r="AO244" s="12"/>
      <c r="AP244" s="12"/>
      <c r="AQ244" s="12"/>
      <c r="AR244" s="12"/>
      <c r="AS244" s="12"/>
      <c r="AT244" s="12"/>
      <c r="AU244" s="12"/>
      <c r="AV244" s="12"/>
      <c r="AW244" s="12"/>
      <c r="AX244" s="12"/>
      <c r="AY244" s="9"/>
      <c r="AZ244" s="12"/>
      <c r="BA244" s="12"/>
      <c r="BB244" s="12"/>
      <c r="BC244" s="12"/>
      <c r="BD244" s="12"/>
      <c r="BE244" s="12"/>
      <c r="BF244" s="12"/>
      <c r="BG244" s="12"/>
      <c r="BH244" s="12"/>
      <c r="BI244" s="12"/>
    </row>
    <row r="245" spans="2:61" ht="15.75" customHeight="1"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13"/>
      <c r="AB245" s="5"/>
      <c r="AC245" s="3"/>
      <c r="AD245" s="9"/>
      <c r="AE245" s="16"/>
      <c r="AF245" s="16"/>
      <c r="AG245" s="9"/>
      <c r="AH245" s="9"/>
      <c r="AI245" s="12"/>
      <c r="AJ245" s="12"/>
      <c r="AK245" s="12"/>
      <c r="AL245" s="12"/>
      <c r="AM245" s="12"/>
      <c r="AN245" s="12"/>
      <c r="AO245" s="12"/>
      <c r="AP245" s="12"/>
      <c r="AQ245" s="12"/>
      <c r="AR245" s="12"/>
      <c r="AS245" s="12"/>
      <c r="AT245" s="12"/>
      <c r="AU245" s="12"/>
      <c r="AV245" s="12"/>
      <c r="AW245" s="12"/>
      <c r="AX245" s="12"/>
      <c r="AY245" s="9"/>
      <c r="AZ245" s="12"/>
      <c r="BA245" s="12"/>
      <c r="BB245" s="12"/>
      <c r="BC245" s="12"/>
      <c r="BD245" s="12"/>
      <c r="BE245" s="12"/>
      <c r="BF245" s="12"/>
      <c r="BG245" s="12"/>
      <c r="BH245" s="12"/>
      <c r="BI245" s="12"/>
    </row>
    <row r="246" spans="2:61" ht="15.75" customHeight="1"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13"/>
      <c r="AB246" s="5"/>
      <c r="AC246" s="3"/>
      <c r="AD246" s="9"/>
      <c r="AE246" s="16"/>
      <c r="AF246" s="16"/>
      <c r="AG246" s="9"/>
      <c r="AH246" s="9"/>
      <c r="AI246" s="12"/>
      <c r="AJ246" s="12"/>
      <c r="AK246" s="12"/>
      <c r="AL246" s="12"/>
      <c r="AM246" s="12"/>
      <c r="AN246" s="12"/>
      <c r="AO246" s="12"/>
      <c r="AP246" s="12"/>
      <c r="AQ246" s="12"/>
      <c r="AR246" s="12"/>
      <c r="AS246" s="12"/>
      <c r="AT246" s="12"/>
      <c r="AU246" s="12"/>
      <c r="AV246" s="12"/>
      <c r="AW246" s="12"/>
      <c r="AX246" s="12"/>
      <c r="AY246" s="9"/>
      <c r="AZ246" s="12"/>
      <c r="BA246" s="12"/>
      <c r="BB246" s="12"/>
      <c r="BC246" s="12"/>
      <c r="BD246" s="12"/>
      <c r="BE246" s="12"/>
      <c r="BF246" s="12"/>
      <c r="BG246" s="12"/>
      <c r="BH246" s="12"/>
      <c r="BI246" s="12"/>
    </row>
    <row r="247" spans="2:61" ht="15.75" customHeight="1"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13"/>
      <c r="AB247" s="5"/>
      <c r="AC247" s="3"/>
      <c r="AD247" s="9"/>
      <c r="AE247" s="16"/>
      <c r="AF247" s="16"/>
      <c r="AG247" s="9"/>
      <c r="AH247" s="9"/>
      <c r="AI247" s="12"/>
      <c r="AJ247" s="12"/>
      <c r="AK247" s="12"/>
      <c r="AL247" s="12"/>
      <c r="AM247" s="12"/>
      <c r="AN247" s="12"/>
      <c r="AO247" s="12"/>
      <c r="AP247" s="12"/>
      <c r="AQ247" s="12"/>
      <c r="AR247" s="12"/>
      <c r="AS247" s="12"/>
      <c r="AT247" s="12"/>
      <c r="AU247" s="12"/>
      <c r="AV247" s="12"/>
      <c r="AW247" s="12"/>
      <c r="AX247" s="12"/>
      <c r="AY247" s="9"/>
      <c r="AZ247" s="12"/>
      <c r="BA247" s="12"/>
      <c r="BB247" s="12"/>
      <c r="BC247" s="12"/>
      <c r="BD247" s="12"/>
      <c r="BE247" s="12"/>
      <c r="BF247" s="12"/>
      <c r="BG247" s="12"/>
      <c r="BH247" s="12"/>
      <c r="BI247" s="12"/>
    </row>
    <row r="248" spans="2:61" ht="15.75" customHeight="1"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13"/>
      <c r="AB248" s="5"/>
      <c r="AC248" s="3"/>
      <c r="AD248" s="9"/>
      <c r="AE248" s="16"/>
      <c r="AF248" s="16"/>
      <c r="AG248" s="9"/>
      <c r="AH248" s="9"/>
      <c r="AI248" s="12"/>
      <c r="AJ248" s="12"/>
      <c r="AK248" s="12"/>
      <c r="AL248" s="12"/>
      <c r="AM248" s="12"/>
      <c r="AN248" s="12"/>
      <c r="AO248" s="12"/>
      <c r="AP248" s="12"/>
      <c r="AQ248" s="12"/>
      <c r="AR248" s="12"/>
      <c r="AS248" s="12"/>
      <c r="AT248" s="12"/>
      <c r="AU248" s="12"/>
      <c r="AV248" s="12"/>
      <c r="AW248" s="12"/>
      <c r="AX248" s="12"/>
      <c r="AY248" s="9"/>
      <c r="AZ248" s="12"/>
      <c r="BA248" s="12"/>
      <c r="BB248" s="12"/>
      <c r="BC248" s="12"/>
      <c r="BD248" s="12"/>
      <c r="BE248" s="12"/>
      <c r="BF248" s="12"/>
      <c r="BG248" s="12"/>
      <c r="BH248" s="12"/>
      <c r="BI248" s="12"/>
    </row>
    <row r="249" spans="2:61" ht="15.75" customHeight="1"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13"/>
      <c r="AB249" s="5"/>
      <c r="AC249" s="3"/>
      <c r="AD249" s="9"/>
      <c r="AE249" s="16"/>
      <c r="AF249" s="16"/>
      <c r="AG249" s="9"/>
      <c r="AH249" s="9"/>
      <c r="AI249" s="12"/>
      <c r="AJ249" s="12"/>
      <c r="AK249" s="12"/>
      <c r="AL249" s="12"/>
      <c r="AM249" s="12"/>
      <c r="AN249" s="12"/>
      <c r="AO249" s="12"/>
      <c r="AP249" s="12"/>
      <c r="AQ249" s="12"/>
      <c r="AR249" s="12"/>
      <c r="AS249" s="12"/>
      <c r="AT249" s="12"/>
      <c r="AU249" s="12"/>
      <c r="AV249" s="12"/>
      <c r="AW249" s="12"/>
      <c r="AX249" s="12"/>
      <c r="AY249" s="9"/>
      <c r="AZ249" s="12"/>
      <c r="BA249" s="12"/>
      <c r="BB249" s="12"/>
      <c r="BC249" s="12"/>
      <c r="BD249" s="12"/>
      <c r="BE249" s="12"/>
      <c r="BF249" s="12"/>
      <c r="BG249" s="12"/>
      <c r="BH249" s="12"/>
      <c r="BI249" s="12"/>
    </row>
    <row r="250" spans="2:61" ht="15.75" customHeight="1"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13"/>
      <c r="AB250" s="5"/>
      <c r="AC250" s="3"/>
      <c r="AD250" s="9"/>
      <c r="AE250" s="16"/>
      <c r="AF250" s="16"/>
      <c r="AG250" s="9"/>
      <c r="AH250" s="9"/>
      <c r="AI250" s="12"/>
      <c r="AJ250" s="12"/>
      <c r="AK250" s="12"/>
      <c r="AL250" s="12"/>
      <c r="AM250" s="12"/>
      <c r="AN250" s="12"/>
      <c r="AO250" s="12"/>
      <c r="AP250" s="12"/>
      <c r="AQ250" s="12"/>
      <c r="AR250" s="12"/>
      <c r="AS250" s="12"/>
      <c r="AT250" s="12"/>
      <c r="AU250" s="12"/>
      <c r="AV250" s="12"/>
      <c r="AW250" s="12"/>
      <c r="AX250" s="12"/>
      <c r="AY250" s="9"/>
      <c r="AZ250" s="12"/>
      <c r="BA250" s="12"/>
      <c r="BB250" s="12"/>
      <c r="BC250" s="12"/>
      <c r="BD250" s="12"/>
      <c r="BE250" s="12"/>
      <c r="BF250" s="12"/>
      <c r="BG250" s="12"/>
      <c r="BH250" s="12"/>
      <c r="BI250" s="12"/>
    </row>
    <row r="251" spans="2:61" ht="15.75" customHeight="1"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13"/>
      <c r="AB251" s="5"/>
      <c r="AC251" s="3"/>
      <c r="AD251" s="9"/>
      <c r="AE251" s="16"/>
      <c r="AF251" s="16"/>
      <c r="AG251" s="9"/>
      <c r="AH251" s="9"/>
      <c r="AI251" s="12"/>
      <c r="AJ251" s="12"/>
      <c r="AK251" s="12"/>
      <c r="AL251" s="12"/>
      <c r="AM251" s="12"/>
      <c r="AN251" s="12"/>
      <c r="AO251" s="12"/>
      <c r="AP251" s="12"/>
      <c r="AQ251" s="12"/>
      <c r="AR251" s="12"/>
      <c r="AS251" s="12"/>
      <c r="AT251" s="12"/>
      <c r="AU251" s="12"/>
      <c r="AV251" s="12"/>
      <c r="AW251" s="12"/>
      <c r="AX251" s="12"/>
      <c r="AY251" s="9"/>
      <c r="AZ251" s="12"/>
      <c r="BA251" s="12"/>
      <c r="BB251" s="12"/>
      <c r="BC251" s="12"/>
      <c r="BD251" s="12"/>
      <c r="BE251" s="12"/>
      <c r="BF251" s="12"/>
      <c r="BG251" s="12"/>
      <c r="BH251" s="12"/>
      <c r="BI251" s="12"/>
    </row>
    <row r="252" spans="2:61" ht="15.75" customHeight="1"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13"/>
      <c r="AB252" s="5"/>
      <c r="AC252" s="3"/>
      <c r="AD252" s="9"/>
      <c r="AE252" s="16"/>
      <c r="AF252" s="16"/>
      <c r="AG252" s="9"/>
      <c r="AH252" s="9"/>
      <c r="AI252" s="12"/>
      <c r="AJ252" s="12"/>
      <c r="AK252" s="12"/>
      <c r="AL252" s="12"/>
      <c r="AM252" s="12"/>
      <c r="AN252" s="12"/>
      <c r="AO252" s="12"/>
      <c r="AP252" s="12"/>
      <c r="AQ252" s="12"/>
      <c r="AR252" s="12"/>
      <c r="AS252" s="12"/>
      <c r="AT252" s="12"/>
      <c r="AU252" s="12"/>
      <c r="AV252" s="12"/>
      <c r="AW252" s="12"/>
      <c r="AX252" s="12"/>
      <c r="AY252" s="9"/>
      <c r="AZ252" s="12"/>
      <c r="BA252" s="12"/>
      <c r="BB252" s="12"/>
      <c r="BC252" s="12"/>
      <c r="BD252" s="12"/>
      <c r="BE252" s="12"/>
      <c r="BF252" s="12"/>
      <c r="BG252" s="12"/>
      <c r="BH252" s="12"/>
      <c r="BI252" s="12"/>
    </row>
    <row r="253" spans="2:61" ht="15.75" customHeight="1"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13"/>
      <c r="AB253" s="5"/>
      <c r="AC253" s="3"/>
      <c r="AD253" s="9"/>
      <c r="AE253" s="16"/>
      <c r="AF253" s="16"/>
      <c r="AG253" s="9"/>
      <c r="AH253" s="9"/>
      <c r="AI253" s="12"/>
      <c r="AJ253" s="12"/>
      <c r="AK253" s="12"/>
      <c r="AL253" s="12"/>
      <c r="AM253" s="12"/>
      <c r="AN253" s="12"/>
      <c r="AO253" s="12"/>
      <c r="AP253" s="12"/>
      <c r="AQ253" s="12"/>
      <c r="AR253" s="12"/>
      <c r="AS253" s="12"/>
      <c r="AT253" s="12"/>
      <c r="AU253" s="12"/>
      <c r="AV253" s="12"/>
      <c r="AW253" s="12"/>
      <c r="AX253" s="12"/>
      <c r="AY253" s="9"/>
      <c r="AZ253" s="12"/>
      <c r="BA253" s="12"/>
      <c r="BB253" s="12"/>
      <c r="BC253" s="12"/>
      <c r="BD253" s="12"/>
      <c r="BE253" s="12"/>
      <c r="BF253" s="12"/>
      <c r="BG253" s="12"/>
      <c r="BH253" s="12"/>
      <c r="BI253" s="12"/>
    </row>
    <row r="254" spans="2:61" ht="15.75" customHeight="1"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13"/>
      <c r="AB254" s="5"/>
      <c r="AC254" s="3"/>
      <c r="AD254" s="9"/>
      <c r="AE254" s="16"/>
      <c r="AF254" s="16"/>
      <c r="AG254" s="9"/>
      <c r="AH254" s="9"/>
      <c r="AI254" s="12"/>
      <c r="AJ254" s="12"/>
      <c r="AK254" s="12"/>
      <c r="AL254" s="12"/>
      <c r="AM254" s="12"/>
      <c r="AN254" s="12"/>
      <c r="AO254" s="12"/>
      <c r="AP254" s="12"/>
      <c r="AQ254" s="12"/>
      <c r="AR254" s="12"/>
      <c r="AS254" s="12"/>
      <c r="AT254" s="12"/>
      <c r="AU254" s="12"/>
      <c r="AV254" s="12"/>
      <c r="AW254" s="12"/>
      <c r="AX254" s="12"/>
      <c r="AY254" s="9"/>
      <c r="AZ254" s="12"/>
      <c r="BA254" s="12"/>
      <c r="BB254" s="12"/>
      <c r="BC254" s="12"/>
      <c r="BD254" s="12"/>
      <c r="BE254" s="12"/>
      <c r="BF254" s="12"/>
      <c r="BG254" s="12"/>
      <c r="BH254" s="12"/>
      <c r="BI254" s="12"/>
    </row>
    <row r="255" spans="2:61" ht="15.75" customHeight="1"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13"/>
      <c r="AB255" s="5"/>
      <c r="AC255" s="3"/>
      <c r="AD255" s="9"/>
      <c r="AE255" s="16"/>
      <c r="AF255" s="16"/>
      <c r="AG255" s="9"/>
      <c r="AH255" s="9"/>
      <c r="AI255" s="12"/>
      <c r="AJ255" s="12"/>
      <c r="AK255" s="12"/>
      <c r="AL255" s="12"/>
      <c r="AM255" s="12"/>
      <c r="AN255" s="12"/>
      <c r="AO255" s="12"/>
      <c r="AP255" s="12"/>
      <c r="AQ255" s="12"/>
      <c r="AR255" s="12"/>
      <c r="AS255" s="12"/>
      <c r="AT255" s="12"/>
      <c r="AU255" s="12"/>
      <c r="AV255" s="12"/>
      <c r="AW255" s="12"/>
      <c r="AX255" s="12"/>
      <c r="AY255" s="9"/>
      <c r="AZ255" s="12"/>
      <c r="BA255" s="12"/>
      <c r="BB255" s="12"/>
      <c r="BC255" s="12"/>
      <c r="BD255" s="12"/>
      <c r="BE255" s="12"/>
      <c r="BF255" s="12"/>
      <c r="BG255" s="12"/>
      <c r="BH255" s="12"/>
      <c r="BI255" s="12"/>
    </row>
    <row r="256" spans="2:61" ht="15.75" customHeight="1"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13"/>
      <c r="AB256" s="5"/>
      <c r="AC256" s="3"/>
      <c r="AD256" s="9"/>
      <c r="AE256" s="16"/>
      <c r="AF256" s="16"/>
      <c r="AG256" s="9"/>
      <c r="AH256" s="9"/>
      <c r="AI256" s="12"/>
      <c r="AJ256" s="12"/>
      <c r="AK256" s="12"/>
      <c r="AL256" s="12"/>
      <c r="AM256" s="12"/>
      <c r="AN256" s="12"/>
      <c r="AO256" s="12"/>
      <c r="AP256" s="12"/>
      <c r="AQ256" s="12"/>
      <c r="AR256" s="12"/>
      <c r="AS256" s="12"/>
      <c r="AT256" s="12"/>
      <c r="AU256" s="12"/>
      <c r="AV256" s="12"/>
      <c r="AW256" s="12"/>
      <c r="AX256" s="12"/>
      <c r="AY256" s="9"/>
      <c r="AZ256" s="12"/>
      <c r="BA256" s="12"/>
      <c r="BB256" s="12"/>
      <c r="BC256" s="12"/>
      <c r="BD256" s="12"/>
      <c r="BE256" s="12"/>
      <c r="BF256" s="12"/>
      <c r="BG256" s="12"/>
      <c r="BH256" s="12"/>
      <c r="BI256" s="12"/>
    </row>
    <row r="257" spans="2:61" ht="15.75" customHeight="1"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13"/>
      <c r="AB257" s="5"/>
      <c r="AC257" s="3"/>
      <c r="AD257" s="9"/>
      <c r="AE257" s="16"/>
      <c r="AF257" s="16"/>
      <c r="AG257" s="9"/>
      <c r="AH257" s="9"/>
      <c r="AI257" s="12"/>
      <c r="AJ257" s="12"/>
      <c r="AK257" s="12"/>
      <c r="AL257" s="12"/>
      <c r="AM257" s="12"/>
      <c r="AN257" s="12"/>
      <c r="AO257" s="12"/>
      <c r="AP257" s="12"/>
      <c r="AQ257" s="12"/>
      <c r="AR257" s="12"/>
      <c r="AS257" s="12"/>
      <c r="AT257" s="12"/>
      <c r="AU257" s="12"/>
      <c r="AV257" s="12"/>
      <c r="AW257" s="12"/>
      <c r="AX257" s="12"/>
      <c r="AY257" s="9"/>
      <c r="AZ257" s="12"/>
      <c r="BA257" s="12"/>
      <c r="BB257" s="12"/>
      <c r="BC257" s="12"/>
      <c r="BD257" s="12"/>
      <c r="BE257" s="12"/>
      <c r="BF257" s="12"/>
      <c r="BG257" s="12"/>
      <c r="BH257" s="12"/>
      <c r="BI257" s="12"/>
    </row>
    <row r="258" spans="2:61" ht="15.75" customHeight="1"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13"/>
      <c r="AB258" s="5"/>
      <c r="AC258" s="3"/>
      <c r="AD258" s="9"/>
      <c r="AE258" s="16"/>
      <c r="AF258" s="16"/>
      <c r="AG258" s="9"/>
      <c r="AH258" s="9"/>
      <c r="AI258" s="12"/>
      <c r="AJ258" s="12"/>
      <c r="AK258" s="12"/>
      <c r="AL258" s="12"/>
      <c r="AM258" s="12"/>
      <c r="AN258" s="12"/>
      <c r="AO258" s="12"/>
      <c r="AP258" s="12"/>
      <c r="AQ258" s="12"/>
      <c r="AR258" s="12"/>
      <c r="AS258" s="12"/>
      <c r="AT258" s="12"/>
      <c r="AU258" s="12"/>
      <c r="AV258" s="12"/>
      <c r="AW258" s="12"/>
      <c r="AX258" s="12"/>
      <c r="AY258" s="9"/>
      <c r="AZ258" s="12"/>
      <c r="BA258" s="12"/>
      <c r="BB258" s="12"/>
      <c r="BC258" s="12"/>
      <c r="BD258" s="12"/>
      <c r="BE258" s="12"/>
      <c r="BF258" s="12"/>
      <c r="BG258" s="12"/>
      <c r="BH258" s="12"/>
      <c r="BI258" s="12"/>
    </row>
    <row r="259" spans="2:61" ht="15.75" customHeight="1"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13"/>
      <c r="AB259" s="5"/>
      <c r="AC259" s="3"/>
      <c r="AD259" s="9"/>
      <c r="AE259" s="16"/>
      <c r="AF259" s="16"/>
      <c r="AG259" s="9"/>
      <c r="AH259" s="9"/>
      <c r="AI259" s="12"/>
      <c r="AJ259" s="12"/>
      <c r="AK259" s="12"/>
      <c r="AL259" s="12"/>
      <c r="AM259" s="12"/>
      <c r="AN259" s="12"/>
      <c r="AO259" s="12"/>
      <c r="AP259" s="12"/>
      <c r="AQ259" s="12"/>
      <c r="AR259" s="12"/>
      <c r="AS259" s="12"/>
      <c r="AT259" s="12"/>
      <c r="AU259" s="12"/>
      <c r="AV259" s="12"/>
      <c r="AW259" s="12"/>
      <c r="AX259" s="12"/>
      <c r="AY259" s="9"/>
      <c r="AZ259" s="12"/>
      <c r="BA259" s="12"/>
      <c r="BB259" s="12"/>
      <c r="BC259" s="12"/>
      <c r="BD259" s="12"/>
      <c r="BE259" s="12"/>
      <c r="BF259" s="12"/>
      <c r="BG259" s="12"/>
      <c r="BH259" s="12"/>
      <c r="BI259" s="12"/>
    </row>
    <row r="260" spans="2:61" ht="15.75" customHeight="1"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13"/>
      <c r="AB260" s="5"/>
      <c r="AC260" s="3"/>
      <c r="AD260" s="9"/>
      <c r="AE260" s="16"/>
      <c r="AF260" s="16"/>
      <c r="AG260" s="9"/>
      <c r="AH260" s="9"/>
      <c r="AI260" s="12"/>
      <c r="AJ260" s="12"/>
      <c r="AK260" s="12"/>
      <c r="AL260" s="12"/>
      <c r="AM260" s="12"/>
      <c r="AN260" s="12"/>
      <c r="AO260" s="12"/>
      <c r="AP260" s="12"/>
      <c r="AQ260" s="12"/>
      <c r="AR260" s="12"/>
      <c r="AS260" s="12"/>
      <c r="AT260" s="12"/>
      <c r="AU260" s="12"/>
      <c r="AV260" s="12"/>
      <c r="AW260" s="12"/>
      <c r="AX260" s="12"/>
      <c r="AY260" s="9"/>
      <c r="AZ260" s="12"/>
      <c r="BA260" s="12"/>
      <c r="BB260" s="12"/>
      <c r="BC260" s="12"/>
      <c r="BD260" s="12"/>
      <c r="BE260" s="12"/>
      <c r="BF260" s="12"/>
      <c r="BG260" s="12"/>
      <c r="BH260" s="12"/>
      <c r="BI260" s="12"/>
    </row>
    <row r="261" spans="2:61" ht="15.75" customHeight="1"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13"/>
      <c r="AB261" s="5"/>
      <c r="AC261" s="3"/>
      <c r="AD261" s="9"/>
      <c r="AE261" s="16"/>
      <c r="AF261" s="16"/>
      <c r="AG261" s="9"/>
      <c r="AH261" s="9"/>
      <c r="AI261" s="12"/>
      <c r="AJ261" s="12"/>
      <c r="AK261" s="12"/>
      <c r="AL261" s="12"/>
      <c r="AM261" s="12"/>
      <c r="AN261" s="12"/>
      <c r="AO261" s="12"/>
      <c r="AP261" s="12"/>
      <c r="AQ261" s="12"/>
      <c r="AR261" s="12"/>
      <c r="AS261" s="12"/>
      <c r="AT261" s="12"/>
      <c r="AU261" s="12"/>
      <c r="AV261" s="12"/>
      <c r="AW261" s="12"/>
      <c r="AX261" s="12"/>
      <c r="AY261" s="9"/>
      <c r="AZ261" s="12"/>
      <c r="BA261" s="12"/>
      <c r="BB261" s="12"/>
      <c r="BC261" s="12"/>
      <c r="BD261" s="12"/>
      <c r="BE261" s="12"/>
      <c r="BF261" s="12"/>
      <c r="BG261" s="12"/>
      <c r="BH261" s="12"/>
      <c r="BI261" s="12"/>
    </row>
    <row r="262" spans="2:61" ht="15.75" customHeight="1"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13"/>
      <c r="AB262" s="5"/>
      <c r="AC262" s="3"/>
      <c r="AD262" s="9"/>
      <c r="AE262" s="16"/>
      <c r="AF262" s="16"/>
      <c r="AG262" s="9"/>
      <c r="AH262" s="9"/>
      <c r="AI262" s="12"/>
      <c r="AJ262" s="12"/>
      <c r="AK262" s="12"/>
      <c r="AL262" s="12"/>
      <c r="AM262" s="12"/>
      <c r="AN262" s="12"/>
      <c r="AO262" s="12"/>
      <c r="AP262" s="12"/>
      <c r="AQ262" s="12"/>
      <c r="AR262" s="12"/>
      <c r="AS262" s="12"/>
      <c r="AT262" s="12"/>
      <c r="AU262" s="12"/>
      <c r="AV262" s="12"/>
      <c r="AW262" s="12"/>
      <c r="AX262" s="12"/>
      <c r="AY262" s="9"/>
      <c r="AZ262" s="12"/>
      <c r="BA262" s="12"/>
      <c r="BB262" s="12"/>
      <c r="BC262" s="12"/>
      <c r="BD262" s="12"/>
      <c r="BE262" s="12"/>
      <c r="BF262" s="12"/>
      <c r="BG262" s="12"/>
      <c r="BH262" s="12"/>
      <c r="BI262" s="12"/>
    </row>
    <row r="263" spans="2:61" ht="15.75" customHeight="1"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13"/>
      <c r="AB263" s="5"/>
      <c r="AC263" s="3"/>
      <c r="AD263" s="9"/>
      <c r="AE263" s="16"/>
      <c r="AF263" s="16"/>
      <c r="AG263" s="9"/>
      <c r="AH263" s="9"/>
      <c r="AI263" s="12"/>
      <c r="AJ263" s="12"/>
      <c r="AK263" s="12"/>
      <c r="AL263" s="12"/>
      <c r="AM263" s="12"/>
      <c r="AN263" s="12"/>
      <c r="AO263" s="12"/>
      <c r="AP263" s="12"/>
      <c r="AQ263" s="12"/>
      <c r="AR263" s="12"/>
      <c r="AS263" s="12"/>
      <c r="AT263" s="12"/>
      <c r="AU263" s="12"/>
      <c r="AV263" s="12"/>
      <c r="AW263" s="12"/>
      <c r="AX263" s="12"/>
      <c r="AY263" s="9"/>
      <c r="AZ263" s="12"/>
      <c r="BA263" s="12"/>
      <c r="BB263" s="12"/>
      <c r="BC263" s="12"/>
      <c r="BD263" s="12"/>
      <c r="BE263" s="12"/>
      <c r="BF263" s="12"/>
      <c r="BG263" s="12"/>
      <c r="BH263" s="12"/>
      <c r="BI263" s="12"/>
    </row>
    <row r="264" spans="2:61" ht="15.75" customHeight="1"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13"/>
      <c r="AB264" s="5"/>
      <c r="AC264" s="3"/>
      <c r="AD264" s="9"/>
      <c r="AE264" s="16"/>
      <c r="AF264" s="16"/>
      <c r="AG264" s="9"/>
      <c r="AH264" s="9"/>
      <c r="AI264" s="12"/>
      <c r="AJ264" s="12"/>
      <c r="AK264" s="12"/>
      <c r="AL264" s="12"/>
      <c r="AM264" s="12"/>
      <c r="AN264" s="12"/>
      <c r="AO264" s="12"/>
      <c r="AP264" s="12"/>
      <c r="AQ264" s="12"/>
      <c r="AR264" s="12"/>
      <c r="AS264" s="12"/>
      <c r="AT264" s="12"/>
      <c r="AU264" s="12"/>
      <c r="AV264" s="12"/>
      <c r="AW264" s="12"/>
      <c r="AX264" s="12"/>
      <c r="AY264" s="9"/>
      <c r="AZ264" s="12"/>
      <c r="BA264" s="12"/>
      <c r="BB264" s="12"/>
      <c r="BC264" s="12"/>
      <c r="BD264" s="12"/>
      <c r="BE264" s="12"/>
      <c r="BF264" s="12"/>
      <c r="BG264" s="12"/>
      <c r="BH264" s="12"/>
      <c r="BI264" s="12"/>
    </row>
    <row r="265" spans="2:61" ht="15.75" customHeight="1"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13"/>
      <c r="AB265" s="5"/>
      <c r="AC265" s="3"/>
      <c r="AD265" s="9"/>
      <c r="AE265" s="16"/>
      <c r="AF265" s="16"/>
      <c r="AG265" s="9"/>
      <c r="AH265" s="9"/>
      <c r="AI265" s="12"/>
      <c r="AJ265" s="12"/>
      <c r="AK265" s="12"/>
      <c r="AL265" s="12"/>
      <c r="AM265" s="12"/>
      <c r="AN265" s="12"/>
      <c r="AO265" s="12"/>
      <c r="AP265" s="12"/>
      <c r="AQ265" s="12"/>
      <c r="AR265" s="12"/>
      <c r="AS265" s="12"/>
      <c r="AT265" s="12"/>
      <c r="AU265" s="12"/>
      <c r="AV265" s="12"/>
      <c r="AW265" s="12"/>
      <c r="AX265" s="12"/>
      <c r="AY265" s="9"/>
      <c r="AZ265" s="12"/>
      <c r="BA265" s="12"/>
      <c r="BB265" s="12"/>
      <c r="BC265" s="12"/>
      <c r="BD265" s="12"/>
      <c r="BE265" s="12"/>
      <c r="BF265" s="12"/>
      <c r="BG265" s="12"/>
      <c r="BH265" s="12"/>
      <c r="BI265" s="12"/>
    </row>
    <row r="266" spans="2:61" ht="15.75" customHeight="1"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13"/>
      <c r="AB266" s="5"/>
      <c r="AC266" s="3"/>
      <c r="AD266" s="9"/>
      <c r="AE266" s="16"/>
      <c r="AF266" s="16"/>
      <c r="AG266" s="9"/>
      <c r="AH266" s="9"/>
      <c r="AI266" s="12"/>
      <c r="AJ266" s="12"/>
      <c r="AK266" s="12"/>
      <c r="AL266" s="12"/>
      <c r="AM266" s="12"/>
      <c r="AN266" s="12"/>
      <c r="AO266" s="12"/>
      <c r="AP266" s="12"/>
      <c r="AQ266" s="12"/>
      <c r="AR266" s="12"/>
      <c r="AS266" s="12"/>
      <c r="AT266" s="12"/>
      <c r="AU266" s="12"/>
      <c r="AV266" s="12"/>
      <c r="AW266" s="12"/>
      <c r="AX266" s="12"/>
      <c r="AY266" s="9"/>
      <c r="AZ266" s="12"/>
      <c r="BA266" s="12"/>
      <c r="BB266" s="12"/>
      <c r="BC266" s="12"/>
      <c r="BD266" s="12"/>
      <c r="BE266" s="12"/>
      <c r="BF266" s="12"/>
      <c r="BG266" s="12"/>
      <c r="BH266" s="12"/>
      <c r="BI266" s="12"/>
    </row>
    <row r="267" spans="2:61" ht="15.75" customHeight="1"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13"/>
      <c r="AB267" s="5"/>
      <c r="AC267" s="3"/>
      <c r="AD267" s="9"/>
      <c r="AE267" s="16"/>
      <c r="AF267" s="16"/>
      <c r="AG267" s="9"/>
      <c r="AH267" s="9"/>
      <c r="AI267" s="12"/>
      <c r="AJ267" s="12"/>
      <c r="AK267" s="12"/>
      <c r="AL267" s="12"/>
      <c r="AM267" s="12"/>
      <c r="AN267" s="12"/>
      <c r="AO267" s="12"/>
      <c r="AP267" s="12"/>
      <c r="AQ267" s="12"/>
      <c r="AR267" s="12"/>
      <c r="AS267" s="12"/>
      <c r="AT267" s="12"/>
      <c r="AU267" s="12"/>
      <c r="AV267" s="12"/>
      <c r="AW267" s="12"/>
      <c r="AX267" s="12"/>
      <c r="AY267" s="9"/>
      <c r="AZ267" s="12"/>
      <c r="BA267" s="12"/>
      <c r="BB267" s="12"/>
      <c r="BC267" s="12"/>
      <c r="BD267" s="12"/>
      <c r="BE267" s="12"/>
      <c r="BF267" s="12"/>
      <c r="BG267" s="12"/>
      <c r="BH267" s="12"/>
      <c r="BI267" s="12"/>
    </row>
    <row r="268" spans="2:61" ht="15.75" customHeight="1"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13"/>
      <c r="AB268" s="5"/>
      <c r="AC268" s="3"/>
      <c r="AD268" s="9"/>
      <c r="AE268" s="16"/>
      <c r="AF268" s="16"/>
      <c r="AG268" s="9"/>
      <c r="AH268" s="9"/>
      <c r="AI268" s="12"/>
      <c r="AJ268" s="12"/>
      <c r="AK268" s="12"/>
      <c r="AL268" s="12"/>
      <c r="AM268" s="12"/>
      <c r="AN268" s="12"/>
      <c r="AO268" s="12"/>
      <c r="AP268" s="12"/>
      <c r="AQ268" s="12"/>
      <c r="AR268" s="12"/>
      <c r="AS268" s="12"/>
      <c r="AT268" s="12"/>
      <c r="AU268" s="12"/>
      <c r="AV268" s="12"/>
      <c r="AW268" s="12"/>
      <c r="AX268" s="12"/>
      <c r="AY268" s="9"/>
      <c r="AZ268" s="12"/>
      <c r="BA268" s="12"/>
      <c r="BB268" s="12"/>
      <c r="BC268" s="12"/>
      <c r="BD268" s="12"/>
      <c r="BE268" s="12"/>
      <c r="BF268" s="12"/>
      <c r="BG268" s="12"/>
      <c r="BH268" s="12"/>
      <c r="BI268" s="12"/>
    </row>
    <row r="269" spans="2:61" ht="15.75" customHeight="1"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13"/>
      <c r="AB269" s="5"/>
      <c r="AC269" s="3"/>
      <c r="AD269" s="9"/>
      <c r="AE269" s="16"/>
      <c r="AF269" s="16"/>
      <c r="AG269" s="9"/>
      <c r="AH269" s="9"/>
      <c r="AI269" s="12"/>
      <c r="AJ269" s="12"/>
      <c r="AK269" s="12"/>
      <c r="AL269" s="12"/>
      <c r="AM269" s="12"/>
      <c r="AN269" s="12"/>
      <c r="AO269" s="12"/>
      <c r="AP269" s="12"/>
      <c r="AQ269" s="12"/>
      <c r="AR269" s="12"/>
      <c r="AS269" s="12"/>
      <c r="AT269" s="12"/>
      <c r="AU269" s="12"/>
      <c r="AV269" s="12"/>
      <c r="AW269" s="12"/>
      <c r="AX269" s="12"/>
      <c r="AY269" s="9"/>
      <c r="AZ269" s="12"/>
      <c r="BA269" s="12"/>
      <c r="BB269" s="12"/>
      <c r="BC269" s="12"/>
      <c r="BD269" s="12"/>
      <c r="BE269" s="12"/>
      <c r="BF269" s="12"/>
      <c r="BG269" s="12"/>
      <c r="BH269" s="12"/>
      <c r="BI269" s="12"/>
    </row>
    <row r="270" spans="2:61" ht="15.75" customHeight="1"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13"/>
      <c r="AB270" s="5"/>
      <c r="AC270" s="3"/>
      <c r="AD270" s="9"/>
      <c r="AE270" s="16"/>
      <c r="AF270" s="16"/>
      <c r="AG270" s="9"/>
      <c r="AH270" s="9"/>
      <c r="AI270" s="12"/>
      <c r="AJ270" s="12"/>
      <c r="AK270" s="12"/>
      <c r="AL270" s="12"/>
      <c r="AM270" s="12"/>
      <c r="AN270" s="12"/>
      <c r="AO270" s="12"/>
      <c r="AP270" s="12"/>
      <c r="AQ270" s="12"/>
      <c r="AR270" s="12"/>
      <c r="AS270" s="12"/>
      <c r="AT270" s="12"/>
      <c r="AU270" s="12"/>
      <c r="AV270" s="12"/>
      <c r="AW270" s="12"/>
      <c r="AX270" s="12"/>
      <c r="AY270" s="9"/>
      <c r="AZ270" s="12"/>
      <c r="BA270" s="12"/>
      <c r="BB270" s="12"/>
      <c r="BC270" s="12"/>
      <c r="BD270" s="12"/>
      <c r="BE270" s="12"/>
      <c r="BF270" s="12"/>
      <c r="BG270" s="12"/>
      <c r="BH270" s="12"/>
      <c r="BI270" s="12"/>
    </row>
    <row r="271" spans="2:61" ht="15.75" customHeight="1"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13"/>
      <c r="AB271" s="5"/>
      <c r="AC271" s="3"/>
      <c r="AD271" s="9"/>
      <c r="AE271" s="16"/>
      <c r="AF271" s="16"/>
      <c r="AG271" s="9"/>
      <c r="AH271" s="9"/>
      <c r="AI271" s="12"/>
      <c r="AJ271" s="12"/>
      <c r="AK271" s="12"/>
      <c r="AL271" s="12"/>
      <c r="AM271" s="12"/>
      <c r="AN271" s="12"/>
      <c r="AO271" s="12"/>
      <c r="AP271" s="12"/>
      <c r="AQ271" s="12"/>
      <c r="AR271" s="12"/>
      <c r="AS271" s="12"/>
      <c r="AT271" s="12"/>
      <c r="AU271" s="12"/>
      <c r="AV271" s="12"/>
      <c r="AW271" s="12"/>
      <c r="AX271" s="12"/>
      <c r="AY271" s="9"/>
      <c r="AZ271" s="12"/>
      <c r="BA271" s="12"/>
      <c r="BB271" s="12"/>
      <c r="BC271" s="12"/>
      <c r="BD271" s="12"/>
      <c r="BE271" s="12"/>
      <c r="BF271" s="12"/>
      <c r="BG271" s="12"/>
      <c r="BH271" s="12"/>
      <c r="BI271" s="12"/>
    </row>
    <row r="272" spans="2:61" ht="15.75" customHeight="1"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13"/>
      <c r="AB272" s="5"/>
      <c r="AC272" s="3"/>
      <c r="AD272" s="9"/>
      <c r="AE272" s="16"/>
      <c r="AF272" s="16"/>
      <c r="AG272" s="9"/>
      <c r="AH272" s="9"/>
      <c r="AI272" s="12"/>
      <c r="AJ272" s="12"/>
      <c r="AK272" s="12"/>
      <c r="AL272" s="12"/>
      <c r="AM272" s="12"/>
      <c r="AN272" s="12"/>
      <c r="AO272" s="12"/>
      <c r="AP272" s="12"/>
      <c r="AQ272" s="12"/>
      <c r="AR272" s="12"/>
      <c r="AS272" s="12"/>
      <c r="AT272" s="12"/>
      <c r="AU272" s="12"/>
      <c r="AV272" s="12"/>
      <c r="AW272" s="12"/>
      <c r="AX272" s="12"/>
      <c r="AY272" s="9"/>
      <c r="AZ272" s="12"/>
      <c r="BA272" s="12"/>
      <c r="BB272" s="12"/>
      <c r="BC272" s="12"/>
      <c r="BD272" s="12"/>
      <c r="BE272" s="12"/>
      <c r="BF272" s="12"/>
      <c r="BG272" s="12"/>
      <c r="BH272" s="12"/>
      <c r="BI272" s="12"/>
    </row>
    <row r="273" spans="2:61" ht="15.75" customHeight="1"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13"/>
      <c r="AB273" s="5"/>
      <c r="AC273" s="3"/>
      <c r="AD273" s="9"/>
      <c r="AE273" s="16"/>
      <c r="AF273" s="16"/>
      <c r="AG273" s="9"/>
      <c r="AH273" s="9"/>
      <c r="AI273" s="12"/>
      <c r="AJ273" s="12"/>
      <c r="AK273" s="12"/>
      <c r="AL273" s="12"/>
      <c r="AM273" s="12"/>
      <c r="AN273" s="12"/>
      <c r="AO273" s="12"/>
      <c r="AP273" s="12"/>
      <c r="AQ273" s="12"/>
      <c r="AR273" s="12"/>
      <c r="AS273" s="12"/>
      <c r="AT273" s="12"/>
      <c r="AU273" s="12"/>
      <c r="AV273" s="12"/>
      <c r="AW273" s="12"/>
      <c r="AX273" s="12"/>
      <c r="AY273" s="9"/>
      <c r="AZ273" s="12"/>
      <c r="BA273" s="12"/>
      <c r="BB273" s="12"/>
      <c r="BC273" s="12"/>
      <c r="BD273" s="12"/>
      <c r="BE273" s="12"/>
      <c r="BF273" s="12"/>
      <c r="BG273" s="12"/>
      <c r="BH273" s="12"/>
      <c r="BI273" s="12"/>
    </row>
    <row r="274" spans="2:61" ht="15.75" customHeight="1"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13"/>
      <c r="AB274" s="5"/>
      <c r="AC274" s="3"/>
      <c r="AD274" s="9"/>
      <c r="AE274" s="16"/>
      <c r="AF274" s="16"/>
      <c r="AG274" s="9"/>
      <c r="AH274" s="9"/>
      <c r="AI274" s="12"/>
      <c r="AJ274" s="12"/>
      <c r="AK274" s="12"/>
      <c r="AL274" s="12"/>
      <c r="AM274" s="12"/>
      <c r="AN274" s="12"/>
      <c r="AO274" s="12"/>
      <c r="AP274" s="12"/>
      <c r="AQ274" s="12"/>
      <c r="AR274" s="12"/>
      <c r="AS274" s="12"/>
      <c r="AT274" s="12"/>
      <c r="AU274" s="12"/>
      <c r="AV274" s="12"/>
      <c r="AW274" s="12"/>
      <c r="AX274" s="12"/>
      <c r="AY274" s="9"/>
      <c r="AZ274" s="12"/>
      <c r="BA274" s="12"/>
      <c r="BB274" s="12"/>
      <c r="BC274" s="12"/>
      <c r="BD274" s="12"/>
      <c r="BE274" s="12"/>
      <c r="BF274" s="12"/>
      <c r="BG274" s="12"/>
      <c r="BH274" s="12"/>
      <c r="BI274" s="12"/>
    </row>
    <row r="275" spans="2:61" ht="15.75" customHeight="1"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13"/>
      <c r="AB275" s="5"/>
      <c r="AC275" s="3"/>
      <c r="AD275" s="9"/>
      <c r="AE275" s="16"/>
      <c r="AF275" s="16"/>
      <c r="AG275" s="9"/>
      <c r="AH275" s="9"/>
      <c r="AI275" s="12"/>
      <c r="AJ275" s="12"/>
      <c r="AK275" s="12"/>
      <c r="AL275" s="12"/>
      <c r="AM275" s="12"/>
      <c r="AN275" s="12"/>
      <c r="AO275" s="12"/>
      <c r="AP275" s="12"/>
      <c r="AQ275" s="12"/>
      <c r="AR275" s="12"/>
      <c r="AS275" s="12"/>
      <c r="AT275" s="12"/>
      <c r="AU275" s="12"/>
      <c r="AV275" s="12"/>
      <c r="AW275" s="12"/>
      <c r="AX275" s="12"/>
      <c r="AY275" s="9"/>
      <c r="AZ275" s="12"/>
      <c r="BA275" s="12"/>
      <c r="BB275" s="12"/>
      <c r="BC275" s="12"/>
      <c r="BD275" s="12"/>
      <c r="BE275" s="12"/>
      <c r="BF275" s="12"/>
      <c r="BG275" s="12"/>
      <c r="BH275" s="12"/>
      <c r="BI275" s="12"/>
    </row>
    <row r="276" spans="2:61" ht="15.75" customHeight="1"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13"/>
      <c r="AB276" s="5"/>
      <c r="AC276" s="3"/>
      <c r="AD276" s="9"/>
      <c r="AE276" s="16"/>
      <c r="AF276" s="16"/>
      <c r="AG276" s="9"/>
      <c r="AH276" s="9"/>
      <c r="AI276" s="12"/>
      <c r="AJ276" s="12"/>
      <c r="AK276" s="12"/>
      <c r="AL276" s="12"/>
      <c r="AM276" s="12"/>
      <c r="AN276" s="12"/>
      <c r="AO276" s="12"/>
      <c r="AP276" s="12"/>
      <c r="AQ276" s="12"/>
      <c r="AR276" s="12"/>
      <c r="AS276" s="12"/>
      <c r="AT276" s="12"/>
      <c r="AU276" s="12"/>
      <c r="AV276" s="12"/>
      <c r="AW276" s="12"/>
      <c r="AX276" s="12"/>
      <c r="AY276" s="9"/>
      <c r="AZ276" s="12"/>
      <c r="BA276" s="12"/>
      <c r="BB276" s="12"/>
      <c r="BC276" s="12"/>
      <c r="BD276" s="12"/>
      <c r="BE276" s="12"/>
      <c r="BF276" s="12"/>
      <c r="BG276" s="12"/>
      <c r="BH276" s="12"/>
      <c r="BI276" s="12"/>
    </row>
    <row r="277" spans="2:61" ht="15.75" customHeight="1"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13"/>
      <c r="AB277" s="5"/>
      <c r="AC277" s="3"/>
      <c r="AD277" s="9"/>
      <c r="AE277" s="16"/>
      <c r="AF277" s="16"/>
      <c r="AG277" s="9"/>
      <c r="AH277" s="9"/>
      <c r="AI277" s="12"/>
      <c r="AJ277" s="12"/>
      <c r="AK277" s="12"/>
      <c r="AL277" s="12"/>
      <c r="AM277" s="12"/>
      <c r="AN277" s="12"/>
      <c r="AO277" s="12"/>
      <c r="AP277" s="12"/>
      <c r="AQ277" s="12"/>
      <c r="AR277" s="12"/>
      <c r="AS277" s="12"/>
      <c r="AT277" s="12"/>
      <c r="AU277" s="12"/>
      <c r="AV277" s="12"/>
      <c r="AW277" s="12"/>
      <c r="AX277" s="12"/>
      <c r="AY277" s="9"/>
      <c r="AZ277" s="12"/>
      <c r="BA277" s="12"/>
      <c r="BB277" s="12"/>
      <c r="BC277" s="12"/>
      <c r="BD277" s="12"/>
      <c r="BE277" s="12"/>
      <c r="BF277" s="12"/>
      <c r="BG277" s="12"/>
      <c r="BH277" s="12"/>
      <c r="BI277" s="12"/>
    </row>
    <row r="278" spans="2:61" ht="15.75" customHeight="1"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13"/>
      <c r="AB278" s="5"/>
      <c r="AC278" s="3"/>
      <c r="AD278" s="9"/>
      <c r="AE278" s="16"/>
      <c r="AF278" s="16"/>
      <c r="AG278" s="9"/>
      <c r="AH278" s="9"/>
      <c r="AI278" s="12"/>
      <c r="AJ278" s="12"/>
      <c r="AK278" s="12"/>
      <c r="AL278" s="12"/>
      <c r="AM278" s="12"/>
      <c r="AN278" s="12"/>
      <c r="AO278" s="12"/>
      <c r="AP278" s="12"/>
      <c r="AQ278" s="12"/>
      <c r="AR278" s="12"/>
      <c r="AS278" s="12"/>
      <c r="AT278" s="12"/>
      <c r="AU278" s="12"/>
      <c r="AV278" s="12"/>
      <c r="AW278" s="12"/>
      <c r="AX278" s="12"/>
      <c r="AY278" s="9"/>
      <c r="AZ278" s="12"/>
      <c r="BA278" s="12"/>
      <c r="BB278" s="12"/>
      <c r="BC278" s="12"/>
      <c r="BD278" s="12"/>
      <c r="BE278" s="12"/>
      <c r="BF278" s="12"/>
      <c r="BG278" s="12"/>
      <c r="BH278" s="12"/>
      <c r="BI278" s="12"/>
    </row>
    <row r="279" spans="2:61" ht="15.75" customHeight="1"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13"/>
      <c r="AB279" s="5"/>
      <c r="AC279" s="3"/>
      <c r="AD279" s="9"/>
      <c r="AE279" s="16"/>
      <c r="AF279" s="16"/>
      <c r="AG279" s="9"/>
      <c r="AH279" s="9"/>
      <c r="AI279" s="12"/>
      <c r="AJ279" s="12"/>
      <c r="AK279" s="12"/>
      <c r="AL279" s="12"/>
      <c r="AM279" s="12"/>
      <c r="AN279" s="12"/>
      <c r="AO279" s="12"/>
      <c r="AP279" s="12"/>
      <c r="AQ279" s="12"/>
      <c r="AR279" s="12"/>
      <c r="AS279" s="12"/>
      <c r="AT279" s="12"/>
      <c r="AU279" s="12"/>
      <c r="AV279" s="12"/>
      <c r="AW279" s="12"/>
      <c r="AX279" s="12"/>
      <c r="AY279" s="9"/>
      <c r="AZ279" s="12"/>
      <c r="BA279" s="12"/>
      <c r="BB279" s="12"/>
      <c r="BC279" s="12"/>
      <c r="BD279" s="12"/>
      <c r="BE279" s="12"/>
      <c r="BF279" s="12"/>
      <c r="BG279" s="12"/>
      <c r="BH279" s="12"/>
      <c r="BI279" s="12"/>
    </row>
    <row r="280" spans="2:61" ht="15.75" customHeight="1"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13"/>
      <c r="AB280" s="5"/>
      <c r="AC280" s="3"/>
      <c r="AD280" s="9"/>
      <c r="AE280" s="16"/>
      <c r="AF280" s="16"/>
      <c r="AG280" s="9"/>
      <c r="AH280" s="9"/>
      <c r="AI280" s="12"/>
      <c r="AJ280" s="12"/>
      <c r="AK280" s="12"/>
      <c r="AL280" s="12"/>
      <c r="AM280" s="12"/>
      <c r="AN280" s="12"/>
      <c r="AO280" s="12"/>
      <c r="AP280" s="12"/>
      <c r="AQ280" s="12"/>
      <c r="AR280" s="12"/>
      <c r="AS280" s="12"/>
      <c r="AT280" s="12"/>
      <c r="AU280" s="12"/>
      <c r="AV280" s="12"/>
      <c r="AW280" s="12"/>
      <c r="AX280" s="12"/>
      <c r="AY280" s="9"/>
      <c r="AZ280" s="12"/>
      <c r="BA280" s="12"/>
      <c r="BB280" s="12"/>
      <c r="BC280" s="12"/>
      <c r="BD280" s="12"/>
      <c r="BE280" s="12"/>
      <c r="BF280" s="12"/>
      <c r="BG280" s="12"/>
      <c r="BH280" s="12"/>
      <c r="BI280" s="12"/>
    </row>
    <row r="281" spans="2:61" ht="15.75" customHeight="1"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13"/>
      <c r="AB281" s="5"/>
      <c r="AC281" s="3"/>
      <c r="AD281" s="9"/>
      <c r="AE281" s="16"/>
      <c r="AF281" s="16"/>
      <c r="AG281" s="9"/>
      <c r="AH281" s="9"/>
      <c r="AI281" s="12"/>
      <c r="AJ281" s="12"/>
      <c r="AK281" s="12"/>
      <c r="AL281" s="12"/>
      <c r="AM281" s="12"/>
      <c r="AN281" s="12"/>
      <c r="AO281" s="12"/>
      <c r="AP281" s="12"/>
      <c r="AQ281" s="12"/>
      <c r="AR281" s="12"/>
      <c r="AS281" s="12"/>
      <c r="AT281" s="12"/>
      <c r="AU281" s="12"/>
      <c r="AV281" s="12"/>
      <c r="AW281" s="12"/>
      <c r="AX281" s="12"/>
      <c r="AY281" s="9"/>
      <c r="AZ281" s="12"/>
      <c r="BA281" s="12"/>
      <c r="BB281" s="12"/>
      <c r="BC281" s="12"/>
      <c r="BD281" s="12"/>
      <c r="BE281" s="12"/>
      <c r="BF281" s="12"/>
      <c r="BG281" s="12"/>
      <c r="BH281" s="12"/>
      <c r="BI281" s="12"/>
    </row>
    <row r="282" spans="2:61" ht="15.75" customHeight="1"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13"/>
      <c r="AB282" s="5"/>
      <c r="AC282" s="3"/>
      <c r="AD282" s="9"/>
      <c r="AE282" s="16"/>
      <c r="AF282" s="16"/>
      <c r="AG282" s="9"/>
      <c r="AH282" s="9"/>
      <c r="AI282" s="12"/>
      <c r="AJ282" s="12"/>
      <c r="AK282" s="12"/>
      <c r="AL282" s="12"/>
      <c r="AM282" s="12"/>
      <c r="AN282" s="12"/>
      <c r="AO282" s="12"/>
      <c r="AP282" s="12"/>
      <c r="AQ282" s="12"/>
      <c r="AR282" s="12"/>
      <c r="AS282" s="12"/>
      <c r="AT282" s="12"/>
      <c r="AU282" s="12"/>
      <c r="AV282" s="12"/>
      <c r="AW282" s="12"/>
      <c r="AX282" s="12"/>
      <c r="AY282" s="9"/>
      <c r="AZ282" s="12"/>
      <c r="BA282" s="12"/>
      <c r="BB282" s="12"/>
      <c r="BC282" s="12"/>
      <c r="BD282" s="12"/>
      <c r="BE282" s="12"/>
      <c r="BF282" s="12"/>
      <c r="BG282" s="12"/>
      <c r="BH282" s="12"/>
      <c r="BI282" s="12"/>
    </row>
    <row r="283" spans="2:61" ht="15.75" customHeight="1"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13"/>
      <c r="AB283" s="5"/>
      <c r="AC283" s="3"/>
      <c r="AD283" s="9"/>
      <c r="AE283" s="16"/>
      <c r="AF283" s="16"/>
      <c r="AG283" s="9"/>
      <c r="AH283" s="9"/>
      <c r="AI283" s="12"/>
      <c r="AJ283" s="12"/>
      <c r="AK283" s="12"/>
      <c r="AL283" s="12"/>
      <c r="AM283" s="12"/>
      <c r="AN283" s="12"/>
      <c r="AO283" s="12"/>
      <c r="AP283" s="12"/>
      <c r="AQ283" s="12"/>
      <c r="AR283" s="12"/>
      <c r="AS283" s="12"/>
      <c r="AT283" s="12"/>
      <c r="AU283" s="12"/>
      <c r="AV283" s="12"/>
      <c r="AW283" s="12"/>
      <c r="AX283" s="12"/>
      <c r="AY283" s="9"/>
      <c r="AZ283" s="12"/>
      <c r="BA283" s="12"/>
      <c r="BB283" s="12"/>
      <c r="BC283" s="12"/>
      <c r="BD283" s="12"/>
      <c r="BE283" s="12"/>
      <c r="BF283" s="12"/>
      <c r="BG283" s="12"/>
      <c r="BH283" s="12"/>
      <c r="BI283" s="12"/>
    </row>
    <row r="284" spans="2:61" ht="15.75" customHeight="1"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13"/>
      <c r="AB284" s="5"/>
      <c r="AC284" s="3"/>
      <c r="AD284" s="9"/>
      <c r="AE284" s="16"/>
      <c r="AF284" s="16"/>
      <c r="AG284" s="9"/>
      <c r="AH284" s="9"/>
      <c r="AI284" s="12"/>
      <c r="AJ284" s="12"/>
      <c r="AK284" s="12"/>
      <c r="AL284" s="12"/>
      <c r="AM284" s="12"/>
      <c r="AN284" s="12"/>
      <c r="AO284" s="12"/>
      <c r="AP284" s="12"/>
      <c r="AQ284" s="12"/>
      <c r="AR284" s="12"/>
      <c r="AS284" s="12"/>
      <c r="AT284" s="12"/>
      <c r="AU284" s="12"/>
      <c r="AV284" s="12"/>
      <c r="AW284" s="12"/>
      <c r="AX284" s="12"/>
      <c r="AY284" s="9"/>
      <c r="AZ284" s="12"/>
      <c r="BA284" s="12"/>
      <c r="BB284" s="12"/>
      <c r="BC284" s="12"/>
      <c r="BD284" s="12"/>
      <c r="BE284" s="12"/>
      <c r="BF284" s="12"/>
      <c r="BG284" s="12"/>
      <c r="BH284" s="12"/>
      <c r="BI284" s="12"/>
    </row>
    <row r="285" spans="2:61" ht="15.75" customHeight="1"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13"/>
      <c r="AB285" s="5"/>
      <c r="AC285" s="3"/>
      <c r="AD285" s="9"/>
      <c r="AE285" s="16"/>
      <c r="AF285" s="16"/>
      <c r="AG285" s="9"/>
      <c r="AH285" s="9"/>
      <c r="AI285" s="12"/>
      <c r="AJ285" s="12"/>
      <c r="AK285" s="12"/>
      <c r="AL285" s="12"/>
      <c r="AM285" s="12"/>
      <c r="AN285" s="12"/>
      <c r="AO285" s="12"/>
      <c r="AP285" s="12"/>
      <c r="AQ285" s="12"/>
      <c r="AR285" s="12"/>
      <c r="AS285" s="12"/>
      <c r="AT285" s="12"/>
      <c r="AU285" s="12"/>
      <c r="AV285" s="12"/>
      <c r="AW285" s="12"/>
      <c r="AX285" s="12"/>
      <c r="AY285" s="9"/>
      <c r="AZ285" s="12"/>
      <c r="BA285" s="12"/>
      <c r="BB285" s="12"/>
      <c r="BC285" s="12"/>
      <c r="BD285" s="12"/>
      <c r="BE285" s="12"/>
      <c r="BF285" s="12"/>
      <c r="BG285" s="12"/>
      <c r="BH285" s="12"/>
      <c r="BI285" s="12"/>
    </row>
    <row r="286" spans="2:61" ht="15.75" customHeight="1"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13"/>
      <c r="AB286" s="5"/>
      <c r="AC286" s="3"/>
      <c r="AD286" s="9"/>
      <c r="AE286" s="16"/>
      <c r="AF286" s="16"/>
      <c r="AG286" s="9"/>
      <c r="AH286" s="9"/>
      <c r="AI286" s="12"/>
      <c r="AJ286" s="12"/>
      <c r="AK286" s="12"/>
      <c r="AL286" s="12"/>
      <c r="AM286" s="12"/>
      <c r="AN286" s="12"/>
      <c r="AO286" s="12"/>
      <c r="AP286" s="12"/>
      <c r="AQ286" s="12"/>
      <c r="AR286" s="12"/>
      <c r="AS286" s="12"/>
      <c r="AT286" s="12"/>
      <c r="AU286" s="12"/>
      <c r="AV286" s="12"/>
      <c r="AW286" s="12"/>
      <c r="AX286" s="12"/>
      <c r="AY286" s="9"/>
      <c r="AZ286" s="12"/>
      <c r="BA286" s="12"/>
      <c r="BB286" s="12"/>
      <c r="BC286" s="12"/>
      <c r="BD286" s="12"/>
      <c r="BE286" s="12"/>
      <c r="BF286" s="12"/>
      <c r="BG286" s="12"/>
      <c r="BH286" s="12"/>
      <c r="BI286" s="12"/>
    </row>
    <row r="287" spans="2:61" ht="15.75" customHeight="1"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13"/>
      <c r="AB287" s="5"/>
      <c r="AC287" s="3"/>
      <c r="AD287" s="9"/>
      <c r="AE287" s="16"/>
      <c r="AF287" s="16"/>
      <c r="AG287" s="9"/>
      <c r="AH287" s="9"/>
      <c r="AI287" s="12"/>
      <c r="AJ287" s="12"/>
      <c r="AK287" s="12"/>
      <c r="AL287" s="12"/>
      <c r="AM287" s="12"/>
      <c r="AN287" s="12"/>
      <c r="AO287" s="12"/>
      <c r="AP287" s="12"/>
      <c r="AQ287" s="12"/>
      <c r="AR287" s="12"/>
      <c r="AS287" s="12"/>
      <c r="AT287" s="12"/>
      <c r="AU287" s="12"/>
      <c r="AV287" s="12"/>
      <c r="AW287" s="12"/>
      <c r="AX287" s="12"/>
      <c r="AY287" s="9"/>
      <c r="AZ287" s="12"/>
      <c r="BA287" s="12"/>
      <c r="BB287" s="12"/>
      <c r="BC287" s="12"/>
      <c r="BD287" s="12"/>
      <c r="BE287" s="12"/>
      <c r="BF287" s="12"/>
      <c r="BG287" s="12"/>
      <c r="BH287" s="12"/>
      <c r="BI287" s="12"/>
    </row>
    <row r="288" spans="2:61" ht="15.75" customHeight="1"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13"/>
      <c r="AB288" s="5"/>
      <c r="AC288" s="3"/>
      <c r="AD288" s="9"/>
      <c r="AE288" s="16"/>
      <c r="AF288" s="16"/>
      <c r="AG288" s="9"/>
      <c r="AH288" s="9"/>
      <c r="AI288" s="12"/>
      <c r="AJ288" s="12"/>
      <c r="AK288" s="12"/>
      <c r="AL288" s="12"/>
      <c r="AM288" s="12"/>
      <c r="AN288" s="12"/>
      <c r="AO288" s="12"/>
      <c r="AP288" s="12"/>
      <c r="AQ288" s="12"/>
      <c r="AR288" s="12"/>
      <c r="AS288" s="12"/>
      <c r="AT288" s="12"/>
      <c r="AU288" s="12"/>
      <c r="AV288" s="12"/>
      <c r="AW288" s="12"/>
      <c r="AX288" s="12"/>
      <c r="AY288" s="9"/>
      <c r="AZ288" s="12"/>
      <c r="BA288" s="12"/>
      <c r="BB288" s="12"/>
      <c r="BC288" s="12"/>
      <c r="BD288" s="12"/>
      <c r="BE288" s="12"/>
      <c r="BF288" s="12"/>
      <c r="BG288" s="12"/>
      <c r="BH288" s="12"/>
      <c r="BI288" s="12"/>
    </row>
    <row r="289" spans="1:61" ht="15.75" customHeight="1"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13"/>
      <c r="AB289" s="5"/>
      <c r="AC289" s="3"/>
      <c r="AD289" s="9"/>
      <c r="AE289" s="16"/>
      <c r="AF289" s="16"/>
      <c r="AG289" s="9"/>
      <c r="AH289" s="9"/>
      <c r="AI289" s="12"/>
      <c r="AJ289" s="12"/>
      <c r="AK289" s="12"/>
      <c r="AL289" s="12"/>
      <c r="AM289" s="12"/>
      <c r="AN289" s="12"/>
      <c r="AO289" s="12"/>
      <c r="AP289" s="12"/>
      <c r="AQ289" s="12"/>
      <c r="AR289" s="12"/>
      <c r="AS289" s="12"/>
      <c r="AT289" s="12"/>
      <c r="AU289" s="12"/>
      <c r="AV289" s="12"/>
      <c r="AW289" s="12"/>
      <c r="AX289" s="12"/>
      <c r="AY289" s="9"/>
      <c r="AZ289" s="12"/>
      <c r="BA289" s="12"/>
      <c r="BB289" s="12"/>
      <c r="BC289" s="12"/>
      <c r="BD289" s="12"/>
      <c r="BE289" s="12"/>
      <c r="BF289" s="12"/>
      <c r="BG289" s="12"/>
      <c r="BH289" s="12"/>
      <c r="BI289" s="12"/>
    </row>
    <row r="290" spans="1:61" ht="15.75" customHeight="1"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13"/>
      <c r="AB290" s="5"/>
      <c r="AC290" s="3"/>
      <c r="AD290" s="9"/>
      <c r="AE290" s="16"/>
      <c r="AF290" s="16"/>
      <c r="AG290" s="9"/>
      <c r="AH290" s="9"/>
      <c r="AI290" s="12"/>
      <c r="AJ290" s="12"/>
      <c r="AK290" s="12"/>
      <c r="AL290" s="12"/>
      <c r="AM290" s="12"/>
      <c r="AN290" s="12"/>
      <c r="AO290" s="12"/>
      <c r="AP290" s="12"/>
      <c r="AQ290" s="12"/>
      <c r="AR290" s="12"/>
      <c r="AS290" s="12"/>
      <c r="AT290" s="12"/>
      <c r="AU290" s="12"/>
      <c r="AV290" s="12"/>
      <c r="AW290" s="12"/>
      <c r="AX290" s="12"/>
      <c r="AY290" s="9"/>
      <c r="AZ290" s="12"/>
      <c r="BA290" s="12"/>
      <c r="BB290" s="12"/>
      <c r="BC290" s="12"/>
      <c r="BD290" s="12"/>
      <c r="BE290" s="12"/>
      <c r="BF290" s="12"/>
      <c r="BG290" s="12"/>
      <c r="BH290" s="12"/>
      <c r="BI290" s="12"/>
    </row>
    <row r="291" spans="1:61" ht="15.75" customHeight="1"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13"/>
      <c r="AB291" s="5"/>
      <c r="AC291" s="3"/>
      <c r="AD291" s="9"/>
      <c r="AE291" s="16"/>
      <c r="AF291" s="16"/>
      <c r="AG291" s="9"/>
      <c r="AH291" s="9"/>
      <c r="AI291" s="12"/>
      <c r="AJ291" s="12"/>
      <c r="AK291" s="12"/>
      <c r="AL291" s="12"/>
      <c r="AM291" s="12"/>
      <c r="AN291" s="12"/>
      <c r="AO291" s="12"/>
      <c r="AP291" s="12"/>
      <c r="AQ291" s="12"/>
      <c r="AR291" s="12"/>
      <c r="AS291" s="12"/>
      <c r="AT291" s="12"/>
      <c r="AU291" s="12"/>
      <c r="AV291" s="12"/>
      <c r="AW291" s="12"/>
      <c r="AX291" s="12"/>
      <c r="AY291" s="9"/>
      <c r="AZ291" s="12"/>
      <c r="BA291" s="12"/>
      <c r="BB291" s="12"/>
      <c r="BC291" s="12"/>
      <c r="BD291" s="12"/>
      <c r="BE291" s="12"/>
      <c r="BF291" s="12"/>
      <c r="BG291" s="12"/>
      <c r="BH291" s="12"/>
      <c r="BI291" s="12"/>
    </row>
    <row r="292" spans="1:61" ht="15.75" customHeight="1"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13"/>
      <c r="AB292" s="5"/>
      <c r="AC292" s="3"/>
      <c r="AD292" s="9"/>
      <c r="AE292" s="16"/>
      <c r="AF292" s="16"/>
      <c r="AG292" s="9"/>
      <c r="AH292" s="9"/>
      <c r="AI292" s="12"/>
      <c r="AJ292" s="12"/>
      <c r="AK292" s="12"/>
      <c r="AL292" s="12"/>
      <c r="AM292" s="12"/>
      <c r="AN292" s="12"/>
      <c r="AO292" s="12"/>
      <c r="AP292" s="12"/>
      <c r="AQ292" s="12"/>
      <c r="AR292" s="12"/>
      <c r="AS292" s="12"/>
      <c r="AT292" s="12"/>
      <c r="AU292" s="12"/>
      <c r="AV292" s="12"/>
      <c r="AW292" s="12"/>
      <c r="AX292" s="12"/>
      <c r="AY292" s="9"/>
      <c r="AZ292" s="12"/>
      <c r="BA292" s="12"/>
      <c r="BB292" s="12"/>
      <c r="BC292" s="12"/>
      <c r="BD292" s="12"/>
      <c r="BE292" s="12"/>
      <c r="BF292" s="12"/>
      <c r="BG292" s="12"/>
      <c r="BH292" s="12"/>
      <c r="BI292" s="12"/>
    </row>
    <row r="293" spans="1:61" ht="15.75" customHeight="1"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13"/>
      <c r="AB293" s="5"/>
      <c r="AC293" s="3"/>
      <c r="AD293" s="9"/>
      <c r="AE293" s="16"/>
      <c r="AF293" s="16"/>
      <c r="AG293" s="9"/>
      <c r="AH293" s="9"/>
      <c r="AI293" s="12"/>
      <c r="AJ293" s="12"/>
      <c r="AK293" s="12"/>
      <c r="AL293" s="12"/>
      <c r="AM293" s="12"/>
      <c r="AN293" s="12"/>
      <c r="AO293" s="12"/>
      <c r="AP293" s="12"/>
      <c r="AQ293" s="12"/>
      <c r="AR293" s="12"/>
      <c r="AS293" s="12"/>
      <c r="AT293" s="12"/>
      <c r="AU293" s="12"/>
      <c r="AV293" s="12"/>
      <c r="AW293" s="12"/>
      <c r="AX293" s="12"/>
      <c r="AY293" s="9"/>
      <c r="AZ293" s="12"/>
      <c r="BA293" s="12"/>
      <c r="BB293" s="12"/>
      <c r="BC293" s="12"/>
      <c r="BD293" s="12"/>
      <c r="BE293" s="12"/>
      <c r="BF293" s="12"/>
      <c r="BG293" s="12"/>
      <c r="BH293" s="12"/>
      <c r="BI293" s="12"/>
    </row>
    <row r="294" spans="1:61" ht="15.75" customHeight="1"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13"/>
      <c r="AB294" s="5"/>
      <c r="AC294" s="3"/>
      <c r="AD294" s="9"/>
      <c r="AE294" s="16"/>
      <c r="AF294" s="16"/>
      <c r="AG294" s="9"/>
      <c r="AH294" s="9"/>
      <c r="AI294" s="12"/>
      <c r="AJ294" s="12"/>
      <c r="AK294" s="12"/>
      <c r="AL294" s="12"/>
      <c r="AM294" s="12"/>
      <c r="AN294" s="12"/>
      <c r="AO294" s="12"/>
      <c r="AP294" s="12"/>
      <c r="AQ294" s="12"/>
      <c r="AR294" s="12"/>
      <c r="AS294" s="12"/>
      <c r="AT294" s="12"/>
      <c r="AU294" s="12"/>
      <c r="AV294" s="12"/>
      <c r="AW294" s="12"/>
      <c r="AX294" s="12"/>
      <c r="AY294" s="9"/>
      <c r="AZ294" s="12"/>
      <c r="BA294" s="12"/>
      <c r="BB294" s="12"/>
      <c r="BC294" s="12"/>
      <c r="BD294" s="12"/>
      <c r="BE294" s="12"/>
      <c r="BF294" s="12"/>
      <c r="BG294" s="12"/>
      <c r="BH294" s="12"/>
      <c r="BI294" s="12"/>
    </row>
    <row r="295" spans="1:61" ht="15.75" customHeight="1"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13"/>
      <c r="AB295" s="5"/>
      <c r="AC295" s="3"/>
      <c r="AD295" s="9"/>
      <c r="AE295" s="16"/>
      <c r="AF295" s="16"/>
      <c r="AG295" s="9"/>
      <c r="AH295" s="9"/>
      <c r="AI295" s="12"/>
      <c r="AJ295" s="12"/>
      <c r="AK295" s="12"/>
      <c r="AL295" s="12"/>
      <c r="AM295" s="12"/>
      <c r="AN295" s="12"/>
      <c r="AO295" s="12"/>
      <c r="AP295" s="12"/>
      <c r="AQ295" s="12"/>
      <c r="AR295" s="12"/>
      <c r="AS295" s="12"/>
      <c r="AT295" s="12"/>
      <c r="AU295" s="12"/>
      <c r="AV295" s="12"/>
      <c r="AW295" s="12"/>
      <c r="AX295" s="12"/>
      <c r="AY295" s="9"/>
      <c r="AZ295" s="12"/>
      <c r="BA295" s="12"/>
      <c r="BB295" s="12"/>
      <c r="BC295" s="12"/>
      <c r="BD295" s="12"/>
      <c r="BE295" s="12"/>
      <c r="BF295" s="12"/>
      <c r="BG295" s="12"/>
      <c r="BH295" s="12"/>
      <c r="BI295" s="12"/>
    </row>
    <row r="296" spans="1:61" ht="15.75" customHeight="1"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13"/>
      <c r="AB296" s="5"/>
      <c r="AC296" s="3"/>
      <c r="AD296" s="9"/>
      <c r="AE296" s="16"/>
      <c r="AF296" s="16"/>
      <c r="AG296" s="9"/>
      <c r="AH296" s="9"/>
      <c r="AI296" s="12"/>
      <c r="AJ296" s="12"/>
      <c r="AK296" s="12"/>
      <c r="AL296" s="12"/>
      <c r="AM296" s="12"/>
      <c r="AN296" s="12"/>
      <c r="AO296" s="12"/>
      <c r="AP296" s="12"/>
      <c r="AQ296" s="12"/>
      <c r="AR296" s="12"/>
      <c r="AS296" s="12"/>
      <c r="AT296" s="12"/>
      <c r="AU296" s="12"/>
      <c r="AV296" s="12"/>
      <c r="AW296" s="12"/>
      <c r="AX296" s="12"/>
      <c r="AY296" s="9"/>
      <c r="AZ296" s="12"/>
      <c r="BA296" s="12"/>
      <c r="BB296" s="12"/>
      <c r="BC296" s="12"/>
      <c r="BD296" s="12"/>
      <c r="BE296" s="12"/>
      <c r="BF296" s="12"/>
      <c r="BG296" s="12"/>
      <c r="BH296" s="12"/>
      <c r="BI296" s="12"/>
    </row>
    <row r="297" spans="1:61" ht="15.75" customHeight="1"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13"/>
      <c r="AB297" s="5"/>
      <c r="AC297" s="3"/>
      <c r="AD297" s="9"/>
      <c r="AE297" s="16"/>
      <c r="AF297" s="16"/>
      <c r="AG297" s="9"/>
      <c r="AH297" s="9"/>
      <c r="AI297" s="12"/>
      <c r="AJ297" s="12"/>
      <c r="AK297" s="12"/>
      <c r="AL297" s="12"/>
      <c r="AM297" s="12"/>
      <c r="AN297" s="12"/>
      <c r="AO297" s="12"/>
      <c r="AP297" s="12"/>
      <c r="AQ297" s="12"/>
      <c r="AR297" s="12"/>
      <c r="AS297" s="12"/>
      <c r="AT297" s="12"/>
      <c r="AU297" s="12"/>
      <c r="AV297" s="12"/>
      <c r="AW297" s="12"/>
      <c r="AX297" s="12"/>
      <c r="AY297" s="9"/>
      <c r="AZ297" s="12"/>
      <c r="BA297" s="12"/>
      <c r="BB297" s="12"/>
      <c r="BC297" s="12"/>
      <c r="BD297" s="12"/>
      <c r="BE297" s="12"/>
      <c r="BF297" s="12"/>
      <c r="BG297" s="12"/>
      <c r="BH297" s="12"/>
      <c r="BI297" s="12"/>
    </row>
    <row r="298" spans="1:61" ht="15.75" customHeight="1"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13"/>
      <c r="AB298" s="5"/>
      <c r="AC298" s="3"/>
      <c r="AD298" s="9"/>
      <c r="AE298" s="16"/>
      <c r="AF298" s="16"/>
      <c r="AG298" s="9"/>
      <c r="AH298" s="9"/>
      <c r="AI298" s="12"/>
      <c r="AJ298" s="12"/>
      <c r="AK298" s="12"/>
      <c r="AL298" s="12"/>
      <c r="AM298" s="12"/>
      <c r="AN298" s="12"/>
      <c r="AO298" s="12"/>
      <c r="AP298" s="12"/>
      <c r="AQ298" s="12"/>
      <c r="AR298" s="12"/>
      <c r="AS298" s="12"/>
      <c r="AT298" s="12"/>
      <c r="AU298" s="12"/>
      <c r="AV298" s="12"/>
      <c r="AW298" s="12"/>
      <c r="AX298" s="12"/>
      <c r="AY298" s="9"/>
      <c r="AZ298" s="12"/>
      <c r="BA298" s="12"/>
      <c r="BB298" s="12"/>
      <c r="BC298" s="12"/>
      <c r="BD298" s="12"/>
      <c r="BE298" s="12"/>
      <c r="BF298" s="12"/>
      <c r="BG298" s="12"/>
      <c r="BH298" s="12"/>
      <c r="BI298" s="12"/>
    </row>
    <row r="299" spans="1:61" ht="15.75" customHeight="1"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61" ht="15.75" customHeight="1">
      <c r="A300" s="1"/>
      <c r="B300" s="3"/>
      <c r="C300" s="3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</row>
    <row r="301" spans="1:61" ht="15.75" customHeight="1">
      <c r="A301" s="1"/>
      <c r="B301" s="3"/>
      <c r="C301" s="3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  <c r="AE301" s="5"/>
      <c r="AF301" s="5"/>
    </row>
    <row r="302" spans="1:61" ht="15.75" customHeight="1">
      <c r="A302" s="1"/>
      <c r="B302" s="3"/>
      <c r="C302" s="3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  <c r="AE302" s="5"/>
      <c r="AF302" s="5"/>
    </row>
    <row r="303" spans="1:61" ht="15.75" customHeight="1"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61" ht="15.75" customHeight="1"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2:26" ht="15.75" customHeight="1"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2:26" ht="15.75" customHeight="1"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2:26" ht="15.75" customHeight="1"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2:26" ht="15.75" customHeight="1"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2:26" ht="15.75" customHeight="1"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2:26" ht="15.75" customHeight="1"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2:26" ht="15.75" customHeight="1"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2:26" ht="15.75" customHeight="1"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2:26" ht="15.75" customHeight="1"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2:26" ht="15.75" customHeight="1"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2:26" ht="15.75" customHeight="1"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2:26" ht="15.75" customHeight="1"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2:26" ht="15.75" customHeight="1"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2:26" ht="15.75" customHeight="1"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2:26" ht="15.75" customHeight="1"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2:26" ht="15.75" customHeight="1"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2:26" ht="15.75" customHeight="1"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2:26" ht="15.75" customHeight="1"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2:26" ht="15.75" customHeight="1"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2:26" ht="15.75" customHeight="1"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2:26" ht="15.75" customHeight="1"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2:26" ht="15.75" customHeight="1"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2:26" ht="15.75" customHeight="1"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2:26" ht="15.75" customHeight="1"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2:26" ht="15.75" customHeight="1"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2:26" ht="15.75" customHeight="1"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2:26" ht="15.75" customHeight="1"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2:26" ht="15.75" customHeight="1"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2:26" ht="15.75" customHeight="1"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2:26" ht="15.75" customHeight="1"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2:26" ht="15.75" customHeight="1"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2:26" ht="15.75" customHeight="1"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2:26" ht="15.75" customHeight="1"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2:26" ht="15.75" customHeight="1"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2:26" ht="15.75" customHeight="1"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2:26" ht="15.75" customHeight="1"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2:26" ht="15.75" customHeight="1"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2:26" ht="15.75" customHeight="1"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2:26" ht="15.75" customHeight="1"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2:26" ht="15.75" customHeight="1"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2:26" ht="15.75" customHeight="1"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2:26" ht="15.75" customHeight="1"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2:26" ht="15.75" customHeight="1"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2:26" ht="15.75" customHeight="1"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2:26" ht="15.75" customHeight="1"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2:26" ht="15.75" customHeight="1"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2:26" ht="15.75" customHeight="1"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2:26" ht="15.75" customHeight="1"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2:26" ht="15.75" customHeight="1"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2:26" ht="15.75" customHeight="1"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2:26" ht="15.75" customHeight="1"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2:26" ht="15.75" customHeight="1"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2:26" ht="15.75" customHeight="1"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2:26" ht="15.75" customHeight="1"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2:26" ht="15.75" customHeight="1"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2:26" ht="15.75" customHeight="1"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2:26" ht="15.75" customHeight="1"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2:26" ht="15.75" customHeight="1"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2:26" ht="15.75" customHeight="1"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2:26" ht="15.75" customHeight="1"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2:26" ht="15.75" customHeight="1"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2:26" ht="15.75" customHeight="1"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2:26" ht="15.75" customHeight="1"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2:26" ht="15.75" customHeight="1"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2:26" ht="15.75" customHeight="1"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2:26" ht="15.75" customHeight="1"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2:26" ht="15.75" customHeight="1"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2:26" ht="15.75" customHeight="1"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2:26" ht="15.75" customHeight="1"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2:26" ht="15.75" customHeight="1"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2:26" ht="15.75" customHeight="1"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2:26" ht="15.75" customHeight="1"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2:26" ht="15.75" customHeight="1"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2:26" ht="15.75" customHeight="1"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2:26" ht="15.75" customHeight="1"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2:26" ht="15.75" customHeight="1"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2:26" ht="15.75" customHeight="1"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2:26" ht="15.75" customHeight="1"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2:26" ht="15.75" customHeight="1"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2:26" ht="15.75" customHeight="1"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2:26" ht="15.75" customHeight="1"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2:26" ht="15.75" customHeight="1"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2:26" ht="15.75" customHeight="1"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2:26" ht="15.75" customHeight="1"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2:26" ht="15.75" customHeight="1"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2:26" ht="15.75" customHeight="1"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2:26" ht="15.75" customHeight="1"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2:26" ht="15.75" customHeight="1"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2:26" ht="15.75" customHeight="1"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2:26" ht="15.75" customHeight="1"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2:26" ht="15.75" customHeight="1"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2:26" ht="15.75" customHeight="1"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2:26" ht="15.75" customHeight="1"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2:26" ht="15.75" customHeight="1"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2:26" ht="15.75" customHeight="1"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2:26" ht="15.75" customHeight="1"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2:26" ht="15.75" customHeight="1"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2:26" ht="15.75" customHeight="1"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2:26" ht="15.75" customHeight="1"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2:26" ht="15.75" customHeight="1"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2:26" ht="15.75" customHeight="1"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2:26" ht="15.75" customHeight="1"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2:26" ht="15.75" customHeight="1"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2:26" ht="15.75" customHeight="1"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2:26" ht="15.75" customHeight="1"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2:26" ht="15.75" customHeight="1"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2:26" ht="15.75" customHeight="1"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2:26" ht="15.75" customHeight="1"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2:26" ht="15.75" customHeight="1"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2:26" ht="15.75" customHeight="1"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2:26" ht="15.75" customHeight="1"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2:26" ht="15.75" customHeight="1"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2:26" ht="15.75" customHeight="1"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2:26" ht="15.75" customHeight="1"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2:26" ht="15.75" customHeight="1"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2:26" ht="15.75" customHeight="1"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2:26" ht="15.75" customHeight="1"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2:26" ht="15.75" customHeight="1"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2:26" ht="15.75" customHeight="1"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2:26" ht="15.75" customHeight="1"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2:26" ht="15.75" customHeight="1"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2:26" ht="15.75" customHeight="1"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2:26" ht="15.75" customHeight="1"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2:26" ht="15.75" customHeight="1"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2:26" ht="15.75" customHeight="1"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2:26" ht="15.75" customHeight="1"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2:26" ht="15.75" customHeight="1"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2:26" ht="15.75" customHeight="1"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2:26" ht="15.75" customHeight="1"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2:26" ht="15.75" customHeight="1"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2:26" ht="15.75" customHeight="1"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2:26" ht="15.75" customHeight="1"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2:26" ht="15.75" customHeight="1"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2:26" ht="15.75" customHeight="1"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2:26" ht="15.75" customHeight="1"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2:26" ht="15.75" customHeight="1"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2:26" ht="15.75" customHeight="1"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2:26" ht="15.75" customHeight="1"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2:26" ht="15.75" customHeight="1"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2:26" ht="15.75" customHeight="1"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2:26" ht="15.75" customHeight="1"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2:26" ht="15.75" customHeight="1"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2:26" ht="15.75" customHeight="1"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2:26" ht="15.75" customHeight="1"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2:26" ht="15.75" customHeight="1"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2:26" ht="15.75" customHeight="1"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2:26" ht="15.75" customHeight="1"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2:26" ht="15.75" customHeight="1"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2:26" ht="15.75" customHeight="1"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2:26" ht="15.75" customHeight="1"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2:26" ht="15.75" customHeight="1"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2:26" ht="15.75" customHeight="1"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2:26" ht="15.75" customHeight="1"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2:26" ht="15.75" customHeight="1"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2:26" ht="15.75" customHeight="1"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2:26" ht="15.75" customHeight="1"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2:26" ht="15.75" customHeight="1"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2:26" ht="15.75" customHeight="1"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2:26" ht="15.75" customHeight="1"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2:26" ht="15.75" customHeight="1"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2:26" ht="15.75" customHeight="1"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2:26" ht="15.75" customHeight="1"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2:26" ht="15.75" customHeight="1"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2:26" ht="15.75" customHeight="1"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2:26" ht="15.75" customHeight="1"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2:26" ht="15.75" customHeight="1"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2:26" ht="15.75" customHeight="1"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2:26" ht="15.75" customHeight="1"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2:26" ht="15.75" customHeight="1"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2:26" ht="15.75" customHeight="1"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2:26" ht="15.75" customHeight="1"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2:26" ht="15.75" customHeight="1"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2:26" ht="15.75" customHeight="1"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2:26" ht="15.75" customHeight="1"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2:26" ht="15.75" customHeight="1"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2:26" ht="15.75" customHeight="1"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2:26" ht="15.75" customHeight="1"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2:26" ht="15.75" customHeight="1"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2:26" ht="15.75" customHeight="1"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2:26" ht="15.75" customHeight="1"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2:26" ht="15.75" customHeight="1"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2:26" ht="15.75" customHeight="1"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2:26" ht="15.75" customHeight="1"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2:26" ht="15.75" customHeight="1"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2:26" ht="15.75" customHeight="1"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2:26" ht="15.75" customHeight="1"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2:26" ht="15.75" customHeight="1"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2:26" ht="15.75" customHeight="1"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2:26" ht="15.75" customHeight="1"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2:26" ht="15.75" customHeight="1"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2:26" ht="15.75" customHeight="1"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2:26" ht="15.75" customHeight="1"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2:26" ht="15.75" customHeight="1"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2:26" ht="15.75" customHeight="1"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2:26" ht="15.75" customHeight="1"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2:26" ht="15.75" customHeight="1"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2:26" ht="15.75" customHeight="1"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2:26" ht="15.75" customHeight="1"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2:26" ht="15.75" customHeight="1"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2:26" ht="15.75" customHeight="1"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2:26" ht="15.75" customHeight="1"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2:26" ht="15.75" customHeight="1"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2:26" ht="15.75" customHeight="1"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2:26" ht="15.75" customHeight="1"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2:26" ht="15.75" customHeight="1"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2:26" ht="15.75" customHeight="1"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2:26" ht="15.75" customHeight="1"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2:26" ht="15.75" customHeight="1"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2:26" ht="15.75" customHeight="1"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2:26" ht="15.75" customHeight="1"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2:26" ht="15.75" customHeight="1"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2:26" ht="15.75" customHeight="1"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2:26" ht="15.75" customHeight="1"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2:26" ht="15.75" customHeight="1"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2:26" ht="15.75" customHeight="1"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2:26" ht="15.75" customHeight="1"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2:26" ht="15.75" customHeight="1"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2:26" ht="15.75" customHeight="1"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2:26" ht="15.75" customHeight="1"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2:26" ht="15.75" customHeight="1"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2:26" ht="15.75" customHeight="1"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2:26" ht="15.75" customHeight="1"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2:26" ht="15.75" customHeight="1"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2:26" ht="15.75" customHeight="1"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2:26" ht="15.75" customHeight="1"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2:26" ht="15.75" customHeight="1"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2:26" ht="15.75" customHeight="1"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2:26" ht="15.75" customHeight="1"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2:26" ht="15.75" customHeight="1"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2:26" ht="15.75" customHeight="1"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2:26" ht="15.75" customHeight="1"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2:26" ht="15.75" customHeight="1"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2:26" ht="15.75" customHeight="1"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2:26" ht="15.75" customHeight="1"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2:26" ht="15.75" customHeight="1"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2:26" ht="15.75" customHeight="1"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2:26" ht="15.75" customHeight="1"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2:26" ht="15.75" customHeight="1"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2:26" ht="15.75" customHeight="1"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2:26" ht="15.75" customHeight="1"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2:26" ht="15.75" customHeight="1"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2:26" ht="15.75" customHeight="1"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2:26" ht="15.75" customHeight="1"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2:26" ht="15.75" customHeight="1"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2:26" ht="15.75" customHeight="1"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2:26" ht="15.75" customHeight="1"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2:26" ht="15.75" customHeight="1"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2:26" ht="15.75" customHeight="1"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2:26" ht="15.75" customHeight="1"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2:26" ht="15.75" customHeight="1"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2:26" ht="15.75" customHeight="1"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2:26" ht="15.75" customHeight="1"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2:26" ht="15.75" customHeight="1"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2:26" ht="15.75" customHeight="1"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2:26" ht="15.75" customHeight="1"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2:26" ht="15.75" customHeight="1"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2:26" ht="15.75" customHeight="1"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2:26" ht="15.75" customHeight="1"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2:26" ht="15.75" customHeight="1"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2:26" ht="15.75" customHeight="1"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2:26" ht="15.75" customHeight="1"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2:26" ht="15.75" customHeight="1"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2:26" ht="15.75" customHeight="1"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2:26" ht="15.75" customHeight="1"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2:26" ht="15.75" customHeight="1"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2:26" ht="15.75" customHeight="1"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2:26" ht="15.75" customHeight="1"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2:26" ht="15.75" customHeight="1"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2:26" ht="15.75" customHeight="1"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2:26" ht="15.75" customHeight="1"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2:26" ht="15.75" customHeight="1"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2:26" ht="15.75" customHeight="1"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2:26" ht="15.75" customHeight="1"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2:26" ht="15.75" customHeight="1"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2:26" ht="15.75" customHeight="1"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2:26" ht="15.75" customHeight="1"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2:26" ht="15.75" customHeight="1"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2:26" ht="15.75" customHeight="1"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2:26" ht="15.75" customHeight="1"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2:26" ht="15.75" customHeight="1"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2:26" ht="15.75" customHeight="1"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2:26" ht="15.75" customHeight="1"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2:26" ht="15.75" customHeight="1"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2:26" ht="15.75" customHeight="1"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2:26" ht="15.75" customHeight="1"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2:26" ht="15.75" customHeight="1"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2:26" ht="15.75" customHeight="1"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2:26" ht="15.75" customHeight="1"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2:26" ht="15.75" customHeight="1"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2:26" ht="15.75" customHeight="1"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2:26" ht="15.75" customHeight="1"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2:26" ht="15.75" customHeight="1"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2:26" ht="15.75" customHeight="1"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2:26" ht="15.75" customHeight="1"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2:26" ht="15.75" customHeight="1"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2:26" ht="15.75" customHeight="1"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2:26" ht="15.75" customHeight="1"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2:26" ht="15.75" customHeight="1"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2:26" ht="15.75" customHeight="1"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2:26" ht="15.75" customHeight="1"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2:26" ht="15.75" customHeight="1"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2:26" ht="15.75" customHeight="1"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2:26" ht="15.75" customHeight="1"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2:26" ht="15.75" customHeight="1"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2:26" ht="15.75" customHeight="1"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2:26" ht="15.75" customHeight="1"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2:26" ht="15.75" customHeight="1"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2:26" ht="15.75" customHeight="1"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2:26" ht="15.75" customHeight="1"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2:26" ht="15.75" customHeight="1"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2:26" ht="15.75" customHeight="1"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2:26" ht="15.75" customHeight="1"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2:26" ht="15.75" customHeight="1"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2:26" ht="15.75" customHeight="1"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2:26" ht="15.75" customHeight="1"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2:26" ht="15.75" customHeight="1"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2:26" ht="15.75" customHeight="1"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2:26" ht="15.75" customHeight="1"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2:26" ht="15.75" customHeight="1"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2:26" ht="15.75" customHeight="1"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2:26" ht="15.75" customHeight="1"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2:26" ht="15.75" customHeight="1"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2:26" ht="15.75" customHeight="1"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2:26" ht="15.75" customHeight="1"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2:26" ht="15.75" customHeight="1"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2:26" ht="15.75" customHeight="1"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2:26" ht="15.75" customHeight="1"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2:26" ht="15.75" customHeight="1"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2:26" ht="15.75" customHeight="1"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2:26" ht="15.75" customHeight="1"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2:26" ht="15.75" customHeight="1"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2:26" ht="15.75" customHeight="1"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2:26" ht="15.75" customHeight="1"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2:26" ht="15.75" customHeight="1"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2:26" ht="15.75" customHeight="1"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2:26" ht="15.75" customHeight="1"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2:26" ht="15.75" customHeight="1"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2:26" ht="15.75" customHeight="1"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2:26" ht="15.75" customHeight="1"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2:26" ht="15.75" customHeight="1"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2:26" ht="15.75" customHeight="1"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2:26" ht="15.75" customHeight="1"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2:26" ht="15.75" customHeight="1"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2:26" ht="15.75" customHeight="1"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2:26" ht="15.75" customHeight="1"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2:26" ht="15.75" customHeight="1"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2:26" ht="15.75" customHeight="1"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2:26" ht="15.75" customHeight="1"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2:26" ht="15.75" customHeight="1"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2:26" ht="15.75" customHeight="1"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2:26" ht="15.75" customHeight="1"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2:26" ht="15.75" customHeight="1"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2:26" ht="15.75" customHeight="1"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2:26" ht="15.75" customHeight="1"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2:26" ht="15.75" customHeight="1"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2:26" ht="15.75" customHeight="1"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2:26" ht="15.75" customHeight="1"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2:26" ht="15.75" customHeight="1"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2:26" ht="15.75" customHeight="1"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2:26" ht="15.75" customHeight="1"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2:26" ht="15.75" customHeight="1"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2:26" ht="15.75" customHeight="1"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2:26" ht="15.75" customHeight="1"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2:26" ht="15.75" customHeight="1"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2:26" ht="15.75" customHeight="1"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2:26" ht="15.75" customHeight="1"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2:26" ht="15.75" customHeight="1"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2:26" ht="15.75" customHeight="1"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2:26" ht="15.75" customHeight="1"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2:26" ht="15.75" customHeight="1"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2:26" ht="15.75" customHeight="1"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2:26" ht="15.75" customHeight="1"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2:26" ht="15.75" customHeight="1"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2:26" ht="15.75" customHeight="1"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2:26" ht="15.75" customHeight="1"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2:26" ht="15.75" customHeight="1"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2:26" ht="15.75" customHeight="1"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2:26" ht="15.75" customHeight="1"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2:26" ht="15.75" customHeight="1"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2:26" ht="15.75" customHeight="1"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2:26" ht="15.75" customHeight="1"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2:26" ht="15.75" customHeight="1"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2:26" ht="15.75" customHeight="1"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2:26" ht="15.75" customHeight="1"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2:26" ht="15.75" customHeight="1"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2:26" ht="15.75" customHeight="1"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2:26" ht="15.75" customHeight="1"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2:26" ht="15.75" customHeight="1"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2:26" ht="15.75" customHeight="1"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2:26" ht="15.75" customHeight="1"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2:26" ht="15.75" customHeight="1"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2:26" ht="15.75" customHeight="1"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2:26" ht="15.75" customHeight="1"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2:26" ht="15.75" customHeight="1"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2:26" ht="15.75" customHeight="1"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2:26" ht="15.75" customHeight="1"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2:26" ht="15.75" customHeight="1"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2:26" ht="15.75" customHeight="1"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2:26" ht="15.75" customHeight="1"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2:26" ht="15.75" customHeight="1"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2:26" ht="15.75" customHeight="1"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2:26" ht="15.75" customHeight="1"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2:26" ht="15.75" customHeight="1"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2:26" ht="15.75" customHeight="1"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2:26" ht="15.75" customHeight="1"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2:26" ht="15.75" customHeight="1"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2:26" ht="15.75" customHeight="1"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2:26" ht="15.75" customHeight="1"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2:26" ht="15.75" customHeight="1"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2:26" ht="15.75" customHeight="1"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2:26" ht="15.75" customHeight="1"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2:26" ht="15.75" customHeight="1"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2:26" ht="15.75" customHeight="1"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2:26" ht="15.75" customHeight="1"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2:26" ht="15.75" customHeight="1"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2:26" ht="15.75" customHeight="1"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2:26" ht="15.75" customHeight="1"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2:26" ht="15.75" customHeight="1"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2:26" ht="15.75" customHeight="1"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2:26" ht="15.75" customHeight="1"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2:26" ht="15.75" customHeight="1"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2:26" ht="15.75" customHeight="1"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2:26" ht="15.75" customHeight="1"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2:26" ht="15.75" customHeight="1"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2:26" ht="15.75" customHeight="1"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2:26" ht="15.75" customHeight="1"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2:26" ht="15.75" customHeight="1"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2:26" ht="15.75" customHeight="1"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2:26" ht="15.75" customHeight="1"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2:26" ht="15.75" customHeight="1"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2:26" ht="15.75" customHeight="1"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2:26" ht="15.75" customHeight="1"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2:26" ht="15.75" customHeight="1"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2:26" ht="15.75" customHeight="1"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2:26" ht="15.75" customHeight="1"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2:26" ht="15.75" customHeight="1"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2:26" ht="15.75" customHeight="1"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2:26" ht="15.75" customHeight="1"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2:26" ht="15.75" customHeight="1"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2:26" ht="15.75" customHeight="1"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2:26" ht="15.75" customHeight="1"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2:26" ht="15.75" customHeight="1"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2:26" ht="15.75" customHeight="1"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2:26" ht="15.75" customHeight="1"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2:26" ht="15.75" customHeight="1"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2:26" ht="15.75" customHeight="1"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2:26" ht="15.75" customHeight="1"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2:26" ht="15.75" customHeight="1"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2:26" ht="15.75" customHeight="1"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2:26" ht="15.75" customHeight="1"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2:26" ht="15.75" customHeight="1"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2:26" ht="15.75" customHeight="1"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2:26" ht="15.75" customHeight="1"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2:26" ht="15.75" customHeight="1"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2:26" ht="15.75" customHeight="1"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2:26" ht="15.75" customHeight="1"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2:26" ht="15.75" customHeight="1"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2:26" ht="15.75" customHeight="1"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2:26" ht="15.75" customHeight="1"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2:26" ht="15.75" customHeight="1"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2:26" ht="15.75" customHeight="1"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2:26" ht="15.75" customHeight="1"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2:26" ht="15.75" customHeight="1"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2:26" ht="15.75" customHeight="1"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2:26" ht="15.75" customHeight="1"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2:26" ht="15.75" customHeight="1"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2:26" ht="15.75" customHeight="1"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2:26" ht="15.75" customHeight="1"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2:26" ht="15.75" customHeight="1"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2:26" ht="15.75" customHeight="1"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2:26" ht="15.75" customHeight="1"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2:26" ht="15.75" customHeight="1"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2:26" ht="15.75" customHeight="1"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2:26" ht="15.75" customHeight="1"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2:26" ht="15.75" customHeight="1"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2:26" ht="15.75" customHeight="1"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2:26" ht="15.75" customHeight="1"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2:26" ht="15.75" customHeight="1"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2:26" ht="15.75" customHeight="1"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2:26" ht="15.75" customHeight="1"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2:26" ht="15.75" customHeight="1"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2:26" ht="15.75" customHeight="1"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2:26" ht="15.75" customHeight="1"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2:26" ht="15.75" customHeight="1"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2:26" ht="15.75" customHeight="1"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2:26" ht="15.75" customHeight="1"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2:26" ht="15.75" customHeight="1"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2:26" ht="15.75" customHeight="1"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2:26" ht="15.75" customHeight="1"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2:26" ht="15.75" customHeight="1"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2:26" ht="15.75" customHeight="1"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2:26" ht="15.75" customHeight="1"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2:26" ht="15.75" customHeight="1"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2:26" ht="15.75" customHeight="1"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2:26" ht="15.75" customHeight="1"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2:26" ht="15.75" customHeight="1"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2:26" ht="15.75" customHeight="1"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2:26" ht="15.75" customHeight="1"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2:26" ht="15.75" customHeight="1"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2:26" ht="15.75" customHeight="1"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2:26" ht="15.75" customHeight="1"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2:26" ht="15.75" customHeight="1"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2:26" ht="15.75" customHeight="1"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2:26" ht="15.75" customHeight="1"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2:26" ht="15.75" customHeight="1"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2:26" ht="15.75" customHeight="1"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2:26" ht="15.75" customHeight="1"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2:26" ht="15.75" customHeight="1"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2:26" ht="15.75" customHeight="1"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2:26" ht="15.75" customHeight="1"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2:26" ht="15.75" customHeight="1"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2:26" ht="15.75" customHeight="1"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2:26" ht="15.75" customHeight="1"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2:26" ht="15.75" customHeight="1"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2:26" ht="15.75" customHeight="1"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2:26" ht="15.75" customHeight="1"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2:26" ht="15.75" customHeight="1"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2:26" ht="15.75" customHeight="1"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2:26" ht="15.75" customHeight="1"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2:26" ht="15.75" customHeight="1"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2:26" ht="15.75" customHeight="1"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2:26" ht="15.75" customHeight="1"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2:26" ht="15.75" customHeight="1"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2:26" ht="15.75" customHeight="1"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2:26" ht="15.75" customHeight="1"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2:26" ht="15.75" customHeight="1"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2:26" ht="15.75" customHeight="1"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2:26" ht="15.75" customHeight="1"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2:26" ht="15.75" customHeight="1"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2:26" ht="15.75" customHeight="1"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2:26" ht="15.75" customHeight="1"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2:26" ht="15.75" customHeight="1"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2:26" ht="15.75" customHeight="1"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2:26" ht="15.75" customHeight="1"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2:26" ht="15.75" customHeight="1"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2:26" ht="15.75" customHeight="1"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2:26" ht="15.75" customHeight="1"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2:26" ht="15.75" customHeight="1"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2:26" ht="15.75" customHeight="1"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2:26" ht="15.75" customHeight="1"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2:26" ht="15.75" customHeight="1"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2:26" ht="15.75" customHeight="1"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2:26" ht="15.75" customHeight="1"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2:26" ht="15.75" customHeight="1"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2:26" ht="15.75" customHeight="1"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2:26" ht="15.75" customHeight="1"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2:26" ht="15.75" customHeight="1"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2:26" ht="15.75" customHeight="1"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2:26" ht="15.75" customHeight="1"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2:26" ht="15.75" customHeight="1"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2:26" ht="15.75" customHeight="1"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2:26" ht="15.75" customHeight="1"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2:26" ht="15.75" customHeight="1"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2:26" ht="15.75" customHeight="1"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2:26" ht="15.75" customHeight="1"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2:26" ht="15.75" customHeight="1"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2:26" ht="15.75" customHeight="1"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2:26" ht="15.75" customHeight="1"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2:26" ht="15.75" customHeight="1"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2:26" ht="15.75" customHeight="1"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2:26" ht="15.75" customHeight="1"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2:26" ht="15.75" customHeight="1"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2:26" ht="15.75" customHeight="1"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2:26" ht="15.75" customHeight="1"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2:26" ht="15.75" customHeight="1"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2:26" ht="15.75" customHeight="1"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2:26" ht="15.75" customHeight="1"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2:26" ht="15.75" customHeight="1"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2:26" ht="15.75" customHeight="1"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2:26" ht="15.75" customHeight="1"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2:26" ht="15.75" customHeight="1"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2:26" ht="15.75" customHeight="1"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2:26" ht="15.75" customHeight="1"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2:26" ht="15.75" customHeight="1"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2:26" ht="15.75" customHeight="1"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2:26" ht="15.75" customHeight="1"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2:26" ht="15.75" customHeight="1"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2:26" ht="15.75" customHeight="1"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2:26" ht="15.75" customHeight="1"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2:26" ht="15.75" customHeight="1"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2:26" ht="15.75" customHeight="1"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2:26" ht="15.75" customHeight="1"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2:26" ht="15.75" customHeight="1"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2:26" ht="15.75" customHeight="1"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2:26" ht="15.75" customHeight="1"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2:26" ht="15.75" customHeight="1"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2:26" ht="15.75" customHeight="1"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2:26" ht="15.75" customHeight="1"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2:26" ht="15.75" customHeight="1"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2:26" ht="15.75" customHeight="1"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2:26" ht="15.75" customHeight="1"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2:26" ht="15.75" customHeight="1"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2:26" ht="15.75" customHeight="1"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2:26" ht="15.75" customHeight="1"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2:26" ht="15.75" customHeight="1"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2:26" ht="15.75" customHeight="1"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2:26" ht="15.75" customHeight="1"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2:26" ht="15.75" customHeight="1"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2:26" ht="15.75" customHeight="1"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2:26" ht="15.75" customHeight="1"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2:26" ht="15.75" customHeight="1"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2:26" ht="15.75" customHeight="1"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2:26" ht="15.75" customHeight="1"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2:26" ht="15.75" customHeight="1"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2:26" ht="15.75" customHeight="1"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2:26" ht="15.75" customHeight="1"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2:26" ht="15.75" customHeight="1"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2:26" ht="15.75" customHeight="1"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2:26" ht="15.75" customHeight="1"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2:26" ht="15.75" customHeight="1"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2:26" ht="15.75" customHeight="1"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2:26" ht="15.75" customHeight="1"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2:26" ht="15.75" customHeight="1"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2:26" ht="15.75" customHeight="1"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2:26" ht="15.75" customHeight="1"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2:26" ht="15.75" customHeight="1"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2:26" ht="15.75" customHeight="1"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2:26" ht="15.75" customHeight="1"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2:26" ht="15.75" customHeight="1"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2:26" ht="15.75" customHeight="1"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2:26" ht="15.75" customHeight="1"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2:26" ht="15.75" customHeight="1"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2:26" ht="15.75" customHeight="1"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2:26" ht="15.75" customHeight="1"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2:26" ht="15.75" customHeight="1"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2:26" ht="15.75" customHeight="1"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2:26" ht="15.75" customHeight="1"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2:26" ht="15.75" customHeight="1"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2:26" ht="15.75" customHeight="1"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2:26" ht="15.75" customHeight="1"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2:26" ht="15.75" customHeight="1"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2:26" ht="15.75" customHeight="1"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2:26" ht="15.75" customHeight="1"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2:26" ht="15.75" customHeight="1"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2:26" ht="15.75" customHeight="1"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2:26" ht="15.75" customHeight="1"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2:26" ht="15.75" customHeight="1"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2:26" ht="15.75" customHeight="1"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2:26" ht="15.75" customHeight="1"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2:26" ht="15.75" customHeight="1"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2:26" ht="15.75" customHeight="1"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2:26" ht="15.75" customHeight="1"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2:26" ht="15.75" customHeight="1"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2:26" ht="15.75" customHeight="1"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2:26" ht="15.75" customHeight="1"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2:26" ht="15.75" customHeight="1"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2:26" ht="15.75" customHeight="1"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2:26" ht="15.75" customHeight="1"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2:26" ht="15.75" customHeight="1"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2:26" ht="15.75" customHeight="1"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2:26" ht="15.75" customHeight="1"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2:26" ht="15.75" customHeight="1"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2:26" ht="15.75" customHeight="1"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2:26" ht="15.75" customHeight="1"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2:26" ht="15.75" customHeight="1"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2:26" ht="15.75" customHeight="1"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2:26" ht="15.75" customHeight="1"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2:26" ht="15.75" customHeight="1"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2:26" ht="15.75" customHeight="1"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2:26" ht="15.75" customHeight="1"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2:26" ht="15.75" customHeight="1"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2:26" ht="15.75" customHeight="1"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2:26" ht="15.75" customHeight="1"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2:26" ht="15.75" customHeight="1"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2:26" ht="15.75" customHeight="1"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2:26" ht="15.75" customHeight="1"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2:26" ht="15.75" customHeight="1"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2:26" ht="15.75" customHeight="1"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2:26" ht="15.75" customHeight="1"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2:26" ht="15.75" customHeight="1"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2:26" ht="15.75" customHeight="1"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2:26" ht="15.75" customHeight="1"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2:26" ht="15.75" customHeight="1"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2:26" ht="15.75" customHeight="1"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2:26" ht="15.75" customHeight="1"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2:26" ht="15.75" customHeight="1"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2:26" ht="15.75" customHeight="1"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2:26" ht="15.75" customHeight="1"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2:26" ht="15.75" customHeight="1"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2:26" ht="15.75" customHeight="1"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2:26" ht="15.75" customHeight="1"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2:26" ht="15.75" customHeight="1"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2:26" ht="15.75" customHeight="1"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2:26" ht="15.75" customHeight="1"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2:26" ht="15.75" customHeight="1"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2:26" ht="15.75" customHeight="1"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2:26" ht="15.75" customHeight="1"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2:26" ht="15.75" customHeight="1"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2:26" ht="15.75" customHeight="1"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2:26" ht="15.75" customHeight="1"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2:26" ht="15.75" customHeight="1"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2:26" ht="15.75" customHeight="1"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2:26" ht="15.75" customHeight="1"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2:26" ht="15.75" customHeight="1"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2:26" ht="15.75" customHeight="1"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2:26" ht="15.75" customHeight="1"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  <row r="1001" spans="2:26" ht="15.75" customHeight="1"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</row>
    <row r="1002" spans="2:26" ht="15.75" customHeight="1"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</row>
    <row r="1003" spans="2:26" ht="15.75" customHeight="1"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</row>
    <row r="1004" spans="2:26" ht="15.75" customHeight="1"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</row>
    <row r="1005" spans="2:26" ht="15.75" customHeight="1"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</row>
    <row r="1006" spans="2:26" ht="15.75" customHeight="1"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</row>
    <row r="1007" spans="2:26" ht="15.75" customHeight="1"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</row>
    <row r="1008" spans="2:26" ht="15.75" customHeight="1"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3"/>
      <c r="T1008" s="3"/>
      <c r="U1008" s="3"/>
      <c r="V1008" s="3"/>
      <c r="W1008" s="3"/>
      <c r="X1008" s="3"/>
      <c r="Y1008" s="3"/>
      <c r="Z1008" s="3"/>
    </row>
    <row r="1009" spans="2:26" ht="15.75" customHeight="1">
      <c r="B1009" s="3"/>
      <c r="C1009" s="3"/>
      <c r="D1009" s="3"/>
      <c r="E1009" s="3"/>
      <c r="F1009" s="3"/>
      <c r="G1009" s="3"/>
      <c r="H1009" s="3"/>
      <c r="I1009" s="3"/>
      <c r="J1009" s="3"/>
      <c r="K1009" s="3"/>
      <c r="L1009" s="3"/>
      <c r="M1009" s="3"/>
      <c r="N1009" s="3"/>
      <c r="O1009" s="3"/>
      <c r="P1009" s="3"/>
      <c r="Q1009" s="3"/>
      <c r="R1009" s="3"/>
      <c r="S1009" s="3"/>
      <c r="T1009" s="3"/>
      <c r="U1009" s="3"/>
      <c r="V1009" s="3"/>
      <c r="W1009" s="3"/>
      <c r="X1009" s="3"/>
      <c r="Y1009" s="3"/>
      <c r="Z1009" s="3"/>
    </row>
    <row r="1010" spans="2:26" ht="15.75" customHeight="1">
      <c r="B1010" s="3"/>
      <c r="C1010" s="3"/>
      <c r="D1010" s="3"/>
      <c r="E1010" s="3"/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</row>
    <row r="1011" spans="2:26" ht="15.75" customHeight="1">
      <c r="B1011" s="3"/>
      <c r="C1011" s="3"/>
      <c r="D1011" s="3"/>
      <c r="E1011" s="3"/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</row>
    <row r="1012" spans="2:26" ht="15.75" customHeight="1">
      <c r="B1012" s="3"/>
      <c r="C1012" s="3"/>
      <c r="D1012" s="3"/>
      <c r="E1012" s="3"/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</row>
    <row r="1013" spans="2:26" ht="15.75" customHeight="1">
      <c r="B1013" s="3"/>
      <c r="C1013" s="3"/>
      <c r="D1013" s="3"/>
      <c r="E1013" s="3"/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</row>
    <row r="1014" spans="2:26" ht="15.75" customHeight="1">
      <c r="B1014" s="3"/>
      <c r="C1014" s="3"/>
      <c r="D1014" s="3"/>
      <c r="E1014" s="3"/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</row>
    <row r="1015" spans="2:26" ht="15.75" customHeight="1">
      <c r="B1015" s="3"/>
      <c r="C1015" s="3"/>
      <c r="D1015" s="3"/>
      <c r="E1015" s="3"/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</row>
    <row r="1016" spans="2:26" ht="15.75" customHeight="1">
      <c r="B1016" s="3"/>
      <c r="C1016" s="3"/>
      <c r="D1016" s="3"/>
      <c r="E1016" s="3"/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</row>
    <row r="1017" spans="2:26" ht="15.75" customHeight="1">
      <c r="B1017" s="3"/>
      <c r="C1017" s="3"/>
      <c r="D1017" s="3"/>
      <c r="E1017" s="3"/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</row>
    <row r="1018" spans="2:26" ht="15.75" customHeight="1">
      <c r="B1018" s="3"/>
      <c r="C1018" s="3"/>
      <c r="D1018" s="3"/>
      <c r="E1018" s="3"/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</row>
    <row r="1019" spans="2:26" ht="15.75" customHeight="1">
      <c r="B1019" s="3"/>
      <c r="C1019" s="3"/>
      <c r="D1019" s="3"/>
      <c r="E1019" s="3"/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</row>
    <row r="1020" spans="2:26" ht="15.75" customHeight="1">
      <c r="B1020" s="3"/>
      <c r="C1020" s="3"/>
      <c r="D1020" s="3"/>
      <c r="E1020" s="3"/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</row>
    <row r="1021" spans="2:26" ht="15.75" customHeight="1">
      <c r="B1021" s="3"/>
      <c r="C1021" s="3"/>
      <c r="D1021" s="3"/>
      <c r="E1021" s="3"/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</row>
    <row r="1022" spans="2:26" ht="15.75" customHeight="1">
      <c r="B1022" s="3"/>
      <c r="C1022" s="3"/>
      <c r="D1022" s="3"/>
      <c r="E1022" s="3"/>
      <c r="F1022" s="3"/>
      <c r="G1022" s="3"/>
      <c r="H1022" s="3"/>
      <c r="I1022" s="3"/>
      <c r="J1022" s="3"/>
      <c r="K1022" s="3"/>
      <c r="L1022" s="3"/>
      <c r="M1022" s="3"/>
      <c r="N1022" s="3"/>
      <c r="O1022" s="3"/>
      <c r="P1022" s="3"/>
      <c r="Q1022" s="3"/>
      <c r="R1022" s="3"/>
      <c r="S1022" s="3"/>
      <c r="T1022" s="3"/>
      <c r="U1022" s="3"/>
      <c r="V1022" s="3"/>
      <c r="W1022" s="3"/>
      <c r="X1022" s="3"/>
      <c r="Y1022" s="3"/>
      <c r="Z1022" s="3"/>
    </row>
    <row r="1023" spans="2:26" ht="15.75" customHeight="1">
      <c r="B1023" s="3"/>
      <c r="C1023" s="3"/>
      <c r="D1023" s="3"/>
      <c r="E1023" s="3"/>
      <c r="F1023" s="3"/>
      <c r="G1023" s="3"/>
      <c r="H1023" s="3"/>
      <c r="I1023" s="3"/>
      <c r="J1023" s="3"/>
      <c r="K1023" s="3"/>
      <c r="L1023" s="3"/>
      <c r="M1023" s="3"/>
      <c r="N1023" s="3"/>
      <c r="O1023" s="3"/>
      <c r="P1023" s="3"/>
      <c r="Q1023" s="3"/>
      <c r="R1023" s="3"/>
      <c r="S1023" s="3"/>
      <c r="T1023" s="3"/>
      <c r="U1023" s="3"/>
      <c r="V1023" s="3"/>
      <c r="W1023" s="3"/>
      <c r="X1023" s="3"/>
      <c r="Y1023" s="3"/>
      <c r="Z1023" s="3"/>
    </row>
    <row r="1024" spans="2:26" ht="15.75" customHeight="1">
      <c r="B1024" s="3"/>
      <c r="C1024" s="3"/>
      <c r="D1024" s="3"/>
      <c r="E1024" s="3"/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</row>
    <row r="1025" spans="2:26" ht="15.75" customHeight="1">
      <c r="B1025" s="3"/>
      <c r="C1025" s="3"/>
      <c r="D1025" s="3"/>
      <c r="E1025" s="3"/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</row>
    <row r="1026" spans="2:26" ht="15.75" customHeight="1">
      <c r="B1026" s="3"/>
      <c r="C1026" s="3"/>
      <c r="D1026" s="3"/>
      <c r="E1026" s="3"/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</row>
    <row r="1027" spans="2:26" ht="15.75" customHeight="1">
      <c r="B1027" s="3"/>
      <c r="C1027" s="3"/>
      <c r="D1027" s="3"/>
      <c r="E1027" s="3"/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</row>
    <row r="1028" spans="2:26" ht="15.75" customHeight="1">
      <c r="B1028" s="3"/>
      <c r="C1028" s="3"/>
      <c r="D1028" s="3"/>
      <c r="E1028" s="3"/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</row>
    <row r="1029" spans="2:26" ht="15.75" customHeight="1">
      <c r="B1029" s="3"/>
      <c r="C1029" s="3"/>
      <c r="D1029" s="3"/>
      <c r="E1029" s="3"/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</row>
    <row r="1030" spans="2:26" ht="15.75" customHeight="1">
      <c r="B1030" s="3"/>
      <c r="C1030" s="3"/>
      <c r="D1030" s="3"/>
      <c r="E1030" s="3"/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</row>
    <row r="1031" spans="2:26" ht="15.75" customHeight="1">
      <c r="B1031" s="3"/>
      <c r="C1031" s="3"/>
      <c r="D1031" s="3"/>
      <c r="E1031" s="3"/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</row>
    <row r="1032" spans="2:26" ht="15.75" customHeight="1">
      <c r="B1032" s="3"/>
      <c r="C1032" s="3"/>
      <c r="D1032" s="3"/>
      <c r="E1032" s="3"/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</row>
    <row r="1033" spans="2:26" ht="15.75" customHeight="1">
      <c r="B1033" s="3"/>
      <c r="C1033" s="3"/>
      <c r="D1033" s="3"/>
      <c r="E1033" s="3"/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</row>
    <row r="1034" spans="2:26" ht="15.75" customHeight="1">
      <c r="B1034" s="3"/>
      <c r="C1034" s="3"/>
      <c r="D1034" s="3"/>
      <c r="E1034" s="3"/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</row>
    <row r="1035" spans="2:26" ht="15.75" customHeight="1">
      <c r="B1035" s="3"/>
      <c r="C1035" s="3"/>
      <c r="D1035" s="3"/>
      <c r="E1035" s="3"/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</row>
    <row r="1036" spans="2:26" ht="15.75" customHeight="1">
      <c r="B1036" s="3"/>
      <c r="C1036" s="3"/>
      <c r="D1036" s="3"/>
      <c r="E1036" s="3"/>
      <c r="F1036" s="3"/>
      <c r="G1036" s="3"/>
      <c r="H1036" s="3"/>
      <c r="I1036" s="3"/>
      <c r="J1036" s="3"/>
      <c r="K1036" s="3"/>
      <c r="L1036" s="3"/>
      <c r="M1036" s="3"/>
      <c r="N1036" s="3"/>
      <c r="O1036" s="3"/>
      <c r="P1036" s="3"/>
      <c r="Q1036" s="3"/>
      <c r="R1036" s="3"/>
      <c r="S1036" s="3"/>
      <c r="T1036" s="3"/>
      <c r="U1036" s="3"/>
      <c r="V1036" s="3"/>
      <c r="W1036" s="3"/>
      <c r="X1036" s="3"/>
      <c r="Y1036" s="3"/>
      <c r="Z1036" s="3"/>
    </row>
    <row r="1037" spans="2:26" ht="15.75" customHeight="1">
      <c r="B1037" s="3"/>
      <c r="C1037" s="3"/>
      <c r="D1037" s="3"/>
      <c r="E1037" s="3"/>
      <c r="F1037" s="3"/>
      <c r="G1037" s="3"/>
      <c r="H1037" s="3"/>
      <c r="I1037" s="3"/>
      <c r="J1037" s="3"/>
      <c r="K1037" s="3"/>
      <c r="L1037" s="3"/>
      <c r="M1037" s="3"/>
      <c r="N1037" s="3"/>
      <c r="O1037" s="3"/>
      <c r="P1037" s="3"/>
      <c r="Q1037" s="3"/>
      <c r="R1037" s="3"/>
      <c r="S1037" s="3"/>
      <c r="T1037" s="3"/>
      <c r="U1037" s="3"/>
      <c r="V1037" s="3"/>
      <c r="W1037" s="3"/>
      <c r="X1037" s="3"/>
      <c r="Y1037" s="3"/>
      <c r="Z1037" s="3"/>
    </row>
    <row r="1038" spans="2:26" ht="15.75" customHeight="1">
      <c r="B1038" s="3"/>
      <c r="C1038" s="3"/>
      <c r="D1038" s="3"/>
      <c r="E1038" s="3"/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</row>
    <row r="1039" spans="2:26" ht="15.75" customHeight="1">
      <c r="B1039" s="3"/>
      <c r="C1039" s="3"/>
      <c r="D1039" s="3"/>
      <c r="E1039" s="3"/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</row>
    <row r="1040" spans="2:26" ht="15.75" customHeight="1">
      <c r="B1040" s="3"/>
      <c r="C1040" s="3"/>
      <c r="D1040" s="3"/>
      <c r="E1040" s="3"/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</row>
    <row r="1041" spans="2:26" ht="15.75" customHeight="1">
      <c r="B1041" s="3"/>
      <c r="C1041" s="3"/>
      <c r="D1041" s="3"/>
      <c r="E1041" s="3"/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</row>
    <row r="1042" spans="2:26" ht="15.75" customHeight="1">
      <c r="B1042" s="3"/>
      <c r="C1042" s="3"/>
      <c r="D1042" s="3"/>
      <c r="E1042" s="3"/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</row>
    <row r="1043" spans="2:26" ht="15.75" customHeight="1">
      <c r="B1043" s="3"/>
      <c r="C1043" s="3"/>
      <c r="D1043" s="3"/>
      <c r="E1043" s="3"/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</row>
    <row r="1044" spans="2:26" ht="15.75" customHeight="1">
      <c r="B1044" s="3"/>
      <c r="C1044" s="3"/>
      <c r="D1044" s="3"/>
      <c r="E1044" s="3"/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</row>
    <row r="1045" spans="2:26" ht="15.75" customHeight="1">
      <c r="B1045" s="3"/>
      <c r="C1045" s="3"/>
      <c r="D1045" s="3"/>
      <c r="E1045" s="3"/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</row>
    <row r="1046" spans="2:26" ht="15.75" customHeight="1">
      <c r="B1046" s="3"/>
      <c r="C1046" s="3"/>
      <c r="D1046" s="3"/>
      <c r="E1046" s="3"/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</row>
    <row r="1047" spans="2:26" ht="15.75" customHeight="1">
      <c r="B1047" s="3"/>
      <c r="C1047" s="3"/>
      <c r="D1047" s="3"/>
      <c r="E1047" s="3"/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</row>
    <row r="1048" spans="2:26" ht="15.75" customHeight="1">
      <c r="B1048" s="3"/>
      <c r="C1048" s="3"/>
      <c r="D1048" s="3"/>
      <c r="E1048" s="3"/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</row>
    <row r="1049" spans="2:26" ht="15.75" customHeight="1">
      <c r="B1049" s="3"/>
      <c r="C1049" s="3"/>
      <c r="D1049" s="3"/>
      <c r="E1049" s="3"/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</row>
    <row r="1050" spans="2:26" ht="15.75" customHeight="1">
      <c r="B1050" s="3"/>
      <c r="C1050" s="3"/>
      <c r="D1050" s="3"/>
      <c r="E1050" s="3"/>
      <c r="F1050" s="3"/>
      <c r="G1050" s="3"/>
      <c r="H1050" s="3"/>
      <c r="I1050" s="3"/>
      <c r="J1050" s="3"/>
      <c r="K1050" s="3"/>
      <c r="L1050" s="3"/>
      <c r="M1050" s="3"/>
      <c r="N1050" s="3"/>
      <c r="O1050" s="3"/>
      <c r="P1050" s="3"/>
      <c r="Q1050" s="3"/>
      <c r="R1050" s="3"/>
      <c r="S1050" s="3"/>
      <c r="T1050" s="3"/>
      <c r="U1050" s="3"/>
      <c r="V1050" s="3"/>
      <c r="W1050" s="3"/>
      <c r="X1050" s="3"/>
      <c r="Y1050" s="3"/>
      <c r="Z1050" s="3"/>
    </row>
    <row r="1051" spans="2:26" ht="15.75" customHeight="1">
      <c r="B1051" s="3"/>
      <c r="C1051" s="3"/>
      <c r="D1051" s="3"/>
      <c r="E1051" s="3"/>
      <c r="F1051" s="3"/>
      <c r="G1051" s="3"/>
      <c r="H1051" s="3"/>
      <c r="I1051" s="3"/>
      <c r="J1051" s="3"/>
      <c r="K1051" s="3"/>
      <c r="L1051" s="3"/>
      <c r="M1051" s="3"/>
      <c r="N1051" s="3"/>
      <c r="O1051" s="3"/>
      <c r="P1051" s="3"/>
      <c r="Q1051" s="3"/>
      <c r="R1051" s="3"/>
      <c r="S1051" s="3"/>
      <c r="T1051" s="3"/>
      <c r="U1051" s="3"/>
      <c r="V1051" s="3"/>
      <c r="W1051" s="3"/>
      <c r="X1051" s="3"/>
      <c r="Y1051" s="3"/>
      <c r="Z1051" s="3"/>
    </row>
    <row r="1052" spans="2:26" ht="15.75" customHeight="1">
      <c r="B1052" s="3"/>
      <c r="C1052" s="3"/>
      <c r="D1052" s="3"/>
      <c r="E1052" s="3"/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</row>
    <row r="1053" spans="2:26" ht="15.75" customHeight="1">
      <c r="B1053" s="3"/>
      <c r="C1053" s="3"/>
      <c r="D1053" s="3"/>
      <c r="E1053" s="3"/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</row>
    <row r="1054" spans="2:26" ht="15.75" customHeight="1">
      <c r="B1054" s="3"/>
      <c r="C1054" s="3"/>
      <c r="D1054" s="3"/>
      <c r="E1054" s="3"/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</row>
    <row r="1055" spans="2:26" ht="15.75" customHeight="1">
      <c r="B1055" s="3"/>
      <c r="C1055" s="3"/>
      <c r="D1055" s="3"/>
      <c r="E1055" s="3"/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</row>
    <row r="1056" spans="2:26" ht="15.75" customHeight="1">
      <c r="B1056" s="3"/>
      <c r="C1056" s="3"/>
      <c r="D1056" s="3"/>
      <c r="E1056" s="3"/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</row>
    <row r="1057" spans="2:26" ht="15.75" customHeight="1">
      <c r="B1057" s="3"/>
      <c r="C1057" s="3"/>
      <c r="D1057" s="3"/>
      <c r="E1057" s="3"/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</row>
    <row r="1058" spans="2:26" ht="15.75" customHeight="1">
      <c r="B1058" s="3"/>
      <c r="C1058" s="3"/>
      <c r="D1058" s="3"/>
      <c r="E1058" s="3"/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</row>
    <row r="1059" spans="2:26" ht="15.75" customHeight="1">
      <c r="B1059" s="3"/>
      <c r="C1059" s="3"/>
      <c r="D1059" s="3"/>
      <c r="E1059" s="3"/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</row>
    <row r="1060" spans="2:26" ht="15.75" customHeight="1">
      <c r="B1060" s="3"/>
      <c r="C1060" s="3"/>
      <c r="D1060" s="3"/>
      <c r="E1060" s="3"/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</row>
    <row r="1061" spans="2:26" ht="15.75" customHeight="1">
      <c r="B1061" s="3"/>
      <c r="C1061" s="3"/>
      <c r="D1061" s="3"/>
      <c r="E1061" s="3"/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</row>
    <row r="1062" spans="2:26" ht="15.75" customHeight="1">
      <c r="B1062" s="3"/>
      <c r="C1062" s="3"/>
      <c r="D1062" s="3"/>
      <c r="E1062" s="3"/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</row>
    <row r="1063" spans="2:26" ht="15.75" customHeight="1">
      <c r="B1063" s="3"/>
      <c r="C1063" s="3"/>
      <c r="D1063" s="3"/>
      <c r="E1063" s="3"/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</row>
    <row r="1064" spans="2:26" ht="15.75" customHeight="1">
      <c r="B1064" s="3"/>
      <c r="C1064" s="3"/>
      <c r="D1064" s="3"/>
      <c r="E1064" s="3"/>
      <c r="F1064" s="3"/>
      <c r="G1064" s="3"/>
      <c r="H1064" s="3"/>
      <c r="I1064" s="3"/>
      <c r="J1064" s="3"/>
      <c r="K1064" s="3"/>
      <c r="L1064" s="3"/>
      <c r="M1064" s="3"/>
      <c r="N1064" s="3"/>
      <c r="O1064" s="3"/>
      <c r="P1064" s="3"/>
      <c r="Q1064" s="3"/>
      <c r="R1064" s="3"/>
      <c r="S1064" s="3"/>
      <c r="T1064" s="3"/>
      <c r="U1064" s="3"/>
      <c r="V1064" s="3"/>
      <c r="W1064" s="3"/>
      <c r="X1064" s="3"/>
      <c r="Y1064" s="3"/>
      <c r="Z1064" s="3"/>
    </row>
    <row r="1065" spans="2:26" ht="15.75" customHeight="1">
      <c r="B1065" s="3"/>
      <c r="C1065" s="3"/>
      <c r="D1065" s="3"/>
      <c r="E1065" s="3"/>
      <c r="F1065" s="3"/>
      <c r="G1065" s="3"/>
      <c r="H1065" s="3"/>
      <c r="I1065" s="3"/>
      <c r="J1065" s="3"/>
      <c r="K1065" s="3"/>
      <c r="L1065" s="3"/>
      <c r="M1065" s="3"/>
      <c r="N1065" s="3"/>
      <c r="O1065" s="3"/>
      <c r="P1065" s="3"/>
      <c r="Q1065" s="3"/>
      <c r="R1065" s="3"/>
      <c r="S1065" s="3"/>
      <c r="T1065" s="3"/>
      <c r="U1065" s="3"/>
      <c r="V1065" s="3"/>
      <c r="W1065" s="3"/>
      <c r="X1065" s="3"/>
      <c r="Y1065" s="3"/>
      <c r="Z1065" s="3"/>
    </row>
    <row r="1066" spans="2:26" ht="15.75" customHeight="1">
      <c r="B1066" s="3"/>
      <c r="C1066" s="3"/>
      <c r="D1066" s="3"/>
      <c r="E1066" s="3"/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</row>
    <row r="1067" spans="2:26" ht="15.75" customHeight="1">
      <c r="B1067" s="3"/>
      <c r="C1067" s="3"/>
      <c r="D1067" s="3"/>
      <c r="E1067" s="3"/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</row>
    <row r="1068" spans="2:26" ht="15.75" customHeight="1">
      <c r="B1068" s="3"/>
      <c r="C1068" s="3"/>
      <c r="D1068" s="3"/>
      <c r="E1068" s="3"/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</row>
    <row r="1069" spans="2:26" ht="15.75" customHeight="1">
      <c r="B1069" s="3"/>
      <c r="C1069" s="3"/>
      <c r="D1069" s="3"/>
      <c r="E1069" s="3"/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</row>
    <row r="1070" spans="2:26" ht="15.75" customHeight="1">
      <c r="B1070" s="3"/>
      <c r="C1070" s="3"/>
      <c r="D1070" s="3"/>
      <c r="E1070" s="3"/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</row>
    <row r="1071" spans="2:26" ht="15.75" customHeight="1">
      <c r="B1071" s="3"/>
      <c r="C1071" s="3"/>
      <c r="D1071" s="3"/>
      <c r="E1071" s="3"/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</row>
    <row r="1072" spans="2:26" ht="15.75" customHeight="1">
      <c r="B1072" s="3"/>
      <c r="C1072" s="3"/>
      <c r="D1072" s="3"/>
      <c r="E1072" s="3"/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</row>
    <row r="1073" spans="2:26" ht="15.75" customHeight="1">
      <c r="B1073" s="3"/>
      <c r="C1073" s="3"/>
      <c r="D1073" s="3"/>
      <c r="E1073" s="3"/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</row>
    <row r="1074" spans="2:26" ht="15.75" customHeight="1">
      <c r="B1074" s="3"/>
      <c r="C1074" s="3"/>
      <c r="D1074" s="3"/>
      <c r="E1074" s="3"/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</row>
    <row r="1075" spans="2:26" ht="15.75" customHeight="1">
      <c r="B1075" s="3"/>
      <c r="C1075" s="3"/>
      <c r="D1075" s="3"/>
      <c r="E1075" s="3"/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</row>
    <row r="1076" spans="2:26" ht="15.75" customHeight="1">
      <c r="B1076" s="3"/>
      <c r="C1076" s="3"/>
      <c r="D1076" s="3"/>
      <c r="E1076" s="3"/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</row>
    <row r="1077" spans="2:26" ht="15.75" customHeight="1">
      <c r="B1077" s="3"/>
      <c r="C1077" s="3"/>
      <c r="D1077" s="3"/>
      <c r="E1077" s="3"/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</row>
    <row r="1078" spans="2:26" ht="15.75" customHeight="1">
      <c r="B1078" s="3"/>
      <c r="C1078" s="3"/>
      <c r="D1078" s="3"/>
      <c r="E1078" s="3"/>
      <c r="F1078" s="3"/>
      <c r="G1078" s="3"/>
      <c r="H1078" s="3"/>
      <c r="I1078" s="3"/>
      <c r="J1078" s="3"/>
      <c r="K1078" s="3"/>
      <c r="L1078" s="3"/>
      <c r="M1078" s="3"/>
      <c r="N1078" s="3"/>
      <c r="O1078" s="3"/>
      <c r="P1078" s="3"/>
      <c r="Q1078" s="3"/>
      <c r="R1078" s="3"/>
      <c r="S1078" s="3"/>
      <c r="T1078" s="3"/>
      <c r="U1078" s="3"/>
      <c r="V1078" s="3"/>
      <c r="W1078" s="3"/>
      <c r="X1078" s="3"/>
      <c r="Y1078" s="3"/>
      <c r="Z1078" s="3"/>
    </row>
    <row r="1079" spans="2:26" ht="15.75" customHeight="1">
      <c r="B1079" s="3"/>
      <c r="C1079" s="3"/>
      <c r="D1079" s="3"/>
      <c r="E1079" s="3"/>
      <c r="F1079" s="3"/>
      <c r="G1079" s="3"/>
      <c r="H1079" s="3"/>
      <c r="I1079" s="3"/>
      <c r="J1079" s="3"/>
      <c r="K1079" s="3"/>
      <c r="L1079" s="3"/>
      <c r="M1079" s="3"/>
      <c r="N1079" s="3"/>
      <c r="O1079" s="3"/>
      <c r="P1079" s="3"/>
      <c r="Q1079" s="3"/>
      <c r="R1079" s="3"/>
      <c r="S1079" s="3"/>
      <c r="T1079" s="3"/>
      <c r="U1079" s="3"/>
      <c r="V1079" s="3"/>
      <c r="W1079" s="3"/>
      <c r="X1079" s="3"/>
      <c r="Y1079" s="3"/>
      <c r="Z1079" s="3"/>
    </row>
    <row r="1080" spans="2:26" ht="15.75" customHeight="1">
      <c r="B1080" s="3"/>
      <c r="C1080" s="3"/>
      <c r="D1080" s="3"/>
      <c r="E1080" s="3"/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</row>
    <row r="1081" spans="2:26" ht="15.75" customHeight="1">
      <c r="B1081" s="3"/>
      <c r="C1081" s="3"/>
      <c r="D1081" s="3"/>
      <c r="E1081" s="3"/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</row>
    <row r="1082" spans="2:26" ht="15.75" customHeight="1">
      <c r="B1082" s="3"/>
      <c r="C1082" s="3"/>
      <c r="D1082" s="3"/>
      <c r="E1082" s="3"/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</row>
    <row r="1083" spans="2:26" ht="15.75" customHeight="1">
      <c r="B1083" s="3"/>
      <c r="C1083" s="3"/>
      <c r="D1083" s="3"/>
      <c r="E1083" s="3"/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</row>
    <row r="1084" spans="2:26" ht="15.75" customHeight="1">
      <c r="B1084" s="3"/>
      <c r="C1084" s="3"/>
      <c r="D1084" s="3"/>
      <c r="E1084" s="3"/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</row>
    <row r="1085" spans="2:26" ht="15.75" customHeight="1">
      <c r="B1085" s="3"/>
      <c r="C1085" s="3"/>
      <c r="D1085" s="3"/>
      <c r="E1085" s="3"/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</row>
    <row r="1086" spans="2:26" ht="15.75" customHeight="1">
      <c r="B1086" s="3"/>
      <c r="C1086" s="3"/>
      <c r="D1086" s="3"/>
      <c r="E1086" s="3"/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</row>
    <row r="1087" spans="2:26" ht="15.75" customHeight="1">
      <c r="B1087" s="3"/>
      <c r="C1087" s="3"/>
      <c r="D1087" s="3"/>
      <c r="E1087" s="3"/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</row>
    <row r="1088" spans="2:26" ht="15.75" customHeight="1">
      <c r="B1088" s="3"/>
      <c r="C1088" s="3"/>
      <c r="D1088" s="3"/>
      <c r="E1088" s="3"/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</row>
    <row r="1089" spans="2:26" ht="15.75" customHeight="1">
      <c r="B1089" s="3"/>
      <c r="C1089" s="3"/>
      <c r="D1089" s="3"/>
      <c r="E1089" s="3"/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</row>
    <row r="1090" spans="2:26" ht="15.75" customHeight="1">
      <c r="B1090" s="3"/>
      <c r="C1090" s="3"/>
      <c r="D1090" s="3"/>
      <c r="E1090" s="3"/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</row>
    <row r="1091" spans="2:26" ht="15.75" customHeight="1">
      <c r="B1091" s="3"/>
      <c r="C1091" s="3"/>
      <c r="D1091" s="3"/>
      <c r="E1091" s="3"/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</row>
    <row r="1092" spans="2:26" ht="15.75" customHeight="1">
      <c r="B1092" s="3"/>
      <c r="C1092" s="3"/>
      <c r="D1092" s="3"/>
      <c r="E1092" s="3"/>
      <c r="F1092" s="3"/>
      <c r="G1092" s="3"/>
      <c r="H1092" s="3"/>
      <c r="I1092" s="3"/>
      <c r="J1092" s="3"/>
      <c r="K1092" s="3"/>
      <c r="L1092" s="3"/>
      <c r="M1092" s="3"/>
      <c r="N1092" s="3"/>
      <c r="O1092" s="3"/>
      <c r="P1092" s="3"/>
      <c r="Q1092" s="3"/>
      <c r="R1092" s="3"/>
      <c r="S1092" s="3"/>
      <c r="T1092" s="3"/>
      <c r="U1092" s="3"/>
      <c r="V1092" s="3"/>
      <c r="W1092" s="3"/>
      <c r="X1092" s="3"/>
      <c r="Y1092" s="3"/>
      <c r="Z1092" s="3"/>
    </row>
    <row r="1093" spans="2:26" ht="15.75" customHeight="1">
      <c r="B1093" s="3"/>
      <c r="C1093" s="3"/>
      <c r="D1093" s="3"/>
      <c r="E1093" s="3"/>
      <c r="F1093" s="3"/>
      <c r="G1093" s="3"/>
      <c r="H1093" s="3"/>
      <c r="I1093" s="3"/>
      <c r="J1093" s="3"/>
      <c r="K1093" s="3"/>
      <c r="L1093" s="3"/>
      <c r="M1093" s="3"/>
      <c r="N1093" s="3"/>
      <c r="O1093" s="3"/>
      <c r="P1093" s="3"/>
      <c r="Q1093" s="3"/>
      <c r="R1093" s="3"/>
      <c r="S1093" s="3"/>
      <c r="T1093" s="3"/>
      <c r="U1093" s="3"/>
      <c r="V1093" s="3"/>
      <c r="W1093" s="3"/>
      <c r="X1093" s="3"/>
      <c r="Y1093" s="3"/>
      <c r="Z1093" s="3"/>
    </row>
    <row r="1094" spans="2:26" ht="15.75" customHeight="1">
      <c r="B1094" s="3"/>
      <c r="C1094" s="3"/>
      <c r="D1094" s="3"/>
      <c r="E1094" s="3"/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</row>
    <row r="1095" spans="2:26" ht="15.75" customHeight="1">
      <c r="B1095" s="3"/>
      <c r="C1095" s="3"/>
      <c r="D1095" s="3"/>
      <c r="E1095" s="3"/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</row>
    <row r="1096" spans="2:26" ht="15.75" customHeight="1">
      <c r="B1096" s="3"/>
      <c r="C1096" s="3"/>
      <c r="D1096" s="3"/>
      <c r="E1096" s="3"/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</row>
    <row r="1097" spans="2:26" ht="15.75" customHeight="1">
      <c r="B1097" s="3"/>
      <c r="C1097" s="3"/>
      <c r="D1097" s="3"/>
      <c r="E1097" s="3"/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</row>
    <row r="1098" spans="2:26" ht="15.75" customHeight="1">
      <c r="B1098" s="3"/>
      <c r="C1098" s="3"/>
      <c r="D1098" s="3"/>
      <c r="E1098" s="3"/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</row>
    <row r="1099" spans="2:26" ht="15.75" customHeight="1">
      <c r="B1099" s="3"/>
      <c r="C1099" s="3"/>
      <c r="D1099" s="3"/>
      <c r="E1099" s="3"/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</row>
    <row r="1100" spans="2:26" ht="15.75" customHeight="1">
      <c r="B1100" s="3"/>
      <c r="C1100" s="3"/>
      <c r="D1100" s="3"/>
      <c r="E1100" s="3"/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</row>
    <row r="1101" spans="2:26" ht="15.75" customHeight="1">
      <c r="B1101" s="3"/>
      <c r="C1101" s="3"/>
      <c r="D1101" s="3"/>
      <c r="E1101" s="3"/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</row>
    <row r="1102" spans="2:26" ht="15.75" customHeight="1">
      <c r="B1102" s="3"/>
      <c r="C1102" s="3"/>
      <c r="D1102" s="3"/>
      <c r="E1102" s="3"/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</row>
    <row r="1103" spans="2:26" ht="15.75" customHeight="1">
      <c r="B1103" s="3"/>
      <c r="C1103" s="3"/>
      <c r="D1103" s="3"/>
      <c r="E1103" s="3"/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</row>
    <row r="1104" spans="2:26" ht="15.75" customHeight="1">
      <c r="B1104" s="3"/>
      <c r="C1104" s="3"/>
      <c r="D1104" s="3"/>
      <c r="E1104" s="3"/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</row>
    <row r="1105" spans="2:26" ht="15.75" customHeight="1">
      <c r="B1105" s="3"/>
      <c r="C1105" s="3"/>
      <c r="D1105" s="3"/>
      <c r="E1105" s="3"/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</row>
    <row r="1106" spans="2:26" ht="15.75" customHeight="1">
      <c r="B1106" s="3"/>
      <c r="C1106" s="3"/>
      <c r="D1106" s="3"/>
      <c r="E1106" s="3"/>
      <c r="F1106" s="3"/>
      <c r="G1106" s="3"/>
      <c r="H1106" s="3"/>
      <c r="I1106" s="3"/>
      <c r="J1106" s="3"/>
      <c r="K1106" s="3"/>
      <c r="L1106" s="3"/>
      <c r="M1106" s="3"/>
      <c r="N1106" s="3"/>
      <c r="O1106" s="3"/>
      <c r="P1106" s="3"/>
      <c r="Q1106" s="3"/>
      <c r="R1106" s="3"/>
      <c r="S1106" s="3"/>
      <c r="T1106" s="3"/>
      <c r="U1106" s="3"/>
      <c r="V1106" s="3"/>
      <c r="W1106" s="3"/>
      <c r="X1106" s="3"/>
      <c r="Y1106" s="3"/>
      <c r="Z1106" s="3"/>
    </row>
    <row r="1107" spans="2:26" ht="15.75" customHeight="1">
      <c r="B1107" s="3"/>
      <c r="C1107" s="3"/>
      <c r="D1107" s="3"/>
      <c r="E1107" s="3"/>
      <c r="F1107" s="3"/>
      <c r="G1107" s="3"/>
      <c r="H1107" s="3"/>
      <c r="I1107" s="3"/>
      <c r="J1107" s="3"/>
      <c r="K1107" s="3"/>
      <c r="L1107" s="3"/>
      <c r="M1107" s="3"/>
      <c r="N1107" s="3"/>
      <c r="O1107" s="3"/>
      <c r="P1107" s="3"/>
      <c r="Q1107" s="3"/>
      <c r="R1107" s="3"/>
      <c r="S1107" s="3"/>
      <c r="T1107" s="3"/>
      <c r="U1107" s="3"/>
      <c r="V1107" s="3"/>
      <c r="W1107" s="3"/>
      <c r="X1107" s="3"/>
      <c r="Y1107" s="3"/>
      <c r="Z1107" s="3"/>
    </row>
    <row r="1108" spans="2:26" ht="15.75" customHeight="1">
      <c r="B1108" s="3"/>
      <c r="C1108" s="3"/>
      <c r="D1108" s="3"/>
      <c r="E1108" s="3"/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</row>
    <row r="1109" spans="2:26" ht="15.75" customHeight="1">
      <c r="B1109" s="3"/>
      <c r="C1109" s="3"/>
      <c r="D1109" s="3"/>
      <c r="E1109" s="3"/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</row>
    <row r="1110" spans="2:26" ht="15.75" customHeight="1">
      <c r="B1110" s="3"/>
      <c r="C1110" s="3"/>
      <c r="D1110" s="3"/>
      <c r="E1110" s="3"/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</row>
    <row r="1111" spans="2:26" ht="15.75" customHeight="1">
      <c r="B1111" s="3"/>
      <c r="C1111" s="3"/>
      <c r="D1111" s="3"/>
      <c r="E1111" s="3"/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</row>
    <row r="1112" spans="2:26" ht="15.75" customHeight="1">
      <c r="B1112" s="3"/>
      <c r="C1112" s="3"/>
      <c r="D1112" s="3"/>
      <c r="E1112" s="3"/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</row>
    <row r="1113" spans="2:26" ht="15.75" customHeight="1">
      <c r="B1113" s="3"/>
      <c r="C1113" s="3"/>
      <c r="D1113" s="3"/>
      <c r="E1113" s="3"/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</row>
    <row r="1114" spans="2:26" ht="15.75" customHeight="1">
      <c r="B1114" s="3"/>
      <c r="C1114" s="3"/>
      <c r="D1114" s="3"/>
      <c r="E1114" s="3"/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</row>
    <row r="1115" spans="2:26" ht="15.75" customHeight="1">
      <c r="B1115" s="3"/>
      <c r="C1115" s="3"/>
      <c r="D1115" s="3"/>
      <c r="E1115" s="3"/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</row>
    <row r="1116" spans="2:26" ht="15.75" customHeight="1">
      <c r="B1116" s="3"/>
      <c r="C1116" s="3"/>
      <c r="D1116" s="3"/>
      <c r="E1116" s="3"/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</row>
    <row r="1117" spans="2:26" ht="15.75" customHeight="1">
      <c r="B1117" s="3"/>
      <c r="C1117" s="3"/>
      <c r="D1117" s="3"/>
      <c r="E1117" s="3"/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</row>
    <row r="1118" spans="2:26" ht="15.75" customHeight="1">
      <c r="B1118" s="3"/>
      <c r="C1118" s="3"/>
      <c r="D1118" s="3"/>
      <c r="E1118" s="3"/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</row>
    <row r="1119" spans="2:26" ht="15.75" customHeight="1">
      <c r="B1119" s="3"/>
      <c r="C1119" s="3"/>
      <c r="D1119" s="3"/>
      <c r="E1119" s="3"/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</row>
    <row r="1120" spans="2:26" ht="15.75" customHeight="1">
      <c r="B1120" s="3"/>
      <c r="C1120" s="3"/>
      <c r="D1120" s="3"/>
      <c r="E1120" s="3"/>
      <c r="F1120" s="3"/>
      <c r="G1120" s="3"/>
      <c r="H1120" s="3"/>
      <c r="I1120" s="3"/>
      <c r="J1120" s="3"/>
      <c r="K1120" s="3"/>
      <c r="L1120" s="3"/>
      <c r="M1120" s="3"/>
      <c r="N1120" s="3"/>
      <c r="O1120" s="3"/>
      <c r="P1120" s="3"/>
      <c r="Q1120" s="3"/>
      <c r="R1120" s="3"/>
      <c r="S1120" s="3"/>
      <c r="T1120" s="3"/>
      <c r="U1120" s="3"/>
      <c r="V1120" s="3"/>
      <c r="W1120" s="3"/>
      <c r="X1120" s="3"/>
      <c r="Y1120" s="3"/>
      <c r="Z1120" s="3"/>
    </row>
    <row r="1121" spans="2:26" ht="15.75" customHeight="1">
      <c r="B1121" s="3"/>
      <c r="C1121" s="3"/>
      <c r="D1121" s="3"/>
      <c r="E1121" s="3"/>
      <c r="F1121" s="3"/>
      <c r="G1121" s="3"/>
      <c r="H1121" s="3"/>
      <c r="I1121" s="3"/>
      <c r="J1121" s="3"/>
      <c r="K1121" s="3"/>
      <c r="L1121" s="3"/>
      <c r="M1121" s="3"/>
      <c r="N1121" s="3"/>
      <c r="O1121" s="3"/>
      <c r="P1121" s="3"/>
      <c r="Q1121" s="3"/>
      <c r="R1121" s="3"/>
      <c r="S1121" s="3"/>
      <c r="T1121" s="3"/>
      <c r="U1121" s="3"/>
      <c r="V1121" s="3"/>
      <c r="W1121" s="3"/>
      <c r="X1121" s="3"/>
      <c r="Y1121" s="3"/>
      <c r="Z1121" s="3"/>
    </row>
    <row r="1122" spans="2:26" ht="15.75" customHeight="1">
      <c r="B1122" s="3"/>
      <c r="C1122" s="3"/>
      <c r="D1122" s="3"/>
      <c r="E1122" s="3"/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</row>
    <row r="1123" spans="2:26" ht="15.75" customHeight="1">
      <c r="B1123" s="3"/>
      <c r="C1123" s="3"/>
      <c r="D1123" s="3"/>
      <c r="E1123" s="3"/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</row>
    <row r="1124" spans="2:26" ht="15.75" customHeight="1">
      <c r="B1124" s="3"/>
      <c r="C1124" s="3"/>
      <c r="D1124" s="3"/>
      <c r="E1124" s="3"/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</row>
    <row r="1125" spans="2:26" ht="15.75" customHeight="1">
      <c r="B1125" s="3"/>
      <c r="C1125" s="3"/>
      <c r="D1125" s="3"/>
      <c r="E1125" s="3"/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</row>
    <row r="1126" spans="2:26" ht="15.75" customHeight="1">
      <c r="B1126" s="3"/>
      <c r="C1126" s="3"/>
      <c r="D1126" s="3"/>
      <c r="E1126" s="3"/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</row>
    <row r="1127" spans="2:26" ht="15.75" customHeight="1">
      <c r="B1127" s="3"/>
      <c r="C1127" s="3"/>
      <c r="D1127" s="3"/>
      <c r="E1127" s="3"/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</row>
    <row r="1128" spans="2:26" ht="15.75" customHeight="1">
      <c r="B1128" s="3"/>
      <c r="C1128" s="3"/>
      <c r="D1128" s="3"/>
      <c r="E1128" s="3"/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</row>
    <row r="1129" spans="2:26" ht="15.75" customHeight="1">
      <c r="B1129" s="3"/>
      <c r="C1129" s="3"/>
      <c r="D1129" s="3"/>
      <c r="E1129" s="3"/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</row>
    <row r="1130" spans="2:26" ht="15.75" customHeight="1">
      <c r="B1130" s="3"/>
      <c r="C1130" s="3"/>
      <c r="D1130" s="3"/>
      <c r="E1130" s="3"/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</row>
    <row r="1131" spans="2:26" ht="15.75" customHeight="1">
      <c r="B1131" s="3"/>
      <c r="C1131" s="3"/>
      <c r="D1131" s="3"/>
      <c r="E1131" s="3"/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</row>
    <row r="1132" spans="2:26" ht="15.75" customHeight="1">
      <c r="B1132" s="3"/>
      <c r="C1132" s="3"/>
      <c r="D1132" s="3"/>
      <c r="E1132" s="3"/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</row>
    <row r="1133" spans="2:26" ht="15.75" customHeight="1">
      <c r="B1133" s="3"/>
      <c r="C1133" s="3"/>
      <c r="D1133" s="3"/>
      <c r="E1133" s="3"/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</row>
    <row r="1134" spans="2:26" ht="15.75" customHeight="1">
      <c r="B1134" s="3"/>
      <c r="C1134" s="3"/>
      <c r="D1134" s="3"/>
      <c r="E1134" s="3"/>
      <c r="F1134" s="3"/>
      <c r="G1134" s="3"/>
      <c r="H1134" s="3"/>
      <c r="I1134" s="3"/>
      <c r="J1134" s="3"/>
      <c r="K1134" s="3"/>
      <c r="L1134" s="3"/>
      <c r="M1134" s="3"/>
      <c r="N1134" s="3"/>
      <c r="O1134" s="3"/>
      <c r="P1134" s="3"/>
      <c r="Q1134" s="3"/>
      <c r="R1134" s="3"/>
      <c r="S1134" s="3"/>
      <c r="T1134" s="3"/>
      <c r="U1134" s="3"/>
      <c r="V1134" s="3"/>
      <c r="W1134" s="3"/>
      <c r="X1134" s="3"/>
      <c r="Y1134" s="3"/>
      <c r="Z1134" s="3"/>
    </row>
    <row r="1135" spans="2:26" ht="15.75" customHeight="1">
      <c r="B1135" s="3"/>
      <c r="C1135" s="3"/>
      <c r="D1135" s="3"/>
      <c r="E1135" s="3"/>
      <c r="F1135" s="3"/>
      <c r="G1135" s="3"/>
      <c r="H1135" s="3"/>
      <c r="I1135" s="3"/>
      <c r="J1135" s="3"/>
      <c r="K1135" s="3"/>
      <c r="L1135" s="3"/>
      <c r="M1135" s="3"/>
      <c r="N1135" s="3"/>
      <c r="O1135" s="3"/>
      <c r="P1135" s="3"/>
      <c r="Q1135" s="3"/>
      <c r="R1135" s="3"/>
      <c r="S1135" s="3"/>
      <c r="T1135" s="3"/>
      <c r="U1135" s="3"/>
      <c r="V1135" s="3"/>
      <c r="W1135" s="3"/>
      <c r="X1135" s="3"/>
      <c r="Y1135" s="3"/>
      <c r="Z1135" s="3"/>
    </row>
    <row r="1136" spans="2:26" ht="15.75" customHeight="1">
      <c r="B1136" s="3"/>
      <c r="C1136" s="3"/>
      <c r="D1136" s="3"/>
      <c r="E1136" s="3"/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</row>
    <row r="1137" spans="2:26" ht="15.75" customHeight="1">
      <c r="B1137" s="3"/>
      <c r="C1137" s="3"/>
      <c r="D1137" s="3"/>
      <c r="E1137" s="3"/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</row>
    <row r="1138" spans="2:26" ht="15.75" customHeight="1">
      <c r="B1138" s="3"/>
      <c r="C1138" s="3"/>
      <c r="D1138" s="3"/>
      <c r="E1138" s="3"/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</row>
  </sheetData>
  <autoFilter ref="A2:BI2"/>
  <mergeCells count="2">
    <mergeCell ref="A1:AF1"/>
    <mergeCell ref="AI1:BI1"/>
  </mergeCells>
  <conditionalFormatting sqref="D3:D298">
    <cfRule type="colorScale" priority="3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3:E298">
    <cfRule type="colorScale" priority="3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3:H298">
    <cfRule type="colorScale" priority="3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3:I298">
    <cfRule type="colorScale" priority="3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J3:J298">
    <cfRule type="colorScale" priority="3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K3:K298">
    <cfRule type="colorScale" priority="3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3:L298">
    <cfRule type="colorScale" priority="3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3:M298">
    <cfRule type="colorScale" priority="3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3:N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3:O298">
    <cfRule type="colorScale" priority="3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3:P298">
    <cfRule type="colorScale" priority="4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Q3:Q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3:R298">
    <cfRule type="colorScale" priority="42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S3:S298">
    <cfRule type="colorScale" priority="4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3:T298">
    <cfRule type="colorScale" priority="4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3:U298">
    <cfRule type="colorScale" priority="45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W3:W298">
    <cfRule type="colorScale" priority="4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X3:X298">
    <cfRule type="colorScale" priority="4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3:Y298">
    <cfRule type="colorScale" priority="4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Z3:Z298">
    <cfRule type="colorScale" priority="4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A3:AA298">
    <cfRule type="colorScale" priority="5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B3:AB298">
    <cfRule type="colorScale" priority="5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3:AC298">
    <cfRule type="colorScale" priority="7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D3:AD298">
    <cfRule type="colorScale" priority="2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E3:AE298">
    <cfRule type="colorScale" priority="2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F3:AF298">
    <cfRule type="colorScale" priority="2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3:BI3 AJ4:AX298 AI3:AI298 AI177:AX184 AZ4:BI298">
    <cfRule type="colorScale" priority="2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AK298">
    <cfRule type="colorScale" priority="2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K3:BI3 AJ3:AJ298 AK4:AX298 AJ177:AX184 AZ4:BI298">
    <cfRule type="colorScale" priority="25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L3:AL298">
    <cfRule type="colorScale" priority="2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M3:AM298">
    <cfRule type="colorScale" priority="2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N3:AN298">
    <cfRule type="colorScale" priority="21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O3:AO298">
    <cfRule type="colorScale" priority="2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P3:AP298">
    <cfRule type="colorScale" priority="1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Q3:AQ298">
    <cfRule type="colorScale" priority="18">
      <colorScale>
        <cfvo type="min" val="0"/>
        <cfvo type="percentile" val="50"/>
        <cfvo type="max" val="0"/>
        <color rgb="FFF8696B"/>
        <color theme="0" tint="-4.9989318521683403E-2"/>
        <color rgb="FF63BE7B"/>
      </colorScale>
    </cfRule>
  </conditionalFormatting>
  <conditionalFormatting sqref="AR3:AR298">
    <cfRule type="colorScale" priority="1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S3:AS298">
    <cfRule type="colorScale" priority="1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T3:AT298">
    <cfRule type="colorScale" priority="1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U3:AU298">
    <cfRule type="colorScale" priority="1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V3:AV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W3:AW298">
    <cfRule type="colorScale" priority="1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X3:AX298">
    <cfRule type="colorScale" priority="1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Z3:AZ298">
    <cfRule type="colorScale" priority="1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A3:BA298">
    <cfRule type="colorScale" priority="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B3:BB298">
    <cfRule type="colorScale" priority="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C3:BC298">
    <cfRule type="colorScale" priority="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D3:BD298">
    <cfRule type="colorScale" priority="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E3:BE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F3:BF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G3:BG298">
    <cfRule type="colorScale" priority="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H3:BH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I3:BI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AU3:AU160 AU161:AU162 AU163:AU165 AU166:AU176" formula="1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BE1138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AG185" sqref="AG185:BE185"/>
    </sheetView>
  </sheetViews>
  <sheetFormatPr baseColWidth="10" defaultColWidth="12.3984375" defaultRowHeight="15" customHeight="1"/>
  <cols>
    <col min="1" max="1" width="25.59765625" customWidth="1"/>
    <col min="2" max="29" width="7.59765625" customWidth="1"/>
  </cols>
  <sheetData>
    <row r="1" spans="1:57" ht="24.6">
      <c r="A1" s="22" t="s">
        <v>67</v>
      </c>
      <c r="B1" s="22"/>
      <c r="C1" s="22"/>
      <c r="D1" s="22"/>
      <c r="E1" s="22"/>
      <c r="F1" s="22"/>
      <c r="G1" s="22"/>
      <c r="H1" s="22"/>
      <c r="I1" s="22"/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G1" s="22" t="s">
        <v>68</v>
      </c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</row>
    <row r="2" spans="1:57" ht="15" customHeight="1">
      <c r="A2" s="25" t="s">
        <v>53</v>
      </c>
      <c r="B2" s="25"/>
      <c r="C2" s="25"/>
      <c r="D2" s="25"/>
      <c r="E2" s="25"/>
      <c r="F2" s="25"/>
      <c r="G2" s="25"/>
      <c r="H2" s="25"/>
      <c r="I2" s="25"/>
      <c r="K2" s="25" t="s">
        <v>54</v>
      </c>
      <c r="L2" s="25"/>
      <c r="M2" s="25"/>
      <c r="N2" s="25"/>
      <c r="O2" s="25"/>
      <c r="P2" s="25"/>
      <c r="R2" s="25" t="s">
        <v>55</v>
      </c>
      <c r="S2" s="25"/>
      <c r="T2" s="25"/>
      <c r="U2" s="25"/>
      <c r="V2" s="25"/>
      <c r="W2" s="25"/>
      <c r="Y2" s="25" t="s">
        <v>56</v>
      </c>
      <c r="Z2" s="25"/>
      <c r="AB2" s="25" t="s">
        <v>57</v>
      </c>
      <c r="AC2" s="25"/>
      <c r="AD2" s="11"/>
      <c r="AG2" s="26" t="s">
        <v>53</v>
      </c>
      <c r="AH2" s="26"/>
      <c r="AI2" s="26"/>
      <c r="AJ2" s="26"/>
      <c r="AL2" s="25" t="s">
        <v>54</v>
      </c>
      <c r="AM2" s="25"/>
      <c r="AN2" s="25"/>
      <c r="AO2" s="25"/>
      <c r="AP2" s="25"/>
      <c r="AQ2" s="25"/>
      <c r="AS2" s="25" t="s">
        <v>55</v>
      </c>
      <c r="AT2" s="25"/>
      <c r="AU2" s="25"/>
      <c r="AV2" s="25"/>
      <c r="AW2" s="25"/>
      <c r="AX2" s="25"/>
      <c r="AZ2" s="25" t="s">
        <v>56</v>
      </c>
      <c r="BA2" s="25"/>
      <c r="BC2" s="25" t="s">
        <v>57</v>
      </c>
      <c r="BD2" s="25"/>
    </row>
    <row r="3" spans="1:57" ht="13.8">
      <c r="A3" s="2" t="s">
        <v>5</v>
      </c>
      <c r="B3" s="2" t="s">
        <v>6</v>
      </c>
      <c r="C3" s="2" t="s">
        <v>7</v>
      </c>
      <c r="D3" s="2" t="s">
        <v>8</v>
      </c>
      <c r="E3" s="2" t="s">
        <v>9</v>
      </c>
      <c r="F3" s="2" t="s">
        <v>8</v>
      </c>
      <c r="G3" s="2" t="s">
        <v>9</v>
      </c>
      <c r="H3" s="2" t="s">
        <v>13</v>
      </c>
      <c r="I3" s="2" t="s">
        <v>58</v>
      </c>
      <c r="J3" s="2"/>
      <c r="K3" s="2" t="s">
        <v>17</v>
      </c>
      <c r="L3" s="2" t="s">
        <v>59</v>
      </c>
      <c r="M3" s="8" t="s">
        <v>60</v>
      </c>
      <c r="N3" s="8" t="s">
        <v>61</v>
      </c>
      <c r="O3" s="2" t="s">
        <v>62</v>
      </c>
      <c r="P3" s="2" t="s">
        <v>14</v>
      </c>
      <c r="Q3" s="2"/>
      <c r="R3" s="2" t="s">
        <v>17</v>
      </c>
      <c r="S3" s="2" t="s">
        <v>59</v>
      </c>
      <c r="T3" s="8" t="s">
        <v>60</v>
      </c>
      <c r="U3" s="8" t="s">
        <v>61</v>
      </c>
      <c r="V3" s="2" t="s">
        <v>62</v>
      </c>
      <c r="W3" s="2" t="s">
        <v>14</v>
      </c>
      <c r="X3" s="2"/>
      <c r="Y3" s="2" t="s">
        <v>17</v>
      </c>
      <c r="Z3" s="2" t="s">
        <v>14</v>
      </c>
      <c r="AA3" s="2"/>
      <c r="AB3" s="2" t="s">
        <v>63</v>
      </c>
      <c r="AC3" s="2" t="s">
        <v>16</v>
      </c>
      <c r="AD3" s="2" t="s">
        <v>65</v>
      </c>
      <c r="AG3" s="2" t="s">
        <v>8</v>
      </c>
      <c r="AH3" s="2" t="s">
        <v>9</v>
      </c>
      <c r="AI3" s="2" t="s">
        <v>13</v>
      </c>
      <c r="AJ3" s="2" t="s">
        <v>58</v>
      </c>
      <c r="AK3" s="2"/>
      <c r="AL3" s="2" t="s">
        <v>17</v>
      </c>
      <c r="AM3" s="2" t="s">
        <v>59</v>
      </c>
      <c r="AN3" s="8" t="s">
        <v>60</v>
      </c>
      <c r="AO3" s="8" t="s">
        <v>61</v>
      </c>
      <c r="AP3" s="2" t="s">
        <v>62</v>
      </c>
      <c r="AQ3" s="2" t="s">
        <v>14</v>
      </c>
      <c r="AR3" s="2"/>
      <c r="AS3" s="2" t="s">
        <v>17</v>
      </c>
      <c r="AT3" s="2" t="s">
        <v>59</v>
      </c>
      <c r="AU3" s="8" t="s">
        <v>60</v>
      </c>
      <c r="AV3" s="8" t="s">
        <v>61</v>
      </c>
      <c r="AW3" s="2" t="s">
        <v>62</v>
      </c>
      <c r="AX3" s="2" t="s">
        <v>14</v>
      </c>
      <c r="AY3" s="2"/>
      <c r="AZ3" s="2" t="s">
        <v>17</v>
      </c>
      <c r="BA3" s="2" t="s">
        <v>14</v>
      </c>
      <c r="BB3" s="2"/>
      <c r="BC3" s="2" t="s">
        <v>63</v>
      </c>
      <c r="BD3" s="2" t="s">
        <v>16</v>
      </c>
      <c r="BE3" s="2" t="s">
        <v>65</v>
      </c>
    </row>
    <row r="4" spans="1:57" ht="13.8">
      <c r="A4" s="21" t="s">
        <v>127</v>
      </c>
      <c r="B4" s="3" t="s">
        <v>128</v>
      </c>
      <c r="C4" s="4" t="s">
        <v>8</v>
      </c>
      <c r="D4" s="4">
        <v>40</v>
      </c>
      <c r="E4" s="4">
        <v>1376</v>
      </c>
      <c r="F4" s="4">
        <v>40</v>
      </c>
      <c r="G4" s="4">
        <v>1376</v>
      </c>
      <c r="H4" s="4">
        <v>0.40500000000000003</v>
      </c>
      <c r="I4" s="4">
        <v>18.7</v>
      </c>
      <c r="J4" s="4"/>
      <c r="K4" s="4">
        <v>0.38100000000000001</v>
      </c>
      <c r="L4" s="4">
        <v>0.1</v>
      </c>
      <c r="M4" s="4">
        <v>0.156</v>
      </c>
      <c r="N4" s="4">
        <v>7.8E-2</v>
      </c>
      <c r="O4" s="4">
        <v>4.7E-2</v>
      </c>
      <c r="P4" s="4">
        <v>0.61899999999999999</v>
      </c>
      <c r="Q4" s="4"/>
      <c r="R4" s="4">
        <v>0.47699999999999998</v>
      </c>
      <c r="S4" s="4">
        <v>0.72399999999999998</v>
      </c>
      <c r="T4" s="4">
        <v>0.48899999999999999</v>
      </c>
      <c r="U4" s="4">
        <v>0.26700000000000002</v>
      </c>
      <c r="V4" s="4">
        <v>0.25900000000000001</v>
      </c>
      <c r="W4" s="4">
        <v>0.36</v>
      </c>
      <c r="X4" s="4"/>
      <c r="Y4" s="4">
        <v>0.29499999999999998</v>
      </c>
      <c r="Z4" s="4">
        <v>0.84499999999999997</v>
      </c>
      <c r="AA4" s="4"/>
      <c r="AB4" s="4">
        <v>8.6999999999999994E-2</v>
      </c>
      <c r="AC4" s="4">
        <v>0.45200000000000001</v>
      </c>
      <c r="AD4" s="10">
        <f>(K4*Y4+P4*Z4)</f>
        <v>0.63544999999999996</v>
      </c>
      <c r="AE4" s="9"/>
      <c r="AF4" s="9"/>
      <c r="AG4" s="12">
        <f>(PERCENTRANK(F$4:F$298,F4))*100</f>
        <v>72.899999999999991</v>
      </c>
      <c r="AH4" s="12">
        <f t="shared" ref="AH4:AX19" si="0">(PERCENTRANK(G$4:G$298,G4))*100</f>
        <v>100</v>
      </c>
      <c r="AI4" s="12">
        <f t="shared" si="0"/>
        <v>32.5</v>
      </c>
      <c r="AJ4" s="12">
        <f t="shared" si="0"/>
        <v>87.8</v>
      </c>
      <c r="AK4" s="12"/>
      <c r="AL4" s="12">
        <f t="shared" si="0"/>
        <v>14.299999999999999</v>
      </c>
      <c r="AM4" s="12">
        <f t="shared" si="0"/>
        <v>14.899999999999999</v>
      </c>
      <c r="AN4" s="12">
        <f t="shared" si="0"/>
        <v>18.7</v>
      </c>
      <c r="AO4" s="12">
        <f t="shared" si="0"/>
        <v>57.4</v>
      </c>
      <c r="AP4" s="12">
        <f t="shared" si="0"/>
        <v>59.099999999999994</v>
      </c>
      <c r="AQ4" s="12">
        <f t="shared" si="0"/>
        <v>85.6</v>
      </c>
      <c r="AR4" s="12"/>
      <c r="AS4" s="12">
        <f t="shared" si="0"/>
        <v>33.1</v>
      </c>
      <c r="AT4" s="12">
        <f t="shared" si="0"/>
        <v>69</v>
      </c>
      <c r="AU4" s="12">
        <f t="shared" si="0"/>
        <v>70.099999999999994</v>
      </c>
      <c r="AV4" s="12">
        <f t="shared" si="0"/>
        <v>29.799999999999997</v>
      </c>
      <c r="AW4" s="12">
        <f t="shared" si="0"/>
        <v>39.200000000000003</v>
      </c>
      <c r="AX4" s="12">
        <f t="shared" si="0"/>
        <v>65.100000000000009</v>
      </c>
      <c r="AY4" s="12"/>
      <c r="AZ4" s="12">
        <f>100-(PERCENTRANK(Y$4:Y$298,Y4))*100</f>
        <v>90.7</v>
      </c>
      <c r="BA4" s="12">
        <f>100-(PERCENTRANK(Z$4:Z$298,Z4))*100</f>
        <v>71.3</v>
      </c>
      <c r="BB4" s="12"/>
      <c r="BC4" s="12">
        <f>(PERCENTRANK(AB$4:AB$298,AB4))*100</f>
        <v>12.7</v>
      </c>
      <c r="BD4" s="12">
        <f>(PERCENTRANK(AC$4:AC$298,AC4))*100</f>
        <v>75.599999999999994</v>
      </c>
      <c r="BE4" s="12">
        <f>100-(PERCENTRANK(AD$4:AD$298,AD4))*100</f>
        <v>71.900000000000006</v>
      </c>
    </row>
    <row r="5" spans="1:57" ht="13.8">
      <c r="A5" s="1" t="s">
        <v>159</v>
      </c>
      <c r="B5" s="3" t="s">
        <v>157</v>
      </c>
      <c r="C5" s="4" t="s">
        <v>8</v>
      </c>
      <c r="D5" s="4">
        <v>41</v>
      </c>
      <c r="E5" s="4">
        <v>1347</v>
      </c>
      <c r="F5" s="4">
        <v>41</v>
      </c>
      <c r="G5" s="4">
        <v>1347</v>
      </c>
      <c r="H5" s="4">
        <v>0.51800000000000002</v>
      </c>
      <c r="I5" s="4">
        <v>14.3</v>
      </c>
      <c r="J5" s="4"/>
      <c r="K5" s="4">
        <v>0.60599999999999998</v>
      </c>
      <c r="L5" s="4">
        <v>0.22500000000000001</v>
      </c>
      <c r="M5" s="4">
        <v>0.19500000000000001</v>
      </c>
      <c r="N5" s="4">
        <v>5.7000000000000002E-2</v>
      </c>
      <c r="O5" s="4">
        <v>0.129</v>
      </c>
      <c r="P5" s="4">
        <v>0.39400000000000002</v>
      </c>
      <c r="Q5" s="4"/>
      <c r="R5" s="4">
        <v>0.55400000000000005</v>
      </c>
      <c r="S5" s="4">
        <v>0.63300000000000001</v>
      </c>
      <c r="T5" s="4">
        <v>0.59099999999999997</v>
      </c>
      <c r="U5" s="4">
        <v>0.42499999999999999</v>
      </c>
      <c r="V5" s="4">
        <v>0.41799999999999998</v>
      </c>
      <c r="W5" s="4">
        <v>0.46200000000000002</v>
      </c>
      <c r="X5" s="4"/>
      <c r="Y5" s="4">
        <v>0.57199999999999995</v>
      </c>
      <c r="Z5" s="4">
        <v>0.64800000000000002</v>
      </c>
      <c r="AA5" s="4"/>
      <c r="AB5" s="4">
        <v>0.123</v>
      </c>
      <c r="AC5" s="4">
        <v>0.35299999999999998</v>
      </c>
      <c r="AD5" s="10">
        <f t="shared" ref="AD5:AD68" si="1">(K5*Y5+P5*Z5)</f>
        <v>0.60194400000000003</v>
      </c>
      <c r="AE5" s="9"/>
      <c r="AF5" s="9"/>
      <c r="AG5" s="12">
        <f t="shared" ref="AG5:AJ68" si="2">(PERCENTRANK(F$4:F$298,F5))*100</f>
        <v>85.6</v>
      </c>
      <c r="AH5" s="12">
        <f t="shared" si="0"/>
        <v>99.4</v>
      </c>
      <c r="AI5" s="12">
        <f t="shared" si="0"/>
        <v>84.5</v>
      </c>
      <c r="AJ5" s="12">
        <f t="shared" si="0"/>
        <v>53.5</v>
      </c>
      <c r="AK5" s="12"/>
      <c r="AL5" s="12">
        <f t="shared" si="0"/>
        <v>54.6</v>
      </c>
      <c r="AM5" s="12">
        <f t="shared" si="0"/>
        <v>60.699999999999996</v>
      </c>
      <c r="AN5" s="12">
        <f t="shared" si="0"/>
        <v>31.4</v>
      </c>
      <c r="AO5" s="12">
        <f t="shared" si="0"/>
        <v>42.5</v>
      </c>
      <c r="AP5" s="12">
        <f t="shared" si="0"/>
        <v>95</v>
      </c>
      <c r="AQ5" s="12">
        <f t="shared" si="0"/>
        <v>45.300000000000004</v>
      </c>
      <c r="AR5" s="12"/>
      <c r="AS5" s="12">
        <f t="shared" si="0"/>
        <v>73.400000000000006</v>
      </c>
      <c r="AT5" s="12">
        <f t="shared" si="0"/>
        <v>34.799999999999997</v>
      </c>
      <c r="AU5" s="12">
        <f t="shared" si="0"/>
        <v>96.1</v>
      </c>
      <c r="AV5" s="12">
        <f t="shared" si="0"/>
        <v>66.8</v>
      </c>
      <c r="AW5" s="12">
        <f t="shared" si="0"/>
        <v>72.899999999999991</v>
      </c>
      <c r="AX5" s="12">
        <f t="shared" si="0"/>
        <v>96.6</v>
      </c>
      <c r="AY5" s="12"/>
      <c r="AZ5" s="12">
        <f t="shared" ref="AZ5:AZ68" si="3">100-(PERCENTRANK(Y$4:Y$298,Y5))*100</f>
        <v>57</v>
      </c>
      <c r="BA5" s="12">
        <f t="shared" ref="BA5:BA68" si="4">100-(PERCENTRANK(Z$4:Z$298,Z5))*100</f>
        <v>89.6</v>
      </c>
      <c r="BB5" s="12"/>
      <c r="BC5" s="12">
        <f t="shared" ref="BC5:BC68" si="5">(PERCENTRANK(AB$4:AB$298,AB5))*100</f>
        <v>21.5</v>
      </c>
      <c r="BD5" s="12">
        <f t="shared" ref="BD5:BD68" si="6">(PERCENTRANK(AC$4:AC$298,AC5))*100</f>
        <v>49.7</v>
      </c>
      <c r="BE5" s="12">
        <f t="shared" ref="BE5:BE68" si="7">100-(PERCENTRANK(AD$4:AD$298,AD5))*100</f>
        <v>76.8</v>
      </c>
    </row>
    <row r="6" spans="1:57" ht="13.8">
      <c r="A6" s="1" t="s">
        <v>149</v>
      </c>
      <c r="B6" s="3" t="s">
        <v>128</v>
      </c>
      <c r="C6" s="4" t="s">
        <v>8</v>
      </c>
      <c r="D6" s="4">
        <v>41</v>
      </c>
      <c r="E6" s="4">
        <v>1341</v>
      </c>
      <c r="F6" s="4">
        <v>41</v>
      </c>
      <c r="G6" s="4">
        <v>1341</v>
      </c>
      <c r="H6" s="4">
        <v>0.45800000000000002</v>
      </c>
      <c r="I6" s="4">
        <v>13</v>
      </c>
      <c r="J6" s="4"/>
      <c r="K6" s="4">
        <v>0.60299999999999998</v>
      </c>
      <c r="L6" s="4">
        <v>0.27400000000000002</v>
      </c>
      <c r="M6" s="4">
        <v>0.22800000000000001</v>
      </c>
      <c r="N6" s="4">
        <v>8.5000000000000006E-2</v>
      </c>
      <c r="O6" s="4">
        <v>1.6E-2</v>
      </c>
      <c r="P6" s="4">
        <v>0.39700000000000002</v>
      </c>
      <c r="Q6" s="4"/>
      <c r="R6" s="4">
        <v>0.54300000000000004</v>
      </c>
      <c r="S6" s="4">
        <v>0.73899999999999999</v>
      </c>
      <c r="T6" s="4">
        <v>0.34399999999999997</v>
      </c>
      <c r="U6" s="4">
        <v>0.49</v>
      </c>
      <c r="V6" s="4">
        <v>0.33300000000000002</v>
      </c>
      <c r="W6" s="4">
        <v>0.32900000000000001</v>
      </c>
      <c r="X6" s="4"/>
      <c r="Y6" s="4">
        <v>0.69099999999999995</v>
      </c>
      <c r="Z6" s="4">
        <v>0.96</v>
      </c>
      <c r="AA6" s="4"/>
      <c r="AB6" s="4">
        <v>0.154</v>
      </c>
      <c r="AC6" s="4">
        <v>0.22900000000000001</v>
      </c>
      <c r="AD6" s="10">
        <f t="shared" si="1"/>
        <v>0.79779299999999997</v>
      </c>
      <c r="AE6" s="9"/>
      <c r="AF6" s="9"/>
      <c r="AG6" s="12">
        <f t="shared" si="2"/>
        <v>85.6</v>
      </c>
      <c r="AH6" s="12">
        <f t="shared" si="0"/>
        <v>98.8</v>
      </c>
      <c r="AI6" s="12">
        <f t="shared" si="0"/>
        <v>61.3</v>
      </c>
      <c r="AJ6" s="12">
        <f t="shared" si="0"/>
        <v>41.4</v>
      </c>
      <c r="AK6" s="12"/>
      <c r="AL6" s="12">
        <f t="shared" si="0"/>
        <v>51.300000000000004</v>
      </c>
      <c r="AM6" s="12">
        <f t="shared" si="0"/>
        <v>72.899999999999991</v>
      </c>
      <c r="AN6" s="12">
        <f t="shared" si="0"/>
        <v>41.4</v>
      </c>
      <c r="AO6" s="12">
        <f t="shared" si="0"/>
        <v>62.4</v>
      </c>
      <c r="AP6" s="12">
        <f t="shared" si="0"/>
        <v>20.399999999999999</v>
      </c>
      <c r="AQ6" s="12">
        <f t="shared" si="0"/>
        <v>48</v>
      </c>
      <c r="AR6" s="12"/>
      <c r="AS6" s="12">
        <f t="shared" si="0"/>
        <v>66.8</v>
      </c>
      <c r="AT6" s="12">
        <f t="shared" si="0"/>
        <v>74</v>
      </c>
      <c r="AU6" s="12">
        <f t="shared" si="0"/>
        <v>18.2</v>
      </c>
      <c r="AV6" s="12">
        <f t="shared" si="0"/>
        <v>80.600000000000009</v>
      </c>
      <c r="AW6" s="12">
        <f t="shared" si="0"/>
        <v>45.800000000000004</v>
      </c>
      <c r="AX6" s="12">
        <f t="shared" si="0"/>
        <v>48.6</v>
      </c>
      <c r="AY6" s="12"/>
      <c r="AZ6" s="12">
        <f t="shared" si="3"/>
        <v>36</v>
      </c>
      <c r="BA6" s="12">
        <f t="shared" si="4"/>
        <v>42.6</v>
      </c>
      <c r="BB6" s="12"/>
      <c r="BC6" s="12">
        <f t="shared" si="5"/>
        <v>32</v>
      </c>
      <c r="BD6" s="12">
        <f t="shared" si="6"/>
        <v>20.9</v>
      </c>
      <c r="BE6" s="12">
        <f t="shared" si="7"/>
        <v>34.299999999999997</v>
      </c>
    </row>
    <row r="7" spans="1:57" ht="13.8">
      <c r="A7" s="1" t="s">
        <v>95</v>
      </c>
      <c r="B7" s="3" t="s">
        <v>96</v>
      </c>
      <c r="C7" s="4" t="s">
        <v>8</v>
      </c>
      <c r="D7" s="4">
        <v>41</v>
      </c>
      <c r="E7" s="4">
        <v>1337</v>
      </c>
      <c r="F7" s="4">
        <v>41</v>
      </c>
      <c r="G7" s="4">
        <v>1337</v>
      </c>
      <c r="H7" s="4">
        <v>0.46100000000000002</v>
      </c>
      <c r="I7" s="4">
        <v>16.7</v>
      </c>
      <c r="J7" s="4"/>
      <c r="K7" s="4">
        <v>0.45700000000000002</v>
      </c>
      <c r="L7" s="4">
        <v>0.158</v>
      </c>
      <c r="M7" s="4">
        <v>0.16600000000000001</v>
      </c>
      <c r="N7" s="4">
        <v>5.8999999999999997E-2</v>
      </c>
      <c r="O7" s="4">
        <v>7.3999999999999996E-2</v>
      </c>
      <c r="P7" s="4">
        <v>0.54300000000000004</v>
      </c>
      <c r="Q7" s="4"/>
      <c r="R7" s="4">
        <v>0.51700000000000002</v>
      </c>
      <c r="S7" s="4">
        <v>0.69899999999999995</v>
      </c>
      <c r="T7" s="4">
        <v>0.50600000000000001</v>
      </c>
      <c r="U7" s="4">
        <v>0.19400000000000001</v>
      </c>
      <c r="V7" s="4">
        <v>0.41</v>
      </c>
      <c r="W7" s="4">
        <v>0.41399999999999998</v>
      </c>
      <c r="X7" s="4"/>
      <c r="Y7" s="4">
        <v>0.73399999999999999</v>
      </c>
      <c r="Z7" s="4">
        <v>0.96599999999999997</v>
      </c>
      <c r="AA7" s="4"/>
      <c r="AB7" s="4">
        <v>0.2</v>
      </c>
      <c r="AC7" s="4">
        <v>0.439</v>
      </c>
      <c r="AD7" s="10">
        <f t="shared" si="1"/>
        <v>0.85997600000000007</v>
      </c>
      <c r="AE7" s="9"/>
      <c r="AF7" s="9"/>
      <c r="AG7" s="12">
        <f t="shared" si="2"/>
        <v>85.6</v>
      </c>
      <c r="AH7" s="12">
        <f t="shared" si="0"/>
        <v>98.3</v>
      </c>
      <c r="AI7" s="12">
        <f t="shared" si="0"/>
        <v>63.5</v>
      </c>
      <c r="AJ7" s="12">
        <f t="shared" si="0"/>
        <v>75.599999999999994</v>
      </c>
      <c r="AK7" s="12"/>
      <c r="AL7" s="12">
        <f t="shared" si="0"/>
        <v>20.399999999999999</v>
      </c>
      <c r="AM7" s="12">
        <f t="shared" si="0"/>
        <v>36.4</v>
      </c>
      <c r="AN7" s="12">
        <f t="shared" si="0"/>
        <v>22.6</v>
      </c>
      <c r="AO7" s="12">
        <f t="shared" si="0"/>
        <v>43</v>
      </c>
      <c r="AP7" s="12">
        <f t="shared" si="0"/>
        <v>78.400000000000006</v>
      </c>
      <c r="AQ7" s="12">
        <f t="shared" si="0"/>
        <v>79.5</v>
      </c>
      <c r="AR7" s="12"/>
      <c r="AS7" s="12">
        <f t="shared" si="0"/>
        <v>51.9</v>
      </c>
      <c r="AT7" s="12">
        <f t="shared" si="0"/>
        <v>60.199999999999996</v>
      </c>
      <c r="AU7" s="12">
        <f t="shared" si="0"/>
        <v>78.400000000000006</v>
      </c>
      <c r="AV7" s="12">
        <f t="shared" si="0"/>
        <v>24.8</v>
      </c>
      <c r="AW7" s="12">
        <f t="shared" si="0"/>
        <v>69</v>
      </c>
      <c r="AX7" s="12">
        <f t="shared" si="0"/>
        <v>90</v>
      </c>
      <c r="AY7" s="12"/>
      <c r="AZ7" s="12">
        <f t="shared" si="3"/>
        <v>25.5</v>
      </c>
      <c r="BA7" s="12">
        <f t="shared" si="4"/>
        <v>39.300000000000004</v>
      </c>
      <c r="BB7" s="12"/>
      <c r="BC7" s="12">
        <f t="shared" si="5"/>
        <v>56.899999999999991</v>
      </c>
      <c r="BD7" s="12">
        <f t="shared" si="6"/>
        <v>71.8</v>
      </c>
      <c r="BE7" s="12">
        <f t="shared" si="7"/>
        <v>18.300000000000011</v>
      </c>
    </row>
    <row r="8" spans="1:57" ht="13.8">
      <c r="A8" s="1" t="s">
        <v>83</v>
      </c>
      <c r="B8" s="3" t="s">
        <v>84</v>
      </c>
      <c r="C8" s="4" t="s">
        <v>85</v>
      </c>
      <c r="D8" s="4">
        <v>40</v>
      </c>
      <c r="E8" s="4">
        <v>1325</v>
      </c>
      <c r="F8" s="4">
        <v>40</v>
      </c>
      <c r="G8" s="4">
        <v>1325</v>
      </c>
      <c r="H8" s="4">
        <v>0.46500000000000002</v>
      </c>
      <c r="I8" s="4">
        <v>9.6999999999999993</v>
      </c>
      <c r="J8" s="4"/>
      <c r="K8" s="4">
        <v>0.80200000000000005</v>
      </c>
      <c r="L8" s="4">
        <v>0.193</v>
      </c>
      <c r="M8" s="4">
        <v>0.47499999999999998</v>
      </c>
      <c r="N8" s="4">
        <v>0.115</v>
      </c>
      <c r="O8" s="4">
        <v>1.7999999999999999E-2</v>
      </c>
      <c r="P8" s="4">
        <v>0.19800000000000001</v>
      </c>
      <c r="Q8" s="4"/>
      <c r="R8" s="4">
        <v>0.51600000000000001</v>
      </c>
      <c r="S8" s="4">
        <v>0.65500000000000003</v>
      </c>
      <c r="T8" s="4">
        <v>0.498</v>
      </c>
      <c r="U8" s="4">
        <v>0.34799999999999998</v>
      </c>
      <c r="V8" s="4">
        <v>0.54500000000000004</v>
      </c>
      <c r="W8" s="4">
        <v>0.26100000000000001</v>
      </c>
      <c r="X8" s="4"/>
      <c r="Y8" s="4">
        <v>0.67300000000000004</v>
      </c>
      <c r="Z8" s="4">
        <v>0.90300000000000002</v>
      </c>
      <c r="AA8" s="4"/>
      <c r="AB8" s="4">
        <v>0.22700000000000001</v>
      </c>
      <c r="AC8" s="4">
        <v>0.29599999999999999</v>
      </c>
      <c r="AD8" s="10">
        <f t="shared" si="1"/>
        <v>0.71854000000000007</v>
      </c>
      <c r="AE8" s="9"/>
      <c r="AF8" s="9"/>
      <c r="AG8" s="12">
        <f t="shared" si="2"/>
        <v>72.899999999999991</v>
      </c>
      <c r="AH8" s="12">
        <f t="shared" si="0"/>
        <v>97.7</v>
      </c>
      <c r="AI8" s="12">
        <f t="shared" si="0"/>
        <v>66.8</v>
      </c>
      <c r="AJ8" s="12">
        <f t="shared" si="0"/>
        <v>20.399999999999999</v>
      </c>
      <c r="AK8" s="12"/>
      <c r="AL8" s="12">
        <f t="shared" si="0"/>
        <v>84.5</v>
      </c>
      <c r="AM8" s="12">
        <f t="shared" si="0"/>
        <v>49.1</v>
      </c>
      <c r="AN8" s="12">
        <f t="shared" si="0"/>
        <v>97.7</v>
      </c>
      <c r="AO8" s="12">
        <f t="shared" si="0"/>
        <v>78.400000000000006</v>
      </c>
      <c r="AP8" s="12">
        <f t="shared" si="0"/>
        <v>22</v>
      </c>
      <c r="AQ8" s="12">
        <f t="shared" si="0"/>
        <v>15.4</v>
      </c>
      <c r="AR8" s="12"/>
      <c r="AS8" s="12">
        <f t="shared" si="0"/>
        <v>50.2</v>
      </c>
      <c r="AT8" s="12">
        <f t="shared" si="0"/>
        <v>44.1</v>
      </c>
      <c r="AU8" s="12">
        <f t="shared" si="0"/>
        <v>73.400000000000006</v>
      </c>
      <c r="AV8" s="12">
        <f t="shared" si="0"/>
        <v>47.5</v>
      </c>
      <c r="AW8" s="12">
        <f t="shared" si="0"/>
        <v>91.100000000000009</v>
      </c>
      <c r="AX8" s="12">
        <f t="shared" si="0"/>
        <v>21.5</v>
      </c>
      <c r="AY8" s="12"/>
      <c r="AZ8" s="12">
        <f t="shared" si="3"/>
        <v>39.800000000000004</v>
      </c>
      <c r="BA8" s="12">
        <f t="shared" si="4"/>
        <v>60.8</v>
      </c>
      <c r="BB8" s="12"/>
      <c r="BC8" s="12">
        <f t="shared" si="5"/>
        <v>63.5</v>
      </c>
      <c r="BD8" s="12">
        <f t="shared" si="6"/>
        <v>38.6</v>
      </c>
      <c r="BE8" s="12">
        <f t="shared" si="7"/>
        <v>53.599999999999994</v>
      </c>
    </row>
    <row r="9" spans="1:57" ht="13.8">
      <c r="A9" s="1" t="s">
        <v>121</v>
      </c>
      <c r="B9" s="3" t="s">
        <v>117</v>
      </c>
      <c r="C9" s="4" t="s">
        <v>8</v>
      </c>
      <c r="D9" s="4">
        <v>40</v>
      </c>
      <c r="E9" s="4">
        <v>1309</v>
      </c>
      <c r="F9" s="4">
        <v>40</v>
      </c>
      <c r="G9" s="4">
        <v>1309</v>
      </c>
      <c r="H9" s="4">
        <v>0.434</v>
      </c>
      <c r="I9" s="4">
        <v>18</v>
      </c>
      <c r="J9" s="4"/>
      <c r="K9" s="4">
        <v>0.52600000000000002</v>
      </c>
      <c r="L9" s="4">
        <v>3.5000000000000003E-2</v>
      </c>
      <c r="M9" s="4">
        <v>0.16300000000000001</v>
      </c>
      <c r="N9" s="4">
        <v>0.22600000000000001</v>
      </c>
      <c r="O9" s="4">
        <v>0.10299999999999999</v>
      </c>
      <c r="P9" s="4">
        <v>0.47399999999999998</v>
      </c>
      <c r="Q9" s="4"/>
      <c r="R9" s="4">
        <v>0.495</v>
      </c>
      <c r="S9" s="4">
        <v>0.71399999999999997</v>
      </c>
      <c r="T9" s="4">
        <v>0.44600000000000001</v>
      </c>
      <c r="U9" s="4">
        <v>0.48899999999999999</v>
      </c>
      <c r="V9" s="4">
        <v>0.51200000000000001</v>
      </c>
      <c r="W9" s="4">
        <v>0.36499999999999999</v>
      </c>
      <c r="X9" s="4"/>
      <c r="Y9" s="4">
        <v>0.25</v>
      </c>
      <c r="Z9" s="4">
        <v>0.87</v>
      </c>
      <c r="AA9" s="4"/>
      <c r="AB9" s="4">
        <v>0.106</v>
      </c>
      <c r="AC9" s="4">
        <v>0.4</v>
      </c>
      <c r="AD9" s="10">
        <f t="shared" si="1"/>
        <v>0.54387999999999992</v>
      </c>
      <c r="AE9" s="9"/>
      <c r="AF9" s="9"/>
      <c r="AG9" s="12">
        <f t="shared" si="2"/>
        <v>72.899999999999991</v>
      </c>
      <c r="AH9" s="12">
        <f t="shared" si="0"/>
        <v>97.2</v>
      </c>
      <c r="AI9" s="12">
        <f t="shared" si="0"/>
        <v>46.400000000000006</v>
      </c>
      <c r="AJ9" s="12">
        <f t="shared" si="0"/>
        <v>83.399999999999991</v>
      </c>
      <c r="AK9" s="12"/>
      <c r="AL9" s="12">
        <f t="shared" si="0"/>
        <v>37.5</v>
      </c>
      <c r="AM9" s="12">
        <f t="shared" si="0"/>
        <v>2.1999999999999997</v>
      </c>
      <c r="AN9" s="12">
        <f t="shared" si="0"/>
        <v>22</v>
      </c>
      <c r="AO9" s="12">
        <f t="shared" si="0"/>
        <v>97.7</v>
      </c>
      <c r="AP9" s="12">
        <f t="shared" si="0"/>
        <v>90.600000000000009</v>
      </c>
      <c r="AQ9" s="12">
        <f t="shared" si="0"/>
        <v>62.4</v>
      </c>
      <c r="AR9" s="12"/>
      <c r="AS9" s="12">
        <f t="shared" si="0"/>
        <v>40.799999999999997</v>
      </c>
      <c r="AT9" s="12">
        <f t="shared" si="0"/>
        <v>65.100000000000009</v>
      </c>
      <c r="AU9" s="12">
        <f t="shared" si="0"/>
        <v>49.7</v>
      </c>
      <c r="AV9" s="12">
        <f t="shared" si="0"/>
        <v>80.100000000000009</v>
      </c>
      <c r="AW9" s="12">
        <f t="shared" si="0"/>
        <v>88.9</v>
      </c>
      <c r="AX9" s="12">
        <f t="shared" si="0"/>
        <v>67.900000000000006</v>
      </c>
      <c r="AY9" s="12"/>
      <c r="AZ9" s="12">
        <f t="shared" si="3"/>
        <v>93.4</v>
      </c>
      <c r="BA9" s="12">
        <f t="shared" si="4"/>
        <v>66.3</v>
      </c>
      <c r="BB9" s="12"/>
      <c r="BC9" s="12">
        <f t="shared" si="5"/>
        <v>18.2</v>
      </c>
      <c r="BD9" s="12">
        <f t="shared" si="6"/>
        <v>62.9</v>
      </c>
      <c r="BE9" s="12">
        <f t="shared" si="7"/>
        <v>83.5</v>
      </c>
    </row>
    <row r="10" spans="1:57" ht="13.8">
      <c r="A10" s="1" t="s">
        <v>97</v>
      </c>
      <c r="B10" s="3" t="s">
        <v>93</v>
      </c>
      <c r="C10" s="4" t="s">
        <v>85</v>
      </c>
      <c r="D10" s="4">
        <v>39</v>
      </c>
      <c r="E10" s="4">
        <v>1304</v>
      </c>
      <c r="F10" s="4">
        <v>39</v>
      </c>
      <c r="G10" s="4">
        <v>1304</v>
      </c>
      <c r="H10" s="4">
        <v>0.51700000000000002</v>
      </c>
      <c r="I10" s="4">
        <v>6.6</v>
      </c>
      <c r="J10" s="4"/>
      <c r="K10" s="4">
        <v>0.99299999999999999</v>
      </c>
      <c r="L10" s="4">
        <v>0.27900000000000003</v>
      </c>
      <c r="M10" s="4">
        <v>0.50700000000000001</v>
      </c>
      <c r="N10" s="4">
        <v>0.155</v>
      </c>
      <c r="O10" s="4">
        <v>5.0999999999999997E-2</v>
      </c>
      <c r="P10" s="4">
        <v>7.0000000000000001E-3</v>
      </c>
      <c r="Q10" s="4"/>
      <c r="R10" s="4">
        <v>0.51800000000000002</v>
      </c>
      <c r="S10" s="4">
        <v>0.70399999999999996</v>
      </c>
      <c r="T10" s="4">
        <v>0.48799999999999999</v>
      </c>
      <c r="U10" s="4">
        <v>0.32800000000000001</v>
      </c>
      <c r="V10" s="4">
        <v>0.38100000000000001</v>
      </c>
      <c r="W10" s="4">
        <v>0.33300000000000002</v>
      </c>
      <c r="X10" s="4"/>
      <c r="Y10" s="4">
        <v>0.56100000000000005</v>
      </c>
      <c r="Z10" s="4">
        <v>0</v>
      </c>
      <c r="AA10" s="4"/>
      <c r="AB10" s="4">
        <v>0</v>
      </c>
      <c r="AC10" s="4">
        <v>0</v>
      </c>
      <c r="AD10" s="10">
        <f t="shared" si="1"/>
        <v>0.55707300000000004</v>
      </c>
      <c r="AE10" s="9"/>
      <c r="AF10" s="9"/>
      <c r="AG10" s="12">
        <f t="shared" si="2"/>
        <v>64.600000000000009</v>
      </c>
      <c r="AH10" s="12">
        <f t="shared" si="0"/>
        <v>96.6</v>
      </c>
      <c r="AI10" s="12">
        <f t="shared" si="0"/>
        <v>83.399999999999991</v>
      </c>
      <c r="AJ10" s="12">
        <f t="shared" si="0"/>
        <v>9.3000000000000007</v>
      </c>
      <c r="AK10" s="12"/>
      <c r="AL10" s="12">
        <f t="shared" si="0"/>
        <v>97.2</v>
      </c>
      <c r="AM10" s="12">
        <f t="shared" si="0"/>
        <v>74</v>
      </c>
      <c r="AN10" s="12">
        <f t="shared" si="0"/>
        <v>99.4</v>
      </c>
      <c r="AO10" s="12">
        <f t="shared" si="0"/>
        <v>90</v>
      </c>
      <c r="AP10" s="12">
        <f t="shared" si="0"/>
        <v>61.3</v>
      </c>
      <c r="AQ10" s="12">
        <f t="shared" si="0"/>
        <v>2.7</v>
      </c>
      <c r="AR10" s="12"/>
      <c r="AS10" s="12">
        <f t="shared" si="0"/>
        <v>53</v>
      </c>
      <c r="AT10" s="12">
        <f t="shared" si="0"/>
        <v>61.8</v>
      </c>
      <c r="AU10" s="12">
        <f t="shared" si="0"/>
        <v>69</v>
      </c>
      <c r="AV10" s="12">
        <f t="shared" si="0"/>
        <v>41.4</v>
      </c>
      <c r="AW10" s="12">
        <f t="shared" si="0"/>
        <v>61.3</v>
      </c>
      <c r="AX10" s="12">
        <f t="shared" si="0"/>
        <v>50.2</v>
      </c>
      <c r="AY10" s="12"/>
      <c r="AZ10" s="12">
        <f t="shared" si="3"/>
        <v>59.699999999999996</v>
      </c>
      <c r="BA10" s="12">
        <f t="shared" si="4"/>
        <v>100</v>
      </c>
      <c r="BB10" s="12"/>
      <c r="BC10" s="12">
        <f t="shared" si="5"/>
        <v>0</v>
      </c>
      <c r="BD10" s="12">
        <f t="shared" si="6"/>
        <v>0</v>
      </c>
      <c r="BE10" s="12">
        <f t="shared" si="7"/>
        <v>81.3</v>
      </c>
    </row>
    <row r="11" spans="1:57" ht="13.8">
      <c r="A11" s="1" t="s">
        <v>116</v>
      </c>
      <c r="B11" s="3" t="s">
        <v>117</v>
      </c>
      <c r="C11" s="4" t="s">
        <v>8</v>
      </c>
      <c r="D11" s="4">
        <v>40</v>
      </c>
      <c r="E11" s="4">
        <v>1291</v>
      </c>
      <c r="F11" s="4">
        <v>40</v>
      </c>
      <c r="G11" s="4">
        <v>1291</v>
      </c>
      <c r="H11" s="4">
        <v>0.48899999999999999</v>
      </c>
      <c r="I11" s="4">
        <v>15.7</v>
      </c>
      <c r="J11" s="4"/>
      <c r="K11" s="4">
        <v>0.56399999999999995</v>
      </c>
      <c r="L11" s="4">
        <v>0.112</v>
      </c>
      <c r="M11" s="4">
        <v>0.247</v>
      </c>
      <c r="N11" s="4">
        <v>0.13500000000000001</v>
      </c>
      <c r="O11" s="4">
        <v>6.9000000000000006E-2</v>
      </c>
      <c r="P11" s="4">
        <v>0.436</v>
      </c>
      <c r="Q11" s="4"/>
      <c r="R11" s="4">
        <v>0.56799999999999995</v>
      </c>
      <c r="S11" s="4">
        <v>0.746</v>
      </c>
      <c r="T11" s="4">
        <v>0.56799999999999995</v>
      </c>
      <c r="U11" s="4">
        <v>0.47399999999999998</v>
      </c>
      <c r="V11" s="4">
        <v>0.46200000000000002</v>
      </c>
      <c r="W11" s="4">
        <v>0.38800000000000001</v>
      </c>
      <c r="X11" s="4"/>
      <c r="Y11" s="4">
        <v>0.46100000000000002</v>
      </c>
      <c r="Z11" s="4">
        <v>0.621</v>
      </c>
      <c r="AA11" s="4"/>
      <c r="AB11" s="4">
        <v>7.2999999999999995E-2</v>
      </c>
      <c r="AC11" s="4">
        <v>0.5</v>
      </c>
      <c r="AD11" s="10">
        <f t="shared" si="1"/>
        <v>0.53076000000000001</v>
      </c>
      <c r="AE11" s="9"/>
      <c r="AF11" s="9"/>
      <c r="AG11" s="12">
        <f t="shared" si="2"/>
        <v>72.899999999999991</v>
      </c>
      <c r="AH11" s="12">
        <f t="shared" si="0"/>
        <v>96.1</v>
      </c>
      <c r="AI11" s="12">
        <f t="shared" si="0"/>
        <v>75.599999999999994</v>
      </c>
      <c r="AJ11" s="12">
        <f t="shared" si="0"/>
        <v>64</v>
      </c>
      <c r="AK11" s="12"/>
      <c r="AL11" s="12">
        <f t="shared" si="0"/>
        <v>41.9</v>
      </c>
      <c r="AM11" s="12">
        <f t="shared" si="0"/>
        <v>19.3</v>
      </c>
      <c r="AN11" s="12">
        <f t="shared" si="0"/>
        <v>49.7</v>
      </c>
      <c r="AO11" s="12">
        <f t="shared" si="0"/>
        <v>83.899999999999991</v>
      </c>
      <c r="AP11" s="12">
        <f t="shared" si="0"/>
        <v>75.599999999999994</v>
      </c>
      <c r="AQ11" s="12">
        <f t="shared" si="0"/>
        <v>57.4</v>
      </c>
      <c r="AR11" s="12"/>
      <c r="AS11" s="12">
        <f t="shared" si="0"/>
        <v>81.2</v>
      </c>
      <c r="AT11" s="12">
        <f t="shared" si="0"/>
        <v>76.2</v>
      </c>
      <c r="AU11" s="12">
        <f t="shared" si="0"/>
        <v>91.7</v>
      </c>
      <c r="AV11" s="12">
        <f t="shared" si="0"/>
        <v>77.900000000000006</v>
      </c>
      <c r="AW11" s="12">
        <f t="shared" si="0"/>
        <v>77.900000000000006</v>
      </c>
      <c r="AX11" s="12">
        <f t="shared" si="0"/>
        <v>79</v>
      </c>
      <c r="AY11" s="12"/>
      <c r="AZ11" s="12">
        <f t="shared" si="3"/>
        <v>70.2</v>
      </c>
      <c r="BA11" s="12">
        <f t="shared" si="4"/>
        <v>91.2</v>
      </c>
      <c r="BB11" s="12"/>
      <c r="BC11" s="12">
        <f t="shared" si="5"/>
        <v>11</v>
      </c>
      <c r="BD11" s="12">
        <f t="shared" si="6"/>
        <v>79</v>
      </c>
      <c r="BE11" s="12">
        <f t="shared" si="7"/>
        <v>87.9</v>
      </c>
    </row>
    <row r="12" spans="1:57" ht="13.8">
      <c r="A12" s="1" t="s">
        <v>98</v>
      </c>
      <c r="B12" s="3" t="s">
        <v>99</v>
      </c>
      <c r="C12" s="4" t="s">
        <v>8</v>
      </c>
      <c r="D12" s="4">
        <v>39</v>
      </c>
      <c r="E12" s="4">
        <v>1281</v>
      </c>
      <c r="F12" s="4">
        <v>39</v>
      </c>
      <c r="G12" s="4">
        <v>1281</v>
      </c>
      <c r="H12" s="4">
        <v>0.50800000000000001</v>
      </c>
      <c r="I12" s="4">
        <v>15.5</v>
      </c>
      <c r="J12" s="4"/>
      <c r="K12" s="4">
        <v>0.70099999999999996</v>
      </c>
      <c r="L12" s="4">
        <v>7.9000000000000001E-2</v>
      </c>
      <c r="M12" s="4">
        <v>0.19900000000000001</v>
      </c>
      <c r="N12" s="4">
        <v>0.27800000000000002</v>
      </c>
      <c r="O12" s="4">
        <v>0.14499999999999999</v>
      </c>
      <c r="P12" s="4">
        <v>0.29899999999999999</v>
      </c>
      <c r="Q12" s="4"/>
      <c r="R12" s="4">
        <v>0.55800000000000005</v>
      </c>
      <c r="S12" s="4">
        <v>0.78700000000000003</v>
      </c>
      <c r="T12" s="4">
        <v>0.56299999999999994</v>
      </c>
      <c r="U12" s="4">
        <v>0.56599999999999995</v>
      </c>
      <c r="V12" s="4">
        <v>0.41399999999999998</v>
      </c>
      <c r="W12" s="4">
        <v>0.39100000000000001</v>
      </c>
      <c r="X12" s="4"/>
      <c r="Y12" s="4">
        <v>0.436</v>
      </c>
      <c r="Z12" s="4">
        <v>0.75700000000000001</v>
      </c>
      <c r="AA12" s="4"/>
      <c r="AB12" s="4">
        <v>0.05</v>
      </c>
      <c r="AC12" s="4">
        <v>0.33300000000000002</v>
      </c>
      <c r="AD12" s="10">
        <f t="shared" si="1"/>
        <v>0.53197899999999998</v>
      </c>
      <c r="AE12" s="9"/>
      <c r="AF12" s="9"/>
      <c r="AG12" s="12">
        <f t="shared" si="2"/>
        <v>64.600000000000009</v>
      </c>
      <c r="AH12" s="12">
        <f t="shared" si="0"/>
        <v>95.5</v>
      </c>
      <c r="AI12" s="12">
        <f t="shared" si="0"/>
        <v>81.699999999999989</v>
      </c>
      <c r="AJ12" s="12">
        <f t="shared" si="0"/>
        <v>60.699999999999996</v>
      </c>
      <c r="AK12" s="12"/>
      <c r="AL12" s="12">
        <f t="shared" si="0"/>
        <v>69.599999999999994</v>
      </c>
      <c r="AM12" s="12">
        <f t="shared" si="0"/>
        <v>9.3000000000000007</v>
      </c>
      <c r="AN12" s="12">
        <f t="shared" si="0"/>
        <v>33.700000000000003</v>
      </c>
      <c r="AO12" s="12">
        <f t="shared" si="0"/>
        <v>100</v>
      </c>
      <c r="AP12" s="12">
        <f t="shared" si="0"/>
        <v>97.2</v>
      </c>
      <c r="AQ12" s="12">
        <f t="shared" si="0"/>
        <v>30.3</v>
      </c>
      <c r="AR12" s="12"/>
      <c r="AS12" s="12">
        <f t="shared" si="0"/>
        <v>76.7</v>
      </c>
      <c r="AT12" s="12">
        <f t="shared" si="0"/>
        <v>89.5</v>
      </c>
      <c r="AU12" s="12">
        <f t="shared" si="0"/>
        <v>91.100000000000009</v>
      </c>
      <c r="AV12" s="12">
        <f t="shared" si="0"/>
        <v>90</v>
      </c>
      <c r="AW12" s="12">
        <f t="shared" si="0"/>
        <v>70.7</v>
      </c>
      <c r="AX12" s="12">
        <f t="shared" si="0"/>
        <v>80.100000000000009</v>
      </c>
      <c r="AY12" s="12"/>
      <c r="AZ12" s="12">
        <f t="shared" si="3"/>
        <v>78</v>
      </c>
      <c r="BA12" s="12">
        <f t="shared" si="4"/>
        <v>80.7</v>
      </c>
      <c r="BB12" s="12"/>
      <c r="BC12" s="12">
        <f t="shared" si="5"/>
        <v>6.6000000000000005</v>
      </c>
      <c r="BD12" s="12">
        <f t="shared" si="6"/>
        <v>43</v>
      </c>
      <c r="BE12" s="12">
        <f t="shared" si="7"/>
        <v>86.8</v>
      </c>
    </row>
    <row r="13" spans="1:57" ht="13.8">
      <c r="A13" s="1" t="s">
        <v>151</v>
      </c>
      <c r="B13" s="3" t="s">
        <v>128</v>
      </c>
      <c r="C13" s="4" t="s">
        <v>85</v>
      </c>
      <c r="D13" s="4">
        <v>40</v>
      </c>
      <c r="E13" s="4">
        <v>1256</v>
      </c>
      <c r="F13" s="4">
        <v>40</v>
      </c>
      <c r="G13" s="4">
        <v>1256</v>
      </c>
      <c r="H13" s="4">
        <v>0.44600000000000001</v>
      </c>
      <c r="I13" s="4">
        <v>5.0999999999999996</v>
      </c>
      <c r="J13" s="4"/>
      <c r="K13" s="4">
        <v>0.90200000000000002</v>
      </c>
      <c r="L13" s="4">
        <v>0.57499999999999996</v>
      </c>
      <c r="M13" s="4">
        <v>0.308</v>
      </c>
      <c r="N13" s="4">
        <v>6.0000000000000001E-3</v>
      </c>
      <c r="O13" s="4">
        <v>1.2999999999999999E-2</v>
      </c>
      <c r="P13" s="4">
        <v>9.8000000000000004E-2</v>
      </c>
      <c r="Q13" s="4"/>
      <c r="R13" s="4">
        <v>0.47299999999999998</v>
      </c>
      <c r="S13" s="4">
        <v>0.56499999999999995</v>
      </c>
      <c r="T13" s="4">
        <v>0.31900000000000001</v>
      </c>
      <c r="U13" s="4">
        <v>0</v>
      </c>
      <c r="V13" s="4">
        <v>0.28599999999999998</v>
      </c>
      <c r="W13" s="4">
        <v>0.19600000000000001</v>
      </c>
      <c r="X13" s="4"/>
      <c r="Y13" s="4">
        <v>0.61699999999999999</v>
      </c>
      <c r="Z13" s="4">
        <v>1</v>
      </c>
      <c r="AA13" s="4"/>
      <c r="AB13" s="4">
        <v>0.45100000000000001</v>
      </c>
      <c r="AC13" s="4">
        <v>0.17399999999999999</v>
      </c>
      <c r="AD13" s="10">
        <f t="shared" si="1"/>
        <v>0.65453399999999995</v>
      </c>
      <c r="AE13" s="9"/>
      <c r="AF13" s="9"/>
      <c r="AG13" s="12">
        <f t="shared" si="2"/>
        <v>72.899999999999991</v>
      </c>
      <c r="AH13" s="12">
        <f t="shared" si="0"/>
        <v>95</v>
      </c>
      <c r="AI13" s="12">
        <f t="shared" si="0"/>
        <v>55.2</v>
      </c>
      <c r="AJ13" s="12">
        <f t="shared" si="0"/>
        <v>4.3999999999999995</v>
      </c>
      <c r="AK13" s="12"/>
      <c r="AL13" s="12">
        <f t="shared" si="0"/>
        <v>89.5</v>
      </c>
      <c r="AM13" s="12">
        <f t="shared" si="0"/>
        <v>97.7</v>
      </c>
      <c r="AN13" s="12">
        <f t="shared" si="0"/>
        <v>69</v>
      </c>
      <c r="AO13" s="12">
        <f t="shared" si="0"/>
        <v>4.9000000000000004</v>
      </c>
      <c r="AP13" s="12">
        <f t="shared" si="0"/>
        <v>14.299999999999999</v>
      </c>
      <c r="AQ13" s="12">
        <f t="shared" si="0"/>
        <v>10.4</v>
      </c>
      <c r="AR13" s="12"/>
      <c r="AS13" s="12">
        <f t="shared" si="0"/>
        <v>29.2</v>
      </c>
      <c r="AT13" s="12">
        <f t="shared" si="0"/>
        <v>15.4</v>
      </c>
      <c r="AU13" s="12">
        <f t="shared" si="0"/>
        <v>12.1</v>
      </c>
      <c r="AV13" s="12">
        <f t="shared" si="0"/>
        <v>0</v>
      </c>
      <c r="AW13" s="12">
        <f t="shared" si="0"/>
        <v>41.4</v>
      </c>
      <c r="AX13" s="12">
        <f t="shared" si="0"/>
        <v>12.1</v>
      </c>
      <c r="AY13" s="12"/>
      <c r="AZ13" s="12">
        <f t="shared" si="3"/>
        <v>49.2</v>
      </c>
      <c r="BA13" s="12">
        <f t="shared" si="4"/>
        <v>33.799999999999997</v>
      </c>
      <c r="BB13" s="12"/>
      <c r="BC13" s="12">
        <f t="shared" si="5"/>
        <v>93.300000000000011</v>
      </c>
      <c r="BD13" s="12">
        <f t="shared" si="6"/>
        <v>17.100000000000001</v>
      </c>
      <c r="BE13" s="12">
        <f t="shared" si="7"/>
        <v>68</v>
      </c>
    </row>
    <row r="14" spans="1:57" ht="13.8">
      <c r="A14" s="1" t="s">
        <v>92</v>
      </c>
      <c r="B14" s="3" t="s">
        <v>93</v>
      </c>
      <c r="C14" s="4" t="s">
        <v>94</v>
      </c>
      <c r="D14" s="4">
        <v>38</v>
      </c>
      <c r="E14" s="4">
        <v>1252</v>
      </c>
      <c r="F14" s="4">
        <v>38</v>
      </c>
      <c r="G14" s="4">
        <v>1252</v>
      </c>
      <c r="H14" s="4">
        <v>0.44500000000000001</v>
      </c>
      <c r="I14" s="4">
        <v>13</v>
      </c>
      <c r="J14" s="4"/>
      <c r="K14" s="4">
        <v>0.64300000000000002</v>
      </c>
      <c r="L14" s="4">
        <v>0.219</v>
      </c>
      <c r="M14" s="4">
        <v>0.27500000000000002</v>
      </c>
      <c r="N14" s="4">
        <v>6.7000000000000004E-2</v>
      </c>
      <c r="O14" s="4">
        <v>8.2000000000000003E-2</v>
      </c>
      <c r="P14" s="4">
        <v>0.35699999999999998</v>
      </c>
      <c r="Q14" s="4"/>
      <c r="R14" s="4">
        <v>0.52700000000000002</v>
      </c>
      <c r="S14" s="4">
        <v>0.73899999999999999</v>
      </c>
      <c r="T14" s="4">
        <v>0.48199999999999998</v>
      </c>
      <c r="U14" s="4">
        <v>0.29299999999999998</v>
      </c>
      <c r="V14" s="4">
        <v>0.3</v>
      </c>
      <c r="W14" s="4">
        <v>0.29799999999999999</v>
      </c>
      <c r="X14" s="4"/>
      <c r="Y14" s="4">
        <v>0.61399999999999999</v>
      </c>
      <c r="Z14" s="4">
        <v>0.92300000000000004</v>
      </c>
      <c r="AA14" s="4"/>
      <c r="AB14" s="4">
        <v>0.26600000000000001</v>
      </c>
      <c r="AC14" s="4">
        <v>0.39700000000000002</v>
      </c>
      <c r="AD14" s="10">
        <f t="shared" si="1"/>
        <v>0.72431299999999998</v>
      </c>
      <c r="AE14" s="9"/>
      <c r="AF14" s="9"/>
      <c r="AG14" s="12">
        <f t="shared" si="2"/>
        <v>59.599999999999994</v>
      </c>
      <c r="AH14" s="12">
        <f t="shared" si="0"/>
        <v>94.399999999999991</v>
      </c>
      <c r="AI14" s="12">
        <f t="shared" si="0"/>
        <v>54.1</v>
      </c>
      <c r="AJ14" s="12">
        <f t="shared" si="0"/>
        <v>41.4</v>
      </c>
      <c r="AK14" s="12"/>
      <c r="AL14" s="12">
        <f t="shared" si="0"/>
        <v>60.699999999999996</v>
      </c>
      <c r="AM14" s="12">
        <f t="shared" si="0"/>
        <v>57.999999999999993</v>
      </c>
      <c r="AN14" s="12">
        <f t="shared" si="0"/>
        <v>59.099999999999994</v>
      </c>
      <c r="AO14" s="12">
        <f t="shared" si="0"/>
        <v>49.7</v>
      </c>
      <c r="AP14" s="12">
        <f t="shared" si="0"/>
        <v>82.8</v>
      </c>
      <c r="AQ14" s="12">
        <f t="shared" si="0"/>
        <v>38.6</v>
      </c>
      <c r="AR14" s="12"/>
      <c r="AS14" s="12">
        <f t="shared" si="0"/>
        <v>59.099999999999994</v>
      </c>
      <c r="AT14" s="12">
        <f t="shared" si="0"/>
        <v>74</v>
      </c>
      <c r="AU14" s="12">
        <f t="shared" si="0"/>
        <v>66.2</v>
      </c>
      <c r="AV14" s="12">
        <f t="shared" si="0"/>
        <v>35.9</v>
      </c>
      <c r="AW14" s="12">
        <f t="shared" si="0"/>
        <v>43</v>
      </c>
      <c r="AX14" s="12">
        <f t="shared" si="0"/>
        <v>35.9</v>
      </c>
      <c r="AY14" s="12"/>
      <c r="AZ14" s="12">
        <f t="shared" si="3"/>
        <v>49.8</v>
      </c>
      <c r="BA14" s="12">
        <f t="shared" si="4"/>
        <v>57</v>
      </c>
      <c r="BB14" s="12"/>
      <c r="BC14" s="12">
        <f t="shared" si="5"/>
        <v>71.8</v>
      </c>
      <c r="BD14" s="12">
        <f t="shared" si="6"/>
        <v>62.4</v>
      </c>
      <c r="BE14" s="12">
        <f t="shared" si="7"/>
        <v>52.5</v>
      </c>
    </row>
    <row r="15" spans="1:57" ht="13.8">
      <c r="A15" s="1" t="s">
        <v>166</v>
      </c>
      <c r="B15" s="3" t="s">
        <v>128</v>
      </c>
      <c r="C15" s="4" t="s">
        <v>8</v>
      </c>
      <c r="D15" s="4">
        <v>40</v>
      </c>
      <c r="E15" s="4">
        <v>1251</v>
      </c>
      <c r="F15" s="4">
        <v>40</v>
      </c>
      <c r="G15" s="4">
        <v>1251</v>
      </c>
      <c r="H15" s="4">
        <v>0.435</v>
      </c>
      <c r="I15" s="4">
        <v>12.1</v>
      </c>
      <c r="J15" s="4"/>
      <c r="K15" s="4">
        <v>0.64300000000000002</v>
      </c>
      <c r="L15" s="4">
        <v>0.27400000000000002</v>
      </c>
      <c r="M15" s="4">
        <v>0.30299999999999999</v>
      </c>
      <c r="N15" s="4">
        <v>6.0999999999999999E-2</v>
      </c>
      <c r="O15" s="4">
        <v>6.0000000000000001E-3</v>
      </c>
      <c r="P15" s="4">
        <v>0.35699999999999998</v>
      </c>
      <c r="Q15" s="4"/>
      <c r="R15" s="4">
        <v>0.51600000000000001</v>
      </c>
      <c r="S15" s="4">
        <v>0.64200000000000002</v>
      </c>
      <c r="T15" s="4">
        <v>0.47599999999999998</v>
      </c>
      <c r="U15" s="4">
        <v>0.19</v>
      </c>
      <c r="V15" s="4">
        <v>0</v>
      </c>
      <c r="W15" s="4">
        <v>0.28999999999999998</v>
      </c>
      <c r="X15" s="4"/>
      <c r="Y15" s="4">
        <v>0.17399999999999999</v>
      </c>
      <c r="Z15" s="4">
        <v>0.97199999999999998</v>
      </c>
      <c r="AA15" s="4"/>
      <c r="AB15" s="4">
        <v>0.13700000000000001</v>
      </c>
      <c r="AC15" s="4">
        <v>0.35299999999999998</v>
      </c>
      <c r="AD15" s="10">
        <f t="shared" si="1"/>
        <v>0.45888599999999996</v>
      </c>
      <c r="AE15" s="9"/>
      <c r="AF15" s="9"/>
      <c r="AG15" s="12">
        <f t="shared" si="2"/>
        <v>72.899999999999991</v>
      </c>
      <c r="AH15" s="12">
        <f t="shared" si="0"/>
        <v>93.899999999999991</v>
      </c>
      <c r="AI15" s="12">
        <f t="shared" si="0"/>
        <v>48.6</v>
      </c>
      <c r="AJ15" s="12">
        <f t="shared" si="0"/>
        <v>32</v>
      </c>
      <c r="AK15" s="12"/>
      <c r="AL15" s="12">
        <f t="shared" si="0"/>
        <v>60.699999999999996</v>
      </c>
      <c r="AM15" s="12">
        <f t="shared" si="0"/>
        <v>72.899999999999991</v>
      </c>
      <c r="AN15" s="12">
        <f t="shared" si="0"/>
        <v>67.900000000000006</v>
      </c>
      <c r="AO15" s="12">
        <f t="shared" si="0"/>
        <v>46.9</v>
      </c>
      <c r="AP15" s="12">
        <f t="shared" si="0"/>
        <v>7.7</v>
      </c>
      <c r="AQ15" s="12">
        <f t="shared" si="0"/>
        <v>38.6</v>
      </c>
      <c r="AR15" s="12"/>
      <c r="AS15" s="12">
        <f t="shared" si="0"/>
        <v>50.2</v>
      </c>
      <c r="AT15" s="12">
        <f t="shared" si="0"/>
        <v>38.6</v>
      </c>
      <c r="AU15" s="12">
        <f t="shared" si="0"/>
        <v>64</v>
      </c>
      <c r="AV15" s="12">
        <f t="shared" si="0"/>
        <v>24.3</v>
      </c>
      <c r="AW15" s="12">
        <f t="shared" si="0"/>
        <v>0</v>
      </c>
      <c r="AX15" s="12">
        <f t="shared" si="0"/>
        <v>32</v>
      </c>
      <c r="AY15" s="12"/>
      <c r="AZ15" s="12">
        <f t="shared" si="3"/>
        <v>96.7</v>
      </c>
      <c r="BA15" s="12">
        <f t="shared" si="4"/>
        <v>38.200000000000003</v>
      </c>
      <c r="BB15" s="12"/>
      <c r="BC15" s="12">
        <f t="shared" si="5"/>
        <v>27</v>
      </c>
      <c r="BD15" s="12">
        <f t="shared" si="6"/>
        <v>49.7</v>
      </c>
      <c r="BE15" s="12">
        <f t="shared" si="7"/>
        <v>92.3</v>
      </c>
    </row>
    <row r="16" spans="1:57" ht="13.8">
      <c r="A16" s="1" t="s">
        <v>102</v>
      </c>
      <c r="B16" s="3" t="s">
        <v>99</v>
      </c>
      <c r="C16" s="4" t="s">
        <v>85</v>
      </c>
      <c r="D16" s="4">
        <v>39</v>
      </c>
      <c r="E16" s="4">
        <v>1238</v>
      </c>
      <c r="F16" s="4">
        <v>39</v>
      </c>
      <c r="G16" s="4">
        <v>1238</v>
      </c>
      <c r="H16" s="4">
        <v>0.58599999999999997</v>
      </c>
      <c r="I16" s="4">
        <v>6.4</v>
      </c>
      <c r="J16" s="4"/>
      <c r="K16" s="4">
        <v>0.97199999999999998</v>
      </c>
      <c r="L16" s="4">
        <v>0.38100000000000001</v>
      </c>
      <c r="M16" s="4">
        <v>0.376</v>
      </c>
      <c r="N16" s="4">
        <v>0.183</v>
      </c>
      <c r="O16" s="4">
        <v>3.3000000000000002E-2</v>
      </c>
      <c r="P16" s="4">
        <v>2.8000000000000001E-2</v>
      </c>
      <c r="Q16" s="4"/>
      <c r="R16" s="4">
        <v>0.60099999999999998</v>
      </c>
      <c r="S16" s="4">
        <v>0.747</v>
      </c>
      <c r="T16" s="4">
        <v>0.54100000000000004</v>
      </c>
      <c r="U16" s="4">
        <v>0.48599999999999999</v>
      </c>
      <c r="V16" s="4">
        <v>0.23100000000000001</v>
      </c>
      <c r="W16" s="4">
        <v>9.0999999999999998E-2</v>
      </c>
      <c r="X16" s="4"/>
      <c r="Y16" s="4">
        <v>0.66500000000000004</v>
      </c>
      <c r="Z16" s="4">
        <v>1</v>
      </c>
      <c r="AA16" s="4"/>
      <c r="AB16" s="4">
        <v>9.0999999999999998E-2</v>
      </c>
      <c r="AC16" s="4">
        <v>0</v>
      </c>
      <c r="AD16" s="10">
        <f t="shared" si="1"/>
        <v>0.67438000000000009</v>
      </c>
      <c r="AE16" s="9"/>
      <c r="AF16" s="9"/>
      <c r="AG16" s="12">
        <f t="shared" si="2"/>
        <v>64.600000000000009</v>
      </c>
      <c r="AH16" s="12">
        <f t="shared" si="0"/>
        <v>93.300000000000011</v>
      </c>
      <c r="AI16" s="12">
        <f t="shared" si="0"/>
        <v>97.2</v>
      </c>
      <c r="AJ16" s="12">
        <f t="shared" si="0"/>
        <v>7.1</v>
      </c>
      <c r="AK16" s="12"/>
      <c r="AL16" s="12">
        <f t="shared" si="0"/>
        <v>94.399999999999991</v>
      </c>
      <c r="AM16" s="12">
        <f t="shared" si="0"/>
        <v>88.3</v>
      </c>
      <c r="AN16" s="12">
        <f t="shared" si="0"/>
        <v>83.399999999999991</v>
      </c>
      <c r="AO16" s="12">
        <f t="shared" si="0"/>
        <v>95</v>
      </c>
      <c r="AP16" s="12">
        <f t="shared" si="0"/>
        <v>43.6</v>
      </c>
      <c r="AQ16" s="12">
        <f t="shared" si="0"/>
        <v>4.9000000000000004</v>
      </c>
      <c r="AR16" s="12"/>
      <c r="AS16" s="12">
        <f t="shared" si="0"/>
        <v>92.800000000000011</v>
      </c>
      <c r="AT16" s="12">
        <f t="shared" si="0"/>
        <v>76.7</v>
      </c>
      <c r="AU16" s="12">
        <f t="shared" si="0"/>
        <v>86.7</v>
      </c>
      <c r="AV16" s="12">
        <f t="shared" si="0"/>
        <v>79.5</v>
      </c>
      <c r="AW16" s="12">
        <f t="shared" si="0"/>
        <v>31.4</v>
      </c>
      <c r="AX16" s="12">
        <f t="shared" si="0"/>
        <v>4.3999999999999995</v>
      </c>
      <c r="AY16" s="12"/>
      <c r="AZ16" s="12">
        <f t="shared" si="3"/>
        <v>41.5</v>
      </c>
      <c r="BA16" s="12">
        <f t="shared" si="4"/>
        <v>33.799999999999997</v>
      </c>
      <c r="BB16" s="12"/>
      <c r="BC16" s="12">
        <f t="shared" si="5"/>
        <v>13.8</v>
      </c>
      <c r="BD16" s="12">
        <f t="shared" si="6"/>
        <v>0</v>
      </c>
      <c r="BE16" s="12">
        <f t="shared" si="7"/>
        <v>65.2</v>
      </c>
    </row>
    <row r="17" spans="1:57" ht="13.8">
      <c r="A17" s="1" t="s">
        <v>154</v>
      </c>
      <c r="B17" s="3" t="s">
        <v>137</v>
      </c>
      <c r="C17" s="4" t="s">
        <v>85</v>
      </c>
      <c r="D17" s="4">
        <v>40</v>
      </c>
      <c r="E17" s="4">
        <v>1237</v>
      </c>
      <c r="F17" s="4">
        <v>40</v>
      </c>
      <c r="G17" s="4">
        <v>1237</v>
      </c>
      <c r="H17" s="4">
        <v>0.51700000000000002</v>
      </c>
      <c r="I17" s="4">
        <v>11.9</v>
      </c>
      <c r="J17" s="4"/>
      <c r="K17" s="4">
        <v>0.73299999999999998</v>
      </c>
      <c r="L17" s="4">
        <v>0.221</v>
      </c>
      <c r="M17" s="4">
        <v>0.27100000000000002</v>
      </c>
      <c r="N17" s="4">
        <v>0.185</v>
      </c>
      <c r="O17" s="4">
        <v>5.5E-2</v>
      </c>
      <c r="P17" s="4">
        <v>0.26700000000000002</v>
      </c>
      <c r="Q17" s="4"/>
      <c r="R17" s="4">
        <v>0.56000000000000005</v>
      </c>
      <c r="S17" s="4">
        <v>0.73299999999999998</v>
      </c>
      <c r="T17" s="4">
        <v>0.53500000000000003</v>
      </c>
      <c r="U17" s="4">
        <v>0.443</v>
      </c>
      <c r="V17" s="4">
        <v>0.379</v>
      </c>
      <c r="W17" s="4">
        <v>0.4</v>
      </c>
      <c r="X17" s="4"/>
      <c r="Y17" s="4">
        <v>0.71599999999999997</v>
      </c>
      <c r="Z17" s="4">
        <v>0.94599999999999995</v>
      </c>
      <c r="AA17" s="4"/>
      <c r="AB17" s="4">
        <v>0.157</v>
      </c>
      <c r="AC17" s="4">
        <v>0.40899999999999997</v>
      </c>
      <c r="AD17" s="10">
        <f t="shared" si="1"/>
        <v>0.77740999999999993</v>
      </c>
      <c r="AE17" s="9"/>
      <c r="AF17" s="9"/>
      <c r="AG17" s="12">
        <f t="shared" si="2"/>
        <v>72.899999999999991</v>
      </c>
      <c r="AH17" s="12">
        <f t="shared" si="0"/>
        <v>92.800000000000011</v>
      </c>
      <c r="AI17" s="12">
        <f t="shared" si="0"/>
        <v>83.399999999999991</v>
      </c>
      <c r="AJ17" s="12">
        <f t="shared" si="0"/>
        <v>30.3</v>
      </c>
      <c r="AK17" s="12"/>
      <c r="AL17" s="12">
        <f t="shared" si="0"/>
        <v>75.099999999999994</v>
      </c>
      <c r="AM17" s="12">
        <f t="shared" si="0"/>
        <v>59.099999999999994</v>
      </c>
      <c r="AN17" s="12">
        <f t="shared" si="0"/>
        <v>57.4</v>
      </c>
      <c r="AO17" s="12">
        <f t="shared" si="0"/>
        <v>95.5</v>
      </c>
      <c r="AP17" s="12">
        <f t="shared" si="0"/>
        <v>65.7</v>
      </c>
      <c r="AQ17" s="12">
        <f t="shared" si="0"/>
        <v>24.8</v>
      </c>
      <c r="AR17" s="12"/>
      <c r="AS17" s="12">
        <f t="shared" si="0"/>
        <v>77.900000000000006</v>
      </c>
      <c r="AT17" s="12">
        <f t="shared" si="0"/>
        <v>71.8</v>
      </c>
      <c r="AU17" s="12">
        <f t="shared" si="0"/>
        <v>85</v>
      </c>
      <c r="AV17" s="12">
        <f t="shared" si="0"/>
        <v>71.2</v>
      </c>
      <c r="AW17" s="12">
        <f t="shared" si="0"/>
        <v>60.699999999999996</v>
      </c>
      <c r="AX17" s="12">
        <f t="shared" si="0"/>
        <v>86.1</v>
      </c>
      <c r="AY17" s="12"/>
      <c r="AZ17" s="12">
        <f t="shared" si="3"/>
        <v>29.900000000000006</v>
      </c>
      <c r="BA17" s="12">
        <f t="shared" si="4"/>
        <v>47</v>
      </c>
      <c r="BB17" s="12"/>
      <c r="BC17" s="12">
        <f t="shared" si="5"/>
        <v>35.9</v>
      </c>
      <c r="BD17" s="12">
        <f t="shared" si="6"/>
        <v>65.100000000000009</v>
      </c>
      <c r="BE17" s="12">
        <f t="shared" si="7"/>
        <v>38.700000000000003</v>
      </c>
    </row>
    <row r="18" spans="1:57" ht="13.8">
      <c r="A18" s="1" t="s">
        <v>139</v>
      </c>
      <c r="B18" s="3" t="s">
        <v>140</v>
      </c>
      <c r="C18" s="4" t="s">
        <v>8</v>
      </c>
      <c r="D18" s="4">
        <v>37</v>
      </c>
      <c r="E18" s="4">
        <v>1228</v>
      </c>
      <c r="F18" s="4">
        <v>37</v>
      </c>
      <c r="G18" s="4">
        <v>1228</v>
      </c>
      <c r="H18" s="4">
        <v>0.47499999999999998</v>
      </c>
      <c r="I18" s="4">
        <v>13.3</v>
      </c>
      <c r="J18" s="4"/>
      <c r="K18" s="4">
        <v>0.63400000000000001</v>
      </c>
      <c r="L18" s="4">
        <v>0.183</v>
      </c>
      <c r="M18" s="4">
        <v>0.308</v>
      </c>
      <c r="N18" s="4">
        <v>0.104</v>
      </c>
      <c r="O18" s="4">
        <v>3.9E-2</v>
      </c>
      <c r="P18" s="4">
        <v>0.36599999999999999</v>
      </c>
      <c r="Q18" s="4"/>
      <c r="R18" s="4">
        <v>0.55500000000000005</v>
      </c>
      <c r="S18" s="4">
        <v>0.71099999999999997</v>
      </c>
      <c r="T18" s="4">
        <v>0.5</v>
      </c>
      <c r="U18" s="4">
        <v>0.46500000000000002</v>
      </c>
      <c r="V18" s="4">
        <v>0.5</v>
      </c>
      <c r="W18" s="4">
        <v>0.33600000000000002</v>
      </c>
      <c r="X18" s="4"/>
      <c r="Y18" s="4">
        <v>0.58199999999999996</v>
      </c>
      <c r="Z18" s="4">
        <v>0.82399999999999995</v>
      </c>
      <c r="AA18" s="4"/>
      <c r="AB18" s="4">
        <v>0.19700000000000001</v>
      </c>
      <c r="AC18" s="4">
        <v>0.46700000000000003</v>
      </c>
      <c r="AD18" s="10">
        <f t="shared" si="1"/>
        <v>0.67057199999999995</v>
      </c>
      <c r="AE18" s="9"/>
      <c r="AF18" s="9"/>
      <c r="AG18" s="12">
        <f t="shared" si="2"/>
        <v>51.300000000000004</v>
      </c>
      <c r="AH18" s="12">
        <f t="shared" si="0"/>
        <v>92.2</v>
      </c>
      <c r="AI18" s="12">
        <f t="shared" si="0"/>
        <v>70.7</v>
      </c>
      <c r="AJ18" s="12">
        <f t="shared" si="0"/>
        <v>43.6</v>
      </c>
      <c r="AK18" s="12"/>
      <c r="AL18" s="12">
        <f t="shared" si="0"/>
        <v>59.099999999999994</v>
      </c>
      <c r="AM18" s="12">
        <f t="shared" si="0"/>
        <v>45.800000000000004</v>
      </c>
      <c r="AN18" s="12">
        <f t="shared" si="0"/>
        <v>69</v>
      </c>
      <c r="AO18" s="12">
        <f t="shared" si="0"/>
        <v>72.899999999999991</v>
      </c>
      <c r="AP18" s="12">
        <f t="shared" si="0"/>
        <v>50.2</v>
      </c>
      <c r="AQ18" s="12">
        <f t="shared" si="0"/>
        <v>40.799999999999997</v>
      </c>
      <c r="AR18" s="12"/>
      <c r="AS18" s="12">
        <f t="shared" si="0"/>
        <v>74.5</v>
      </c>
      <c r="AT18" s="12">
        <f t="shared" si="0"/>
        <v>63.5</v>
      </c>
      <c r="AU18" s="12">
        <f t="shared" si="0"/>
        <v>74</v>
      </c>
      <c r="AV18" s="12">
        <f t="shared" si="0"/>
        <v>76.2</v>
      </c>
      <c r="AW18" s="12">
        <f t="shared" si="0"/>
        <v>80.100000000000009</v>
      </c>
      <c r="AX18" s="12">
        <f t="shared" si="0"/>
        <v>55.800000000000004</v>
      </c>
      <c r="AY18" s="12"/>
      <c r="AZ18" s="12">
        <f t="shared" si="3"/>
        <v>55.9</v>
      </c>
      <c r="BA18" s="12">
        <f t="shared" si="4"/>
        <v>74.099999999999994</v>
      </c>
      <c r="BB18" s="12"/>
      <c r="BC18" s="12">
        <f t="shared" si="5"/>
        <v>55.800000000000004</v>
      </c>
      <c r="BD18" s="12">
        <f t="shared" si="6"/>
        <v>77.900000000000006</v>
      </c>
      <c r="BE18" s="12">
        <f t="shared" si="7"/>
        <v>65.8</v>
      </c>
    </row>
    <row r="19" spans="1:57" ht="13.8">
      <c r="A19" s="1" t="s">
        <v>103</v>
      </c>
      <c r="B19" s="4" t="s">
        <v>96</v>
      </c>
      <c r="C19" s="4" t="s">
        <v>8</v>
      </c>
      <c r="D19" s="4">
        <v>40</v>
      </c>
      <c r="E19" s="4">
        <v>1221</v>
      </c>
      <c r="F19" s="4">
        <v>40</v>
      </c>
      <c r="G19" s="4">
        <v>1221</v>
      </c>
      <c r="H19" s="4">
        <v>0.45200000000000001</v>
      </c>
      <c r="I19" s="4">
        <v>16.8</v>
      </c>
      <c r="J19" s="4"/>
      <c r="K19" s="4">
        <v>0.76400000000000001</v>
      </c>
      <c r="L19" s="4">
        <v>6.4000000000000001E-2</v>
      </c>
      <c r="M19" s="4">
        <v>9.6000000000000002E-2</v>
      </c>
      <c r="N19" s="4">
        <v>0.20499999999999999</v>
      </c>
      <c r="O19" s="4">
        <v>0.4</v>
      </c>
      <c r="P19" s="4">
        <v>0.23599999999999999</v>
      </c>
      <c r="Q19" s="4"/>
      <c r="R19" s="4">
        <v>0.47699999999999998</v>
      </c>
      <c r="S19" s="4">
        <v>0.64700000000000002</v>
      </c>
      <c r="T19" s="4">
        <v>0.56899999999999995</v>
      </c>
      <c r="U19" s="4">
        <v>0.41299999999999998</v>
      </c>
      <c r="V19" s="4">
        <v>0.46</v>
      </c>
      <c r="W19" s="4">
        <v>0.373</v>
      </c>
      <c r="X19" s="4"/>
      <c r="Y19" s="4">
        <v>0.45900000000000002</v>
      </c>
      <c r="Z19" s="4">
        <v>0.85099999999999998</v>
      </c>
      <c r="AA19" s="4"/>
      <c r="AB19" s="4">
        <v>0.159</v>
      </c>
      <c r="AC19" s="4">
        <v>0.45</v>
      </c>
      <c r="AD19" s="10">
        <f t="shared" si="1"/>
        <v>0.551512</v>
      </c>
      <c r="AE19" s="9"/>
      <c r="AF19" s="9"/>
      <c r="AG19" s="12">
        <f t="shared" si="2"/>
        <v>72.899999999999991</v>
      </c>
      <c r="AH19" s="12">
        <f t="shared" si="0"/>
        <v>91.7</v>
      </c>
      <c r="AI19" s="12">
        <f t="shared" si="0"/>
        <v>57.999999999999993</v>
      </c>
      <c r="AJ19" s="12">
        <f t="shared" si="0"/>
        <v>77.3</v>
      </c>
      <c r="AK19" s="12"/>
      <c r="AL19" s="12">
        <f t="shared" si="0"/>
        <v>79</v>
      </c>
      <c r="AM19" s="12">
        <f t="shared" si="0"/>
        <v>7.7</v>
      </c>
      <c r="AN19" s="12">
        <f t="shared" si="0"/>
        <v>3.3000000000000003</v>
      </c>
      <c r="AO19" s="12">
        <f t="shared" si="0"/>
        <v>96.6</v>
      </c>
      <c r="AP19" s="12">
        <f t="shared" si="0"/>
        <v>100</v>
      </c>
      <c r="AQ19" s="12">
        <f t="shared" si="0"/>
        <v>20.9</v>
      </c>
      <c r="AR19" s="12"/>
      <c r="AS19" s="12">
        <f t="shared" si="0"/>
        <v>33.1</v>
      </c>
      <c r="AT19" s="12">
        <f t="shared" si="0"/>
        <v>39.700000000000003</v>
      </c>
      <c r="AU19" s="12">
        <f t="shared" si="0"/>
        <v>92.800000000000011</v>
      </c>
      <c r="AV19" s="12">
        <f t="shared" si="0"/>
        <v>64.600000000000009</v>
      </c>
      <c r="AW19" s="12">
        <f t="shared" si="0"/>
        <v>76.7</v>
      </c>
      <c r="AX19" s="12">
        <f t="shared" si="0"/>
        <v>71.2</v>
      </c>
      <c r="AY19" s="12"/>
      <c r="AZ19" s="12">
        <f t="shared" si="3"/>
        <v>70.8</v>
      </c>
      <c r="BA19" s="12">
        <f t="shared" si="4"/>
        <v>70.2</v>
      </c>
      <c r="BB19" s="12"/>
      <c r="BC19" s="12">
        <f t="shared" si="5"/>
        <v>37.5</v>
      </c>
      <c r="BD19" s="12">
        <f t="shared" si="6"/>
        <v>75.099999999999994</v>
      </c>
      <c r="BE19" s="12">
        <f t="shared" si="7"/>
        <v>82.4</v>
      </c>
    </row>
    <row r="20" spans="1:57" ht="13.8">
      <c r="A20" s="1" t="s">
        <v>101</v>
      </c>
      <c r="B20" s="3" t="s">
        <v>99</v>
      </c>
      <c r="C20" s="4" t="s">
        <v>8</v>
      </c>
      <c r="D20" s="4">
        <v>41</v>
      </c>
      <c r="E20" s="4">
        <v>1219</v>
      </c>
      <c r="F20" s="4">
        <v>41</v>
      </c>
      <c r="G20" s="4">
        <v>1219</v>
      </c>
      <c r="H20" s="4">
        <v>0.4</v>
      </c>
      <c r="I20" s="4">
        <v>15.5</v>
      </c>
      <c r="J20" s="4"/>
      <c r="K20" s="4">
        <v>0.56599999999999995</v>
      </c>
      <c r="L20" s="4">
        <v>0.111</v>
      </c>
      <c r="M20" s="4">
        <v>0.24399999999999999</v>
      </c>
      <c r="N20" s="4">
        <v>0.13900000000000001</v>
      </c>
      <c r="O20" s="4">
        <v>7.2999999999999995E-2</v>
      </c>
      <c r="P20" s="4">
        <v>0.434</v>
      </c>
      <c r="Q20" s="4"/>
      <c r="R20" s="4">
        <v>0.45500000000000002</v>
      </c>
      <c r="S20" s="4">
        <v>0.58899999999999997</v>
      </c>
      <c r="T20" s="4">
        <v>0.45500000000000002</v>
      </c>
      <c r="U20" s="4">
        <v>0.32900000000000001</v>
      </c>
      <c r="V20" s="4">
        <v>0.48599999999999999</v>
      </c>
      <c r="W20" s="4">
        <v>0.32900000000000001</v>
      </c>
      <c r="X20" s="4"/>
      <c r="Y20" s="4">
        <v>0.44600000000000001</v>
      </c>
      <c r="Z20" s="4">
        <v>0.81899999999999995</v>
      </c>
      <c r="AA20" s="4"/>
      <c r="AB20" s="4">
        <v>0.19600000000000001</v>
      </c>
      <c r="AC20" s="4">
        <v>0.30199999999999999</v>
      </c>
      <c r="AD20" s="10">
        <f t="shared" si="1"/>
        <v>0.60788200000000003</v>
      </c>
      <c r="AE20" s="9"/>
      <c r="AF20" s="9"/>
      <c r="AG20" s="12">
        <f t="shared" si="2"/>
        <v>85.6</v>
      </c>
      <c r="AH20" s="12">
        <f t="shared" si="2"/>
        <v>91.100000000000009</v>
      </c>
      <c r="AI20" s="12">
        <f t="shared" si="2"/>
        <v>28.7</v>
      </c>
      <c r="AJ20" s="12">
        <f t="shared" si="2"/>
        <v>60.699999999999996</v>
      </c>
      <c r="AK20" s="12"/>
      <c r="AL20" s="12">
        <f t="shared" ref="AL20:AO83" si="8">(PERCENTRANK(K$4:K$298,K20))*100</f>
        <v>43.6</v>
      </c>
      <c r="AM20" s="12">
        <f t="shared" si="8"/>
        <v>18.7</v>
      </c>
      <c r="AN20" s="12">
        <f t="shared" si="8"/>
        <v>48.6</v>
      </c>
      <c r="AO20" s="12">
        <f t="shared" si="8"/>
        <v>85.6</v>
      </c>
      <c r="AP20" s="12">
        <f t="shared" ref="AP20:AQ83" si="9">(PERCENTRANK(O$4:O$298,O20))*100</f>
        <v>77.3</v>
      </c>
      <c r="AQ20" s="12">
        <f t="shared" si="9"/>
        <v>56.3</v>
      </c>
      <c r="AR20" s="12"/>
      <c r="AS20" s="12">
        <f t="shared" ref="AS20:AV83" si="10">(PERCENTRANK(R$4:R$298,R20))*100</f>
        <v>20.399999999999999</v>
      </c>
      <c r="AT20" s="12">
        <f t="shared" si="10"/>
        <v>23.200000000000003</v>
      </c>
      <c r="AU20" s="12">
        <f t="shared" si="10"/>
        <v>52.400000000000006</v>
      </c>
      <c r="AV20" s="12">
        <f t="shared" si="10"/>
        <v>41.9</v>
      </c>
      <c r="AW20" s="12">
        <f t="shared" ref="AW20:AX83" si="11">(PERCENTRANK(V$4:V$298,V20))*100</f>
        <v>79.5</v>
      </c>
      <c r="AX20" s="12">
        <f t="shared" si="11"/>
        <v>48.6</v>
      </c>
      <c r="AY20" s="12"/>
      <c r="AZ20" s="12">
        <f t="shared" si="3"/>
        <v>74.099999999999994</v>
      </c>
      <c r="BA20" s="12">
        <f t="shared" si="4"/>
        <v>74.599999999999994</v>
      </c>
      <c r="BB20" s="12"/>
      <c r="BC20" s="12">
        <f t="shared" si="5"/>
        <v>55.2</v>
      </c>
      <c r="BD20" s="12">
        <f t="shared" si="6"/>
        <v>39.700000000000003</v>
      </c>
      <c r="BE20" s="12">
        <f t="shared" si="7"/>
        <v>75.7</v>
      </c>
    </row>
    <row r="21" spans="1:57" ht="15.75" customHeight="1">
      <c r="A21" s="1" t="s">
        <v>132</v>
      </c>
      <c r="B21" s="3" t="s">
        <v>117</v>
      </c>
      <c r="C21" s="4" t="s">
        <v>88</v>
      </c>
      <c r="D21" s="4">
        <v>38</v>
      </c>
      <c r="E21" s="4">
        <v>1214</v>
      </c>
      <c r="F21" s="4">
        <v>38</v>
      </c>
      <c r="G21" s="4">
        <v>1214</v>
      </c>
      <c r="H21" s="4">
        <v>0.52600000000000002</v>
      </c>
      <c r="I21" s="4">
        <v>11.1</v>
      </c>
      <c r="J21" s="4"/>
      <c r="K21" s="4">
        <v>0.86499999999999999</v>
      </c>
      <c r="L21" s="4">
        <v>0.14199999999999999</v>
      </c>
      <c r="M21" s="4">
        <v>0.35199999999999998</v>
      </c>
      <c r="N21" s="4">
        <v>0.248</v>
      </c>
      <c r="O21" s="4">
        <v>0.123</v>
      </c>
      <c r="P21" s="4">
        <v>0.13500000000000001</v>
      </c>
      <c r="Q21" s="4"/>
      <c r="R21" s="4">
        <v>0.54500000000000004</v>
      </c>
      <c r="S21" s="4">
        <v>0.73399999999999999</v>
      </c>
      <c r="T21" s="4">
        <v>0.54900000000000004</v>
      </c>
      <c r="U21" s="4">
        <v>0.5</v>
      </c>
      <c r="V21" s="4">
        <v>0.40699999999999997</v>
      </c>
      <c r="W21" s="4">
        <v>0.40400000000000003</v>
      </c>
      <c r="X21" s="4"/>
      <c r="Y21" s="4">
        <v>0.747</v>
      </c>
      <c r="Z21" s="4">
        <v>0.97199999999999998</v>
      </c>
      <c r="AA21" s="4"/>
      <c r="AB21" s="4">
        <v>0.09</v>
      </c>
      <c r="AC21" s="4">
        <v>0.5</v>
      </c>
      <c r="AD21" s="10">
        <f t="shared" si="1"/>
        <v>0.77737500000000004</v>
      </c>
      <c r="AE21" s="9"/>
      <c r="AF21" s="9"/>
      <c r="AG21" s="12">
        <f t="shared" si="2"/>
        <v>59.599999999999994</v>
      </c>
      <c r="AH21" s="12">
        <f t="shared" si="2"/>
        <v>90.600000000000009</v>
      </c>
      <c r="AI21" s="12">
        <f t="shared" si="2"/>
        <v>86.7</v>
      </c>
      <c r="AJ21" s="12">
        <f t="shared" si="2"/>
        <v>24.3</v>
      </c>
      <c r="AK21" s="12"/>
      <c r="AL21" s="12">
        <f t="shared" si="8"/>
        <v>87.2</v>
      </c>
      <c r="AM21" s="12">
        <f t="shared" si="8"/>
        <v>33.1</v>
      </c>
      <c r="AN21" s="12">
        <f t="shared" si="8"/>
        <v>79</v>
      </c>
      <c r="AO21" s="12">
        <f t="shared" si="8"/>
        <v>98.8</v>
      </c>
      <c r="AP21" s="12">
        <f t="shared" si="9"/>
        <v>92.800000000000011</v>
      </c>
      <c r="AQ21" s="12">
        <f t="shared" si="9"/>
        <v>12.7</v>
      </c>
      <c r="AR21" s="12"/>
      <c r="AS21" s="12">
        <f t="shared" si="10"/>
        <v>69</v>
      </c>
      <c r="AT21" s="12">
        <f t="shared" si="10"/>
        <v>72.899999999999991</v>
      </c>
      <c r="AU21" s="12">
        <f t="shared" si="10"/>
        <v>88.3</v>
      </c>
      <c r="AV21" s="12">
        <f t="shared" si="10"/>
        <v>81.2</v>
      </c>
      <c r="AW21" s="12">
        <f t="shared" si="11"/>
        <v>68.5</v>
      </c>
      <c r="AX21" s="12">
        <f t="shared" si="11"/>
        <v>88.9</v>
      </c>
      <c r="AY21" s="12"/>
      <c r="AZ21" s="12">
        <f t="shared" si="3"/>
        <v>22.700000000000003</v>
      </c>
      <c r="BA21" s="12">
        <f t="shared" si="4"/>
        <v>38.200000000000003</v>
      </c>
      <c r="BB21" s="12"/>
      <c r="BC21" s="12">
        <f t="shared" si="5"/>
        <v>13.200000000000001</v>
      </c>
      <c r="BD21" s="12">
        <f t="shared" si="6"/>
        <v>79</v>
      </c>
      <c r="BE21" s="12">
        <f t="shared" si="7"/>
        <v>39.300000000000004</v>
      </c>
    </row>
    <row r="22" spans="1:57" ht="15.75" customHeight="1">
      <c r="A22" s="1" t="s">
        <v>104</v>
      </c>
      <c r="B22" s="3" t="s">
        <v>96</v>
      </c>
      <c r="C22" s="4" t="s">
        <v>8</v>
      </c>
      <c r="D22" s="4">
        <v>39</v>
      </c>
      <c r="E22" s="4">
        <v>1209</v>
      </c>
      <c r="F22" s="4">
        <v>39</v>
      </c>
      <c r="G22" s="4">
        <v>1209</v>
      </c>
      <c r="H22" s="4">
        <v>0.48799999999999999</v>
      </c>
      <c r="I22" s="4">
        <v>11.1</v>
      </c>
      <c r="J22" s="4"/>
      <c r="K22" s="4">
        <v>0.70899999999999996</v>
      </c>
      <c r="L22" s="4">
        <v>0.33900000000000002</v>
      </c>
      <c r="M22" s="4">
        <v>0.23499999999999999</v>
      </c>
      <c r="N22" s="4">
        <v>7.3999999999999996E-2</v>
      </c>
      <c r="O22" s="4">
        <v>6.0999999999999999E-2</v>
      </c>
      <c r="P22" s="4">
        <v>0.29099999999999998</v>
      </c>
      <c r="Q22" s="4"/>
      <c r="R22" s="4">
        <v>0.52900000000000003</v>
      </c>
      <c r="S22" s="4">
        <v>0.64600000000000002</v>
      </c>
      <c r="T22" s="4">
        <v>0.45</v>
      </c>
      <c r="U22" s="4">
        <v>0.39</v>
      </c>
      <c r="V22" s="4">
        <v>0.35299999999999998</v>
      </c>
      <c r="W22" s="4">
        <v>0.38900000000000001</v>
      </c>
      <c r="X22" s="4"/>
      <c r="Y22" s="4">
        <v>0.191</v>
      </c>
      <c r="Z22" s="4">
        <v>0.33300000000000002</v>
      </c>
      <c r="AA22" s="4"/>
      <c r="AB22" s="4">
        <v>4.9000000000000002E-2</v>
      </c>
      <c r="AC22" s="4">
        <v>0.375</v>
      </c>
      <c r="AD22" s="10">
        <f t="shared" si="1"/>
        <v>0.23232199999999997</v>
      </c>
      <c r="AE22" s="9"/>
      <c r="AF22" s="9"/>
      <c r="AG22" s="12">
        <f t="shared" si="2"/>
        <v>64.600000000000009</v>
      </c>
      <c r="AH22" s="12">
        <f t="shared" si="2"/>
        <v>90</v>
      </c>
      <c r="AI22" s="12">
        <f t="shared" si="2"/>
        <v>75.099999999999994</v>
      </c>
      <c r="AJ22" s="12">
        <f t="shared" si="2"/>
        <v>24.3</v>
      </c>
      <c r="AK22" s="12"/>
      <c r="AL22" s="12">
        <f t="shared" si="8"/>
        <v>71.2</v>
      </c>
      <c r="AM22" s="12">
        <f t="shared" si="8"/>
        <v>83.399999999999991</v>
      </c>
      <c r="AN22" s="12">
        <f t="shared" si="8"/>
        <v>45.800000000000004</v>
      </c>
      <c r="AO22" s="12">
        <f t="shared" si="8"/>
        <v>55.2</v>
      </c>
      <c r="AP22" s="12">
        <f t="shared" si="9"/>
        <v>71.8</v>
      </c>
      <c r="AQ22" s="12">
        <f t="shared" si="9"/>
        <v>28.7</v>
      </c>
      <c r="AR22" s="12"/>
      <c r="AS22" s="12">
        <f t="shared" si="10"/>
        <v>59.599999999999994</v>
      </c>
      <c r="AT22" s="12">
        <f t="shared" si="10"/>
        <v>39.200000000000003</v>
      </c>
      <c r="AU22" s="12">
        <f t="shared" si="10"/>
        <v>50.2</v>
      </c>
      <c r="AV22" s="12">
        <f t="shared" si="10"/>
        <v>56.3</v>
      </c>
      <c r="AW22" s="12">
        <f t="shared" si="11"/>
        <v>55.800000000000004</v>
      </c>
      <c r="AX22" s="12">
        <f t="shared" si="11"/>
        <v>79.5</v>
      </c>
      <c r="AY22" s="12"/>
      <c r="AZ22" s="12">
        <f t="shared" si="3"/>
        <v>95.6</v>
      </c>
      <c r="BA22" s="12">
        <f t="shared" si="4"/>
        <v>95.1</v>
      </c>
      <c r="BB22" s="12"/>
      <c r="BC22" s="12">
        <f t="shared" si="5"/>
        <v>6</v>
      </c>
      <c r="BD22" s="12">
        <f t="shared" si="6"/>
        <v>55.800000000000004</v>
      </c>
      <c r="BE22" s="12">
        <f t="shared" si="7"/>
        <v>100</v>
      </c>
    </row>
    <row r="23" spans="1:57" ht="15" customHeight="1">
      <c r="A23" s="1" t="s">
        <v>115</v>
      </c>
      <c r="B23" s="3" t="s">
        <v>96</v>
      </c>
      <c r="C23" s="4" t="s">
        <v>85</v>
      </c>
      <c r="D23" s="4">
        <v>41</v>
      </c>
      <c r="E23" s="4">
        <v>1196</v>
      </c>
      <c r="F23" s="4">
        <v>41</v>
      </c>
      <c r="G23" s="4">
        <v>1196</v>
      </c>
      <c r="H23" s="4">
        <v>0.58899999999999997</v>
      </c>
      <c r="I23" s="4">
        <v>4.8</v>
      </c>
      <c r="J23" s="4"/>
      <c r="K23" s="4">
        <v>0.96199999999999997</v>
      </c>
      <c r="L23" s="4">
        <v>0.49399999999999999</v>
      </c>
      <c r="M23" s="4">
        <v>0.40100000000000002</v>
      </c>
      <c r="N23" s="4">
        <v>3.7999999999999999E-2</v>
      </c>
      <c r="O23" s="4">
        <v>2.9000000000000001E-2</v>
      </c>
      <c r="P23" s="4">
        <v>3.7999999999999999E-2</v>
      </c>
      <c r="Q23" s="4"/>
      <c r="R23" s="4">
        <v>0.60499999999999998</v>
      </c>
      <c r="S23" s="4">
        <v>0.72499999999999998</v>
      </c>
      <c r="T23" s="4">
        <v>0.49399999999999999</v>
      </c>
      <c r="U23" s="4">
        <v>0.438</v>
      </c>
      <c r="V23" s="4">
        <v>0.33300000000000002</v>
      </c>
      <c r="W23" s="4">
        <v>0.188</v>
      </c>
      <c r="X23" s="4"/>
      <c r="Y23" s="4">
        <v>0.71699999999999997</v>
      </c>
      <c r="Z23" s="4">
        <v>1</v>
      </c>
      <c r="AA23" s="4"/>
      <c r="AB23" s="4">
        <v>0.313</v>
      </c>
      <c r="AC23" s="4">
        <v>0</v>
      </c>
      <c r="AD23" s="10">
        <f t="shared" si="1"/>
        <v>0.72775400000000001</v>
      </c>
      <c r="AE23" s="9"/>
      <c r="AF23" s="9"/>
      <c r="AG23" s="12">
        <f t="shared" si="2"/>
        <v>85.6</v>
      </c>
      <c r="AH23" s="12">
        <f t="shared" si="2"/>
        <v>89.5</v>
      </c>
      <c r="AI23" s="12">
        <f t="shared" si="2"/>
        <v>97.7</v>
      </c>
      <c r="AJ23" s="12">
        <f t="shared" si="2"/>
        <v>3.8</v>
      </c>
      <c r="AK23" s="12"/>
      <c r="AL23" s="12">
        <f t="shared" si="8"/>
        <v>93.300000000000011</v>
      </c>
      <c r="AM23" s="12">
        <f t="shared" si="8"/>
        <v>96.6</v>
      </c>
      <c r="AN23" s="12">
        <f t="shared" si="8"/>
        <v>88.3</v>
      </c>
      <c r="AO23" s="12">
        <f t="shared" si="8"/>
        <v>27.6</v>
      </c>
      <c r="AP23" s="12">
        <f t="shared" si="9"/>
        <v>38.1</v>
      </c>
      <c r="AQ23" s="12">
        <f t="shared" si="9"/>
        <v>6.6000000000000005</v>
      </c>
      <c r="AR23" s="12"/>
      <c r="AS23" s="12">
        <f t="shared" si="10"/>
        <v>93.300000000000011</v>
      </c>
      <c r="AT23" s="12">
        <f t="shared" si="10"/>
        <v>69.599999999999994</v>
      </c>
      <c r="AU23" s="12">
        <f t="shared" si="10"/>
        <v>72.3</v>
      </c>
      <c r="AV23" s="12">
        <f t="shared" si="10"/>
        <v>69</v>
      </c>
      <c r="AW23" s="12">
        <f t="shared" si="11"/>
        <v>45.800000000000004</v>
      </c>
      <c r="AX23" s="12">
        <f t="shared" si="11"/>
        <v>10.4</v>
      </c>
      <c r="AY23" s="12"/>
      <c r="AZ23" s="12">
        <f t="shared" si="3"/>
        <v>28.799999999999997</v>
      </c>
      <c r="BA23" s="12">
        <f t="shared" si="4"/>
        <v>33.799999999999997</v>
      </c>
      <c r="BB23" s="12"/>
      <c r="BC23" s="12">
        <f t="shared" si="5"/>
        <v>79</v>
      </c>
      <c r="BD23" s="12">
        <f t="shared" si="6"/>
        <v>0</v>
      </c>
      <c r="BE23" s="12">
        <f t="shared" si="7"/>
        <v>51.4</v>
      </c>
    </row>
    <row r="24" spans="1:57" ht="15.75" customHeight="1">
      <c r="A24" s="1" t="s">
        <v>109</v>
      </c>
      <c r="B24" s="3" t="s">
        <v>232</v>
      </c>
      <c r="C24" s="4" t="s">
        <v>85</v>
      </c>
      <c r="D24" s="4">
        <v>39</v>
      </c>
      <c r="E24" s="4">
        <v>1195</v>
      </c>
      <c r="F24" s="4">
        <v>39</v>
      </c>
      <c r="G24" s="4">
        <v>1195</v>
      </c>
      <c r="H24" s="4">
        <v>0.40400000000000003</v>
      </c>
      <c r="I24" s="4">
        <v>18.899999999999999</v>
      </c>
      <c r="J24" s="4"/>
      <c r="K24" s="4">
        <v>0.374</v>
      </c>
      <c r="L24" s="4">
        <v>3.5000000000000003E-2</v>
      </c>
      <c r="M24" s="4">
        <v>0.17399999999999999</v>
      </c>
      <c r="N24" s="4">
        <v>0.13900000000000001</v>
      </c>
      <c r="O24" s="4">
        <v>2.5999999999999999E-2</v>
      </c>
      <c r="P24" s="4">
        <v>0.626</v>
      </c>
      <c r="Q24" s="4"/>
      <c r="R24" s="4">
        <v>0.46500000000000002</v>
      </c>
      <c r="S24" s="4">
        <v>0.56299999999999994</v>
      </c>
      <c r="T24" s="4">
        <v>0.48799999999999999</v>
      </c>
      <c r="U24" s="4">
        <v>0.40600000000000003</v>
      </c>
      <c r="V24" s="4">
        <v>0.5</v>
      </c>
      <c r="W24" s="4">
        <v>0.36799999999999999</v>
      </c>
      <c r="X24" s="4"/>
      <c r="Y24" s="4">
        <v>0.45</v>
      </c>
      <c r="Z24" s="4">
        <v>0.92500000000000004</v>
      </c>
      <c r="AA24" s="4"/>
      <c r="AB24" s="4">
        <v>0.17</v>
      </c>
      <c r="AC24" s="4">
        <v>0.36699999999999999</v>
      </c>
      <c r="AD24" s="10">
        <f t="shared" si="1"/>
        <v>0.74735000000000007</v>
      </c>
      <c r="AE24" s="9"/>
      <c r="AF24" s="9"/>
      <c r="AG24" s="12">
        <f t="shared" si="2"/>
        <v>64.600000000000009</v>
      </c>
      <c r="AH24" s="12">
        <f t="shared" si="2"/>
        <v>88.9</v>
      </c>
      <c r="AI24" s="12">
        <f t="shared" si="2"/>
        <v>32</v>
      </c>
      <c r="AJ24" s="12">
        <f t="shared" si="2"/>
        <v>88.3</v>
      </c>
      <c r="AK24" s="12"/>
      <c r="AL24" s="12">
        <f t="shared" si="8"/>
        <v>13.200000000000001</v>
      </c>
      <c r="AM24" s="12">
        <f t="shared" si="8"/>
        <v>2.1999999999999997</v>
      </c>
      <c r="AN24" s="12">
        <f t="shared" si="8"/>
        <v>24.3</v>
      </c>
      <c r="AO24" s="12">
        <f t="shared" si="8"/>
        <v>85.6</v>
      </c>
      <c r="AP24" s="12">
        <f t="shared" si="9"/>
        <v>33.700000000000003</v>
      </c>
      <c r="AQ24" s="12">
        <f t="shared" si="9"/>
        <v>86.7</v>
      </c>
      <c r="AR24" s="12"/>
      <c r="AS24" s="12">
        <f t="shared" si="10"/>
        <v>25.900000000000002</v>
      </c>
      <c r="AT24" s="12">
        <f t="shared" si="10"/>
        <v>14.299999999999999</v>
      </c>
      <c r="AU24" s="12">
        <f t="shared" si="10"/>
        <v>69</v>
      </c>
      <c r="AV24" s="12">
        <f t="shared" si="10"/>
        <v>64</v>
      </c>
      <c r="AW24" s="12">
        <f t="shared" si="11"/>
        <v>80.100000000000009</v>
      </c>
      <c r="AX24" s="12">
        <f t="shared" si="11"/>
        <v>69</v>
      </c>
      <c r="AY24" s="12"/>
      <c r="AZ24" s="12">
        <f t="shared" si="3"/>
        <v>73</v>
      </c>
      <c r="BA24" s="12">
        <f t="shared" si="4"/>
        <v>55.3</v>
      </c>
      <c r="BB24" s="12"/>
      <c r="BC24" s="12">
        <f t="shared" si="5"/>
        <v>41.4</v>
      </c>
      <c r="BD24" s="12">
        <f t="shared" si="6"/>
        <v>53.5</v>
      </c>
      <c r="BE24" s="12">
        <f t="shared" si="7"/>
        <v>45.4</v>
      </c>
    </row>
    <row r="25" spans="1:57" ht="15.75" customHeight="1">
      <c r="A25" s="1" t="s">
        <v>158</v>
      </c>
      <c r="B25" s="3" t="s">
        <v>140</v>
      </c>
      <c r="C25" s="4" t="s">
        <v>88</v>
      </c>
      <c r="D25" s="4">
        <v>40</v>
      </c>
      <c r="E25" s="4">
        <v>1182</v>
      </c>
      <c r="F25" s="4">
        <v>40</v>
      </c>
      <c r="G25" s="4">
        <v>1182</v>
      </c>
      <c r="H25" s="4">
        <v>0.49</v>
      </c>
      <c r="I25" s="4">
        <v>7.2</v>
      </c>
      <c r="J25" s="4"/>
      <c r="K25" s="4">
        <v>0.89900000000000002</v>
      </c>
      <c r="L25" s="4">
        <v>0.29799999999999999</v>
      </c>
      <c r="M25" s="4">
        <v>0.496</v>
      </c>
      <c r="N25" s="4">
        <v>7.6999999999999999E-2</v>
      </c>
      <c r="O25" s="4">
        <v>2.8000000000000001E-2</v>
      </c>
      <c r="P25" s="4">
        <v>0.10100000000000001</v>
      </c>
      <c r="Q25" s="4"/>
      <c r="R25" s="4">
        <v>0.50800000000000001</v>
      </c>
      <c r="S25" s="4">
        <v>0.73299999999999998</v>
      </c>
      <c r="T25" s="4">
        <v>0.38800000000000001</v>
      </c>
      <c r="U25" s="4">
        <v>0.35899999999999999</v>
      </c>
      <c r="V25" s="4">
        <v>0.64300000000000002</v>
      </c>
      <c r="W25" s="4">
        <v>0.33300000000000002</v>
      </c>
      <c r="X25" s="4"/>
      <c r="Y25" s="4">
        <v>0.65200000000000002</v>
      </c>
      <c r="Z25" s="4">
        <v>0.88200000000000001</v>
      </c>
      <c r="AA25" s="4"/>
      <c r="AB25" s="4">
        <v>0.02</v>
      </c>
      <c r="AC25" s="4">
        <v>1</v>
      </c>
      <c r="AD25" s="10">
        <f t="shared" si="1"/>
        <v>0.67523</v>
      </c>
      <c r="AE25" s="9"/>
      <c r="AF25" s="9"/>
      <c r="AG25" s="12">
        <f t="shared" si="2"/>
        <v>72.899999999999991</v>
      </c>
      <c r="AH25" s="12">
        <f t="shared" si="2"/>
        <v>88.3</v>
      </c>
      <c r="AI25" s="12">
        <f t="shared" si="2"/>
        <v>76.7</v>
      </c>
      <c r="AJ25" s="12">
        <f t="shared" si="2"/>
        <v>11.600000000000001</v>
      </c>
      <c r="AK25" s="12"/>
      <c r="AL25" s="12">
        <f t="shared" si="8"/>
        <v>88.9</v>
      </c>
      <c r="AM25" s="12">
        <f t="shared" si="8"/>
        <v>77.900000000000006</v>
      </c>
      <c r="AN25" s="12">
        <f t="shared" si="8"/>
        <v>98.8</v>
      </c>
      <c r="AO25" s="12">
        <f t="shared" si="8"/>
        <v>56.899999999999991</v>
      </c>
      <c r="AP25" s="12">
        <f t="shared" si="9"/>
        <v>35.9</v>
      </c>
      <c r="AQ25" s="12">
        <f t="shared" si="9"/>
        <v>11</v>
      </c>
      <c r="AR25" s="12"/>
      <c r="AS25" s="12">
        <f t="shared" si="10"/>
        <v>45.300000000000004</v>
      </c>
      <c r="AT25" s="12">
        <f t="shared" si="10"/>
        <v>71.8</v>
      </c>
      <c r="AU25" s="12">
        <f t="shared" si="10"/>
        <v>27</v>
      </c>
      <c r="AV25" s="12">
        <f t="shared" si="10"/>
        <v>50.2</v>
      </c>
      <c r="AW25" s="12">
        <f t="shared" si="11"/>
        <v>95</v>
      </c>
      <c r="AX25" s="12">
        <f t="shared" si="11"/>
        <v>50.2</v>
      </c>
      <c r="AY25" s="12"/>
      <c r="AZ25" s="12">
        <f t="shared" si="3"/>
        <v>44.199999999999996</v>
      </c>
      <c r="BA25" s="12">
        <f t="shared" si="4"/>
        <v>64.7</v>
      </c>
      <c r="BB25" s="12"/>
      <c r="BC25" s="12">
        <f t="shared" si="5"/>
        <v>4.9000000000000004</v>
      </c>
      <c r="BD25" s="12">
        <f t="shared" si="6"/>
        <v>97.2</v>
      </c>
      <c r="BE25" s="12">
        <f t="shared" si="7"/>
        <v>64.7</v>
      </c>
    </row>
    <row r="26" spans="1:57" ht="15.75" customHeight="1">
      <c r="A26" s="1" t="s">
        <v>169</v>
      </c>
      <c r="B26" s="3" t="s">
        <v>137</v>
      </c>
      <c r="C26" s="4" t="s">
        <v>85</v>
      </c>
      <c r="D26" s="4">
        <v>41</v>
      </c>
      <c r="E26" s="4">
        <v>1174</v>
      </c>
      <c r="F26" s="4">
        <v>41</v>
      </c>
      <c r="G26" s="4">
        <v>1174</v>
      </c>
      <c r="H26" s="4">
        <v>0.55200000000000005</v>
      </c>
      <c r="I26" s="4">
        <v>5.3</v>
      </c>
      <c r="J26" s="4"/>
      <c r="K26" s="4">
        <v>0.90800000000000003</v>
      </c>
      <c r="L26" s="4">
        <v>0.49399999999999999</v>
      </c>
      <c r="M26" s="4">
        <v>0.39700000000000002</v>
      </c>
      <c r="N26" s="4">
        <v>1.2E-2</v>
      </c>
      <c r="O26" s="4">
        <v>5.0000000000000001E-3</v>
      </c>
      <c r="P26" s="4">
        <v>9.1999999999999998E-2</v>
      </c>
      <c r="Q26" s="4"/>
      <c r="R26" s="4">
        <v>0.58399999999999996</v>
      </c>
      <c r="S26" s="4">
        <v>0.755</v>
      </c>
      <c r="T26" s="4">
        <v>0.38400000000000001</v>
      </c>
      <c r="U26" s="4">
        <v>0.4</v>
      </c>
      <c r="V26" s="4">
        <v>0</v>
      </c>
      <c r="W26" s="4">
        <v>0.23699999999999999</v>
      </c>
      <c r="X26" s="4"/>
      <c r="Y26" s="4">
        <v>0.74399999999999999</v>
      </c>
      <c r="Z26" s="4">
        <v>1</v>
      </c>
      <c r="AA26" s="4"/>
      <c r="AB26" s="4">
        <v>0.158</v>
      </c>
      <c r="AC26" s="4">
        <v>0.16700000000000001</v>
      </c>
      <c r="AD26" s="10">
        <f t="shared" si="1"/>
        <v>0.76755200000000001</v>
      </c>
      <c r="AE26" s="9"/>
      <c r="AF26" s="9"/>
      <c r="AG26" s="12">
        <f t="shared" si="2"/>
        <v>85.6</v>
      </c>
      <c r="AH26" s="12">
        <f t="shared" si="2"/>
        <v>87.8</v>
      </c>
      <c r="AI26" s="12">
        <f t="shared" si="2"/>
        <v>93.899999999999991</v>
      </c>
      <c r="AJ26" s="12">
        <f t="shared" si="2"/>
        <v>4.9000000000000004</v>
      </c>
      <c r="AK26" s="12"/>
      <c r="AL26" s="12">
        <f t="shared" si="8"/>
        <v>90.600000000000009</v>
      </c>
      <c r="AM26" s="12">
        <f t="shared" si="8"/>
        <v>96.6</v>
      </c>
      <c r="AN26" s="12">
        <f t="shared" si="8"/>
        <v>87.2</v>
      </c>
      <c r="AO26" s="12">
        <f t="shared" si="8"/>
        <v>7.1</v>
      </c>
      <c r="AP26" s="12">
        <f t="shared" si="9"/>
        <v>7.1</v>
      </c>
      <c r="AQ26" s="12">
        <f t="shared" si="9"/>
        <v>9.3000000000000007</v>
      </c>
      <c r="AR26" s="12"/>
      <c r="AS26" s="12">
        <f t="shared" si="10"/>
        <v>87.2</v>
      </c>
      <c r="AT26" s="12">
        <f t="shared" si="10"/>
        <v>83.399999999999991</v>
      </c>
      <c r="AU26" s="12">
        <f t="shared" si="10"/>
        <v>25.4</v>
      </c>
      <c r="AV26" s="12">
        <f t="shared" si="10"/>
        <v>57.999999999999993</v>
      </c>
      <c r="AW26" s="12">
        <f t="shared" si="11"/>
        <v>0</v>
      </c>
      <c r="AX26" s="12">
        <f t="shared" si="11"/>
        <v>14.899999999999999</v>
      </c>
      <c r="AY26" s="12"/>
      <c r="AZ26" s="12">
        <f t="shared" si="3"/>
        <v>23.799999999999997</v>
      </c>
      <c r="BA26" s="12">
        <f t="shared" si="4"/>
        <v>33.799999999999997</v>
      </c>
      <c r="BB26" s="12"/>
      <c r="BC26" s="12">
        <f t="shared" si="5"/>
        <v>37</v>
      </c>
      <c r="BD26" s="12">
        <f t="shared" si="6"/>
        <v>16</v>
      </c>
      <c r="BE26" s="12">
        <f t="shared" si="7"/>
        <v>42.6</v>
      </c>
    </row>
    <row r="27" spans="1:57" ht="15.75" customHeight="1">
      <c r="A27" s="1" t="s">
        <v>144</v>
      </c>
      <c r="B27" s="3" t="s">
        <v>128</v>
      </c>
      <c r="C27" s="4" t="s">
        <v>85</v>
      </c>
      <c r="D27" s="4">
        <v>40</v>
      </c>
      <c r="E27" s="4">
        <v>1167</v>
      </c>
      <c r="F27" s="4">
        <v>40</v>
      </c>
      <c r="G27" s="4">
        <v>1167</v>
      </c>
      <c r="H27" s="4">
        <v>0.46800000000000003</v>
      </c>
      <c r="I27" s="4">
        <v>14.2</v>
      </c>
      <c r="J27" s="4"/>
      <c r="K27" s="4">
        <v>0.47499999999999998</v>
      </c>
      <c r="L27" s="4">
        <v>0.33900000000000002</v>
      </c>
      <c r="M27" s="4">
        <v>0.125</v>
      </c>
      <c r="N27" s="4">
        <v>0</v>
      </c>
      <c r="O27" s="4">
        <v>0.01</v>
      </c>
      <c r="P27" s="4">
        <v>0.52500000000000002</v>
      </c>
      <c r="Q27" s="4"/>
      <c r="R27" s="4">
        <v>0.64300000000000002</v>
      </c>
      <c r="S27" s="4">
        <v>0.68</v>
      </c>
      <c r="T27" s="4">
        <v>0.56799999999999995</v>
      </c>
      <c r="U27" s="4">
        <v>0</v>
      </c>
      <c r="V27" s="4">
        <v>0.33300000000000002</v>
      </c>
      <c r="W27" s="4">
        <v>0.31</v>
      </c>
      <c r="X27" s="4"/>
      <c r="Y27" s="4">
        <v>0.84399999999999997</v>
      </c>
      <c r="Z27" s="4">
        <v>1</v>
      </c>
      <c r="AA27" s="4"/>
      <c r="AB27" s="4">
        <v>0.26500000000000001</v>
      </c>
      <c r="AC27" s="4">
        <v>0.36599999999999999</v>
      </c>
      <c r="AD27" s="10">
        <f t="shared" si="1"/>
        <v>0.92589999999999995</v>
      </c>
      <c r="AE27" s="9"/>
      <c r="AF27" s="9"/>
      <c r="AG27" s="12">
        <f t="shared" si="2"/>
        <v>72.899999999999991</v>
      </c>
      <c r="AH27" s="12">
        <f t="shared" si="2"/>
        <v>87.2</v>
      </c>
      <c r="AI27" s="12">
        <f t="shared" si="2"/>
        <v>67.400000000000006</v>
      </c>
      <c r="AJ27" s="12">
        <f t="shared" si="2"/>
        <v>52.400000000000006</v>
      </c>
      <c r="AK27" s="12"/>
      <c r="AL27" s="12">
        <f t="shared" si="8"/>
        <v>24.3</v>
      </c>
      <c r="AM27" s="12">
        <f t="shared" si="8"/>
        <v>83.399999999999991</v>
      </c>
      <c r="AN27" s="12">
        <f t="shared" si="8"/>
        <v>9.3000000000000007</v>
      </c>
      <c r="AO27" s="12">
        <f t="shared" si="8"/>
        <v>0</v>
      </c>
      <c r="AP27" s="12">
        <f t="shared" si="9"/>
        <v>11.600000000000001</v>
      </c>
      <c r="AQ27" s="12">
        <f t="shared" si="9"/>
        <v>75.599999999999994</v>
      </c>
      <c r="AR27" s="12"/>
      <c r="AS27" s="12">
        <f t="shared" si="10"/>
        <v>96.6</v>
      </c>
      <c r="AT27" s="12">
        <f t="shared" si="10"/>
        <v>54.1</v>
      </c>
      <c r="AU27" s="12">
        <f t="shared" si="10"/>
        <v>91.7</v>
      </c>
      <c r="AV27" s="12">
        <f t="shared" si="10"/>
        <v>0</v>
      </c>
      <c r="AW27" s="12">
        <f t="shared" si="11"/>
        <v>45.800000000000004</v>
      </c>
      <c r="AX27" s="12">
        <f t="shared" si="11"/>
        <v>40.300000000000004</v>
      </c>
      <c r="AY27" s="12"/>
      <c r="AZ27" s="12">
        <f t="shared" si="3"/>
        <v>7.1999999999999886</v>
      </c>
      <c r="BA27" s="12">
        <f t="shared" si="4"/>
        <v>33.799999999999997</v>
      </c>
      <c r="BB27" s="12"/>
      <c r="BC27" s="12">
        <f t="shared" si="5"/>
        <v>70.7</v>
      </c>
      <c r="BD27" s="12">
        <f t="shared" si="6"/>
        <v>53</v>
      </c>
      <c r="BE27" s="12">
        <f t="shared" si="7"/>
        <v>3.4000000000000057</v>
      </c>
    </row>
    <row r="28" spans="1:57" ht="15.75" customHeight="1">
      <c r="A28" s="1" t="s">
        <v>90</v>
      </c>
      <c r="B28" s="3" t="s">
        <v>91</v>
      </c>
      <c r="C28" s="4" t="s">
        <v>8</v>
      </c>
      <c r="D28" s="4">
        <v>41</v>
      </c>
      <c r="E28" s="4">
        <v>1163</v>
      </c>
      <c r="F28" s="4">
        <v>41</v>
      </c>
      <c r="G28" s="4">
        <v>1163</v>
      </c>
      <c r="H28" s="4">
        <v>0.42799999999999999</v>
      </c>
      <c r="I28" s="4">
        <v>15.6</v>
      </c>
      <c r="J28" s="4"/>
      <c r="K28" s="4">
        <v>0.57699999999999996</v>
      </c>
      <c r="L28" s="4">
        <v>0.125</v>
      </c>
      <c r="M28" s="4">
        <v>0.30599999999999999</v>
      </c>
      <c r="N28" s="4">
        <v>0.122</v>
      </c>
      <c r="O28" s="4">
        <v>2.4E-2</v>
      </c>
      <c r="P28" s="4">
        <v>0.42299999999999999</v>
      </c>
      <c r="Q28" s="4"/>
      <c r="R28" s="4">
        <v>0.47899999999999998</v>
      </c>
      <c r="S28" s="4">
        <v>0.68100000000000005</v>
      </c>
      <c r="T28" s="4">
        <v>0.46100000000000002</v>
      </c>
      <c r="U28" s="4">
        <v>0.34799999999999998</v>
      </c>
      <c r="V28" s="4">
        <v>0.33300000000000002</v>
      </c>
      <c r="W28" s="4">
        <v>0.35799999999999998</v>
      </c>
      <c r="X28" s="4"/>
      <c r="Y28" s="4">
        <v>0.34599999999999997</v>
      </c>
      <c r="Z28" s="4">
        <v>0.80700000000000005</v>
      </c>
      <c r="AA28" s="4"/>
      <c r="AB28" s="4">
        <v>6.9000000000000006E-2</v>
      </c>
      <c r="AC28" s="4">
        <v>0.45500000000000002</v>
      </c>
      <c r="AD28" s="10">
        <f t="shared" si="1"/>
        <v>0.54100300000000001</v>
      </c>
      <c r="AE28" s="9"/>
      <c r="AF28" s="9"/>
      <c r="AG28" s="12">
        <f t="shared" si="2"/>
        <v>85.6</v>
      </c>
      <c r="AH28" s="12">
        <f t="shared" si="2"/>
        <v>86.7</v>
      </c>
      <c r="AI28" s="12">
        <f t="shared" si="2"/>
        <v>43</v>
      </c>
      <c r="AJ28" s="12">
        <f t="shared" si="2"/>
        <v>61.8</v>
      </c>
      <c r="AK28" s="12"/>
      <c r="AL28" s="12">
        <f t="shared" si="8"/>
        <v>44.1</v>
      </c>
      <c r="AM28" s="12">
        <f t="shared" si="8"/>
        <v>25.4</v>
      </c>
      <c r="AN28" s="12">
        <f t="shared" si="8"/>
        <v>68.5</v>
      </c>
      <c r="AO28" s="12">
        <f t="shared" si="8"/>
        <v>80.600000000000009</v>
      </c>
      <c r="AP28" s="12">
        <f t="shared" si="9"/>
        <v>32.5</v>
      </c>
      <c r="AQ28" s="12">
        <f t="shared" si="9"/>
        <v>55.2</v>
      </c>
      <c r="AR28" s="12"/>
      <c r="AS28" s="12">
        <f t="shared" si="10"/>
        <v>34.799999999999997</v>
      </c>
      <c r="AT28" s="12">
        <f t="shared" si="10"/>
        <v>54.6</v>
      </c>
      <c r="AU28" s="12">
        <f t="shared" si="10"/>
        <v>55.800000000000004</v>
      </c>
      <c r="AV28" s="12">
        <f t="shared" si="10"/>
        <v>47.5</v>
      </c>
      <c r="AW28" s="12">
        <f t="shared" si="11"/>
        <v>45.800000000000004</v>
      </c>
      <c r="AX28" s="12">
        <f t="shared" si="11"/>
        <v>63.5</v>
      </c>
      <c r="AY28" s="12"/>
      <c r="AZ28" s="12">
        <f t="shared" si="3"/>
        <v>87.3</v>
      </c>
      <c r="BA28" s="12">
        <f t="shared" si="4"/>
        <v>75.7</v>
      </c>
      <c r="BB28" s="12"/>
      <c r="BC28" s="12">
        <f t="shared" si="5"/>
        <v>8.7999999999999989</v>
      </c>
      <c r="BD28" s="12">
        <f t="shared" si="6"/>
        <v>76.7</v>
      </c>
      <c r="BE28" s="12">
        <f t="shared" si="7"/>
        <v>84</v>
      </c>
    </row>
    <row r="29" spans="1:57" ht="15.75" customHeight="1">
      <c r="A29" s="1" t="s">
        <v>156</v>
      </c>
      <c r="B29" s="3" t="s">
        <v>157</v>
      </c>
      <c r="C29" s="4" t="s">
        <v>8</v>
      </c>
      <c r="D29" s="4">
        <v>37</v>
      </c>
      <c r="E29" s="4">
        <v>1160</v>
      </c>
      <c r="F29" s="4">
        <v>37</v>
      </c>
      <c r="G29" s="4">
        <v>1160</v>
      </c>
      <c r="H29" s="4">
        <v>0.45600000000000002</v>
      </c>
      <c r="I29" s="4">
        <v>17.5</v>
      </c>
      <c r="J29" s="4"/>
      <c r="K29" s="4">
        <v>0.499</v>
      </c>
      <c r="L29" s="4">
        <v>0.16</v>
      </c>
      <c r="M29" s="4">
        <v>0.161</v>
      </c>
      <c r="N29" s="4">
        <v>9.2999999999999999E-2</v>
      </c>
      <c r="O29" s="4">
        <v>8.5999999999999993E-2</v>
      </c>
      <c r="P29" s="4">
        <v>0.501</v>
      </c>
      <c r="Q29" s="4"/>
      <c r="R29" s="4">
        <v>0.54300000000000004</v>
      </c>
      <c r="S29" s="4">
        <v>0.65600000000000003</v>
      </c>
      <c r="T29" s="4">
        <v>0.54300000000000004</v>
      </c>
      <c r="U29" s="4">
        <v>0.42599999999999999</v>
      </c>
      <c r="V29" s="4">
        <v>0.46</v>
      </c>
      <c r="W29" s="4">
        <v>0.37</v>
      </c>
      <c r="X29" s="4"/>
      <c r="Y29" s="4">
        <v>0.17699999999999999</v>
      </c>
      <c r="Z29" s="4">
        <v>0.47199999999999998</v>
      </c>
      <c r="AA29" s="4"/>
      <c r="AB29" s="4">
        <v>2.7E-2</v>
      </c>
      <c r="AC29" s="4">
        <v>0.75</v>
      </c>
      <c r="AD29" s="10">
        <f t="shared" si="1"/>
        <v>0.324795</v>
      </c>
      <c r="AE29" s="9"/>
      <c r="AF29" s="9"/>
      <c r="AG29" s="12">
        <f t="shared" si="2"/>
        <v>51.300000000000004</v>
      </c>
      <c r="AH29" s="12">
        <f t="shared" si="2"/>
        <v>86.1</v>
      </c>
      <c r="AI29" s="12">
        <f t="shared" si="2"/>
        <v>59.099999999999994</v>
      </c>
      <c r="AJ29" s="12">
        <f t="shared" si="2"/>
        <v>81.699999999999989</v>
      </c>
      <c r="AK29" s="12"/>
      <c r="AL29" s="12">
        <f t="shared" si="8"/>
        <v>30.3</v>
      </c>
      <c r="AM29" s="12">
        <f t="shared" si="8"/>
        <v>37</v>
      </c>
      <c r="AN29" s="12">
        <f t="shared" si="8"/>
        <v>21.5</v>
      </c>
      <c r="AO29" s="12">
        <f t="shared" si="8"/>
        <v>68.5</v>
      </c>
      <c r="AP29" s="12">
        <f t="shared" si="9"/>
        <v>84.5</v>
      </c>
      <c r="AQ29" s="12">
        <f t="shared" si="9"/>
        <v>69.599999999999994</v>
      </c>
      <c r="AR29" s="12"/>
      <c r="AS29" s="12">
        <f t="shared" si="10"/>
        <v>66.8</v>
      </c>
      <c r="AT29" s="12">
        <f t="shared" si="10"/>
        <v>44.7</v>
      </c>
      <c r="AU29" s="12">
        <f t="shared" si="10"/>
        <v>87.2</v>
      </c>
      <c r="AV29" s="12">
        <f t="shared" si="10"/>
        <v>67.400000000000006</v>
      </c>
      <c r="AW29" s="12">
        <f t="shared" si="11"/>
        <v>76.7</v>
      </c>
      <c r="AX29" s="12">
        <f t="shared" si="11"/>
        <v>70.099999999999994</v>
      </c>
      <c r="AY29" s="12"/>
      <c r="AZ29" s="12">
        <f t="shared" si="3"/>
        <v>96.2</v>
      </c>
      <c r="BA29" s="12">
        <f t="shared" si="4"/>
        <v>93.4</v>
      </c>
      <c r="BB29" s="12"/>
      <c r="BC29" s="12">
        <f t="shared" si="5"/>
        <v>5.5</v>
      </c>
      <c r="BD29" s="12">
        <f t="shared" si="6"/>
        <v>94.399999999999991</v>
      </c>
      <c r="BE29" s="12">
        <f t="shared" si="7"/>
        <v>97.8</v>
      </c>
    </row>
    <row r="30" spans="1:57" ht="15.75" customHeight="1">
      <c r="A30" s="1" t="s">
        <v>168</v>
      </c>
      <c r="B30" s="3" t="s">
        <v>137</v>
      </c>
      <c r="C30" s="4" t="s">
        <v>94</v>
      </c>
      <c r="D30" s="4">
        <v>40</v>
      </c>
      <c r="E30" s="4">
        <v>1153</v>
      </c>
      <c r="F30" s="4">
        <v>40</v>
      </c>
      <c r="G30" s="4">
        <v>1153</v>
      </c>
      <c r="H30" s="4">
        <v>0.45900000000000002</v>
      </c>
      <c r="I30" s="4">
        <v>12.4</v>
      </c>
      <c r="J30" s="4"/>
      <c r="K30" s="4">
        <v>0.61399999999999999</v>
      </c>
      <c r="L30" s="4">
        <v>0.23100000000000001</v>
      </c>
      <c r="M30" s="4">
        <v>0.32200000000000001</v>
      </c>
      <c r="N30" s="4">
        <v>4.8000000000000001E-2</v>
      </c>
      <c r="O30" s="4">
        <v>1.4E-2</v>
      </c>
      <c r="P30" s="4">
        <v>0.38600000000000001</v>
      </c>
      <c r="Q30" s="4"/>
      <c r="R30" s="4">
        <v>0.51300000000000001</v>
      </c>
      <c r="S30" s="4">
        <v>0.69299999999999995</v>
      </c>
      <c r="T30" s="4">
        <v>0.44</v>
      </c>
      <c r="U30" s="4">
        <v>0.14299999999999999</v>
      </c>
      <c r="V30" s="4">
        <v>0.5</v>
      </c>
      <c r="W30" s="4">
        <v>0.373</v>
      </c>
      <c r="X30" s="4"/>
      <c r="Y30" s="4">
        <v>0.51400000000000001</v>
      </c>
      <c r="Z30" s="4">
        <v>0.90500000000000003</v>
      </c>
      <c r="AA30" s="4"/>
      <c r="AB30" s="4">
        <v>0.183</v>
      </c>
      <c r="AC30" s="4">
        <v>0.45200000000000001</v>
      </c>
      <c r="AD30" s="10">
        <f t="shared" si="1"/>
        <v>0.66492600000000002</v>
      </c>
      <c r="AE30" s="9"/>
      <c r="AF30" s="9"/>
      <c r="AG30" s="12">
        <f t="shared" si="2"/>
        <v>72.899999999999991</v>
      </c>
      <c r="AH30" s="12">
        <f t="shared" si="2"/>
        <v>85.6</v>
      </c>
      <c r="AI30" s="12">
        <f t="shared" si="2"/>
        <v>61.8</v>
      </c>
      <c r="AJ30" s="12">
        <f t="shared" si="2"/>
        <v>34.200000000000003</v>
      </c>
      <c r="AK30" s="12"/>
      <c r="AL30" s="12">
        <f t="shared" si="8"/>
        <v>55.2</v>
      </c>
      <c r="AM30" s="12">
        <f t="shared" si="8"/>
        <v>62.9</v>
      </c>
      <c r="AN30" s="12">
        <f t="shared" si="8"/>
        <v>71.8</v>
      </c>
      <c r="AO30" s="12">
        <f t="shared" si="8"/>
        <v>35.299999999999997</v>
      </c>
      <c r="AP30" s="12">
        <f t="shared" si="9"/>
        <v>16</v>
      </c>
      <c r="AQ30" s="12">
        <f t="shared" si="9"/>
        <v>44.7</v>
      </c>
      <c r="AR30" s="12"/>
      <c r="AS30" s="12">
        <f t="shared" si="10"/>
        <v>48.6</v>
      </c>
      <c r="AT30" s="12">
        <f t="shared" si="10"/>
        <v>58.5</v>
      </c>
      <c r="AU30" s="12">
        <f t="shared" si="10"/>
        <v>48.6</v>
      </c>
      <c r="AV30" s="12">
        <f t="shared" si="10"/>
        <v>20.399999999999999</v>
      </c>
      <c r="AW30" s="12">
        <f t="shared" si="11"/>
        <v>80.100000000000009</v>
      </c>
      <c r="AX30" s="12">
        <f t="shared" si="11"/>
        <v>71.2</v>
      </c>
      <c r="AY30" s="12"/>
      <c r="AZ30" s="12">
        <f t="shared" si="3"/>
        <v>66.3</v>
      </c>
      <c r="BA30" s="12">
        <f t="shared" si="4"/>
        <v>60.3</v>
      </c>
      <c r="BB30" s="12"/>
      <c r="BC30" s="12">
        <f t="shared" si="5"/>
        <v>49.7</v>
      </c>
      <c r="BD30" s="12">
        <f t="shared" si="6"/>
        <v>75.599999999999994</v>
      </c>
      <c r="BE30" s="12">
        <f t="shared" si="7"/>
        <v>66.3</v>
      </c>
    </row>
    <row r="31" spans="1:57" ht="15.75" customHeight="1">
      <c r="A31" s="1" t="s">
        <v>87</v>
      </c>
      <c r="B31" s="3" t="s">
        <v>84</v>
      </c>
      <c r="C31" s="4" t="s">
        <v>88</v>
      </c>
      <c r="D31" s="4">
        <v>40</v>
      </c>
      <c r="E31" s="4">
        <v>1139</v>
      </c>
      <c r="F31" s="4">
        <v>40</v>
      </c>
      <c r="G31" s="4">
        <v>1139</v>
      </c>
      <c r="H31" s="4">
        <v>0.49399999999999999</v>
      </c>
      <c r="I31" s="4">
        <v>14.2</v>
      </c>
      <c r="J31" s="4"/>
      <c r="K31" s="4">
        <v>0.54100000000000004</v>
      </c>
      <c r="L31" s="4">
        <v>0.22800000000000001</v>
      </c>
      <c r="M31" s="4">
        <v>0.22800000000000001</v>
      </c>
      <c r="N31" s="4">
        <v>5.1999999999999998E-2</v>
      </c>
      <c r="O31" s="4">
        <v>3.2000000000000001E-2</v>
      </c>
      <c r="P31" s="4">
        <v>0.45900000000000002</v>
      </c>
      <c r="Q31" s="4"/>
      <c r="R31" s="4">
        <v>0.57799999999999996</v>
      </c>
      <c r="S31" s="4">
        <v>0.75</v>
      </c>
      <c r="T31" s="4">
        <v>0.46700000000000003</v>
      </c>
      <c r="U31" s="4">
        <v>0.38100000000000001</v>
      </c>
      <c r="V31" s="4">
        <v>0.46200000000000002</v>
      </c>
      <c r="W31" s="4">
        <v>0.39500000000000002</v>
      </c>
      <c r="X31" s="4"/>
      <c r="Y31" s="4">
        <v>0.61899999999999999</v>
      </c>
      <c r="Z31" s="4">
        <v>0.93200000000000005</v>
      </c>
      <c r="AA31" s="4"/>
      <c r="AB31" s="4">
        <v>0.151</v>
      </c>
      <c r="AC31" s="4">
        <v>0.39300000000000002</v>
      </c>
      <c r="AD31" s="10">
        <f t="shared" si="1"/>
        <v>0.76266700000000009</v>
      </c>
      <c r="AE31" s="9"/>
      <c r="AF31" s="9"/>
      <c r="AG31" s="12">
        <f t="shared" si="2"/>
        <v>72.899999999999991</v>
      </c>
      <c r="AH31" s="12">
        <f t="shared" si="2"/>
        <v>85</v>
      </c>
      <c r="AI31" s="12">
        <f t="shared" si="2"/>
        <v>77.900000000000006</v>
      </c>
      <c r="AJ31" s="12">
        <f t="shared" si="2"/>
        <v>52.400000000000006</v>
      </c>
      <c r="AK31" s="12"/>
      <c r="AL31" s="12">
        <f t="shared" si="8"/>
        <v>38.6</v>
      </c>
      <c r="AM31" s="12">
        <f t="shared" si="8"/>
        <v>61.8</v>
      </c>
      <c r="AN31" s="12">
        <f t="shared" si="8"/>
        <v>41.4</v>
      </c>
      <c r="AO31" s="12">
        <f t="shared" si="8"/>
        <v>38.1</v>
      </c>
      <c r="AP31" s="12">
        <f t="shared" si="9"/>
        <v>41.9</v>
      </c>
      <c r="AQ31" s="12">
        <f t="shared" si="9"/>
        <v>61.3</v>
      </c>
      <c r="AR31" s="12"/>
      <c r="AS31" s="12">
        <f t="shared" si="10"/>
        <v>85</v>
      </c>
      <c r="AT31" s="12">
        <f t="shared" si="10"/>
        <v>77.3</v>
      </c>
      <c r="AU31" s="12">
        <f t="shared" si="10"/>
        <v>57.999999999999993</v>
      </c>
      <c r="AV31" s="12">
        <f t="shared" si="10"/>
        <v>54.6</v>
      </c>
      <c r="AW31" s="12">
        <f t="shared" si="11"/>
        <v>77.900000000000006</v>
      </c>
      <c r="AX31" s="12">
        <f t="shared" si="11"/>
        <v>83.399999999999991</v>
      </c>
      <c r="AY31" s="12"/>
      <c r="AZ31" s="12">
        <f t="shared" si="3"/>
        <v>48.699999999999996</v>
      </c>
      <c r="BA31" s="12">
        <f t="shared" si="4"/>
        <v>53.1</v>
      </c>
      <c r="BB31" s="12"/>
      <c r="BC31" s="12">
        <f t="shared" si="5"/>
        <v>30.9</v>
      </c>
      <c r="BD31" s="12">
        <f t="shared" si="6"/>
        <v>60.699999999999996</v>
      </c>
      <c r="BE31" s="12">
        <f t="shared" si="7"/>
        <v>43.100000000000009</v>
      </c>
    </row>
    <row r="32" spans="1:57" ht="15.75" customHeight="1">
      <c r="A32" s="1" t="s">
        <v>224</v>
      </c>
      <c r="B32" s="3" t="s">
        <v>131</v>
      </c>
      <c r="C32" s="4" t="s">
        <v>8</v>
      </c>
      <c r="D32" s="4">
        <v>40</v>
      </c>
      <c r="E32" s="4">
        <v>1127</v>
      </c>
      <c r="F32" s="4">
        <v>40</v>
      </c>
      <c r="G32" s="4">
        <v>1127</v>
      </c>
      <c r="H32" s="4">
        <v>0.49</v>
      </c>
      <c r="I32" s="4">
        <v>15</v>
      </c>
      <c r="J32" s="4"/>
      <c r="K32" s="4">
        <v>0.58799999999999997</v>
      </c>
      <c r="L32" s="4">
        <v>0.23200000000000001</v>
      </c>
      <c r="M32" s="4">
        <v>0.13700000000000001</v>
      </c>
      <c r="N32" s="4">
        <v>9.1999999999999998E-2</v>
      </c>
      <c r="O32" s="4">
        <v>0.127</v>
      </c>
      <c r="P32" s="4">
        <v>0.41199999999999998</v>
      </c>
      <c r="Q32" s="4"/>
      <c r="R32" s="4">
        <v>0.58299999999999996</v>
      </c>
      <c r="S32" s="4">
        <v>0.76100000000000001</v>
      </c>
      <c r="T32" s="4">
        <v>0.42899999999999999</v>
      </c>
      <c r="U32" s="4">
        <v>0.46400000000000002</v>
      </c>
      <c r="V32" s="4">
        <v>0.51300000000000001</v>
      </c>
      <c r="W32" s="4">
        <v>0.35699999999999998</v>
      </c>
      <c r="X32" s="4"/>
      <c r="Y32" s="4">
        <v>0.35199999999999998</v>
      </c>
      <c r="Z32" s="4">
        <v>0.68899999999999995</v>
      </c>
      <c r="AA32" s="4"/>
      <c r="AB32" s="4">
        <v>7.0999999999999994E-2</v>
      </c>
      <c r="AC32" s="4">
        <v>0.33300000000000002</v>
      </c>
      <c r="AD32" s="10">
        <f t="shared" si="1"/>
        <v>0.49084399999999995</v>
      </c>
      <c r="AE32" s="9"/>
      <c r="AF32" s="9"/>
      <c r="AG32" s="12">
        <f t="shared" si="2"/>
        <v>72.899999999999991</v>
      </c>
      <c r="AH32" s="12">
        <f t="shared" si="2"/>
        <v>84.5</v>
      </c>
      <c r="AI32" s="12">
        <f t="shared" si="2"/>
        <v>76.7</v>
      </c>
      <c r="AJ32" s="12">
        <f t="shared" si="2"/>
        <v>57.4</v>
      </c>
      <c r="AK32" s="12"/>
      <c r="AL32" s="12">
        <f t="shared" si="8"/>
        <v>48</v>
      </c>
      <c r="AM32" s="12">
        <f t="shared" si="8"/>
        <v>64</v>
      </c>
      <c r="AN32" s="12">
        <f t="shared" si="8"/>
        <v>12.7</v>
      </c>
      <c r="AO32" s="12">
        <f t="shared" si="8"/>
        <v>67.400000000000006</v>
      </c>
      <c r="AP32" s="12">
        <f t="shared" si="9"/>
        <v>93.899999999999991</v>
      </c>
      <c r="AQ32" s="12">
        <f t="shared" si="9"/>
        <v>51.9</v>
      </c>
      <c r="AR32" s="12"/>
      <c r="AS32" s="12">
        <f t="shared" si="10"/>
        <v>86.7</v>
      </c>
      <c r="AT32" s="12">
        <f t="shared" si="10"/>
        <v>84.5</v>
      </c>
      <c r="AU32" s="12">
        <f t="shared" si="10"/>
        <v>42.5</v>
      </c>
      <c r="AV32" s="12">
        <f t="shared" si="10"/>
        <v>75.599999999999994</v>
      </c>
      <c r="AW32" s="12">
        <f t="shared" si="11"/>
        <v>89.5</v>
      </c>
      <c r="AX32" s="12">
        <f t="shared" si="11"/>
        <v>62.9</v>
      </c>
      <c r="AY32" s="12"/>
      <c r="AZ32" s="12">
        <f t="shared" si="3"/>
        <v>86.8</v>
      </c>
      <c r="BA32" s="12">
        <f t="shared" si="4"/>
        <v>86.2</v>
      </c>
      <c r="BB32" s="12"/>
      <c r="BC32" s="12">
        <f t="shared" si="5"/>
        <v>9.9</v>
      </c>
      <c r="BD32" s="12">
        <f t="shared" si="6"/>
        <v>43</v>
      </c>
      <c r="BE32" s="12">
        <f t="shared" si="7"/>
        <v>90.7</v>
      </c>
    </row>
    <row r="33" spans="1:57" ht="15.75" customHeight="1">
      <c r="A33" s="1" t="s">
        <v>138</v>
      </c>
      <c r="B33" s="3" t="s">
        <v>114</v>
      </c>
      <c r="C33" s="4" t="s">
        <v>8</v>
      </c>
      <c r="D33" s="4">
        <v>37</v>
      </c>
      <c r="E33" s="4">
        <v>1104</v>
      </c>
      <c r="F33" s="4">
        <v>37</v>
      </c>
      <c r="G33" s="4">
        <v>1104</v>
      </c>
      <c r="H33" s="4">
        <v>0.44</v>
      </c>
      <c r="I33" s="4">
        <v>15.8</v>
      </c>
      <c r="J33" s="4"/>
      <c r="K33" s="4">
        <v>0.55100000000000005</v>
      </c>
      <c r="L33" s="4">
        <v>0.105</v>
      </c>
      <c r="M33" s="4">
        <v>0.27900000000000003</v>
      </c>
      <c r="N33" s="4">
        <v>0.113</v>
      </c>
      <c r="O33" s="4">
        <v>5.3999999999999999E-2</v>
      </c>
      <c r="P33" s="4">
        <v>0.44900000000000001</v>
      </c>
      <c r="Q33" s="4"/>
      <c r="R33" s="4">
        <v>0.52600000000000002</v>
      </c>
      <c r="S33" s="4">
        <v>0.72899999999999998</v>
      </c>
      <c r="T33" s="4">
        <v>0.52300000000000002</v>
      </c>
      <c r="U33" s="4">
        <v>0.42299999999999999</v>
      </c>
      <c r="V33" s="4">
        <v>0.36</v>
      </c>
      <c r="W33" s="4">
        <v>0.33500000000000002</v>
      </c>
      <c r="X33" s="4"/>
      <c r="Y33" s="4">
        <v>0.28599999999999998</v>
      </c>
      <c r="Z33" s="4">
        <v>0.73899999999999999</v>
      </c>
      <c r="AA33" s="4"/>
      <c r="AB33" s="4">
        <v>7.8E-2</v>
      </c>
      <c r="AC33" s="4">
        <v>0.438</v>
      </c>
      <c r="AD33" s="10">
        <f t="shared" si="1"/>
        <v>0.48939700000000003</v>
      </c>
      <c r="AE33" s="9"/>
      <c r="AF33" s="9"/>
      <c r="AG33" s="12">
        <f t="shared" si="2"/>
        <v>51.300000000000004</v>
      </c>
      <c r="AH33" s="12">
        <f t="shared" si="2"/>
        <v>83.899999999999991</v>
      </c>
      <c r="AI33" s="12">
        <f t="shared" si="2"/>
        <v>51.300000000000004</v>
      </c>
      <c r="AJ33" s="12">
        <f t="shared" si="2"/>
        <v>66.2</v>
      </c>
      <c r="AK33" s="12"/>
      <c r="AL33" s="12">
        <f t="shared" si="8"/>
        <v>40.799999999999997</v>
      </c>
      <c r="AM33" s="12">
        <f t="shared" si="8"/>
        <v>17.599999999999998</v>
      </c>
      <c r="AN33" s="12">
        <f t="shared" si="8"/>
        <v>61.3</v>
      </c>
      <c r="AO33" s="12">
        <f t="shared" si="8"/>
        <v>77.3</v>
      </c>
      <c r="AP33" s="12">
        <f t="shared" si="9"/>
        <v>65.100000000000009</v>
      </c>
      <c r="AQ33" s="12">
        <f t="shared" si="9"/>
        <v>59.099999999999994</v>
      </c>
      <c r="AR33" s="12"/>
      <c r="AS33" s="12">
        <f t="shared" si="10"/>
        <v>57.999999999999993</v>
      </c>
      <c r="AT33" s="12">
        <f t="shared" si="10"/>
        <v>70.7</v>
      </c>
      <c r="AU33" s="12">
        <f t="shared" si="10"/>
        <v>82.3</v>
      </c>
      <c r="AV33" s="12">
        <f t="shared" si="10"/>
        <v>66.2</v>
      </c>
      <c r="AW33" s="12">
        <f t="shared" si="11"/>
        <v>56.899999999999991</v>
      </c>
      <c r="AX33" s="12">
        <f t="shared" si="11"/>
        <v>54.1</v>
      </c>
      <c r="AY33" s="12"/>
      <c r="AZ33" s="12">
        <f t="shared" si="3"/>
        <v>91.2</v>
      </c>
      <c r="BA33" s="12">
        <f t="shared" si="4"/>
        <v>82.4</v>
      </c>
      <c r="BB33" s="12"/>
      <c r="BC33" s="12">
        <f t="shared" si="5"/>
        <v>11.600000000000001</v>
      </c>
      <c r="BD33" s="12">
        <f t="shared" si="6"/>
        <v>70.7</v>
      </c>
      <c r="BE33" s="12">
        <f t="shared" si="7"/>
        <v>91.2</v>
      </c>
    </row>
    <row r="34" spans="1:57" ht="15.75" customHeight="1">
      <c r="A34" s="1" t="s">
        <v>113</v>
      </c>
      <c r="B34" s="3" t="s">
        <v>114</v>
      </c>
      <c r="C34" s="4" t="s">
        <v>8</v>
      </c>
      <c r="D34" s="4">
        <v>39</v>
      </c>
      <c r="E34" s="4">
        <v>1103</v>
      </c>
      <c r="F34" s="4">
        <v>39</v>
      </c>
      <c r="G34" s="4">
        <v>1103</v>
      </c>
      <c r="H34" s="4">
        <v>0.4</v>
      </c>
      <c r="I34" s="4">
        <v>13.9</v>
      </c>
      <c r="J34" s="4"/>
      <c r="K34" s="4">
        <v>0.627</v>
      </c>
      <c r="L34" s="4">
        <v>0.191</v>
      </c>
      <c r="M34" s="4">
        <v>0.24099999999999999</v>
      </c>
      <c r="N34" s="4">
        <v>0.114</v>
      </c>
      <c r="O34" s="4">
        <v>8.1000000000000003E-2</v>
      </c>
      <c r="P34" s="4">
        <v>0.373</v>
      </c>
      <c r="Q34" s="4"/>
      <c r="R34" s="4">
        <v>0.46899999999999997</v>
      </c>
      <c r="S34" s="4">
        <v>0.628</v>
      </c>
      <c r="T34" s="4">
        <v>0.45400000000000001</v>
      </c>
      <c r="U34" s="4">
        <v>0.30399999999999999</v>
      </c>
      <c r="V34" s="4">
        <v>0.375</v>
      </c>
      <c r="W34" s="4">
        <v>0.28299999999999997</v>
      </c>
      <c r="X34" s="4"/>
      <c r="Y34" s="4">
        <v>0.52400000000000002</v>
      </c>
      <c r="Z34" s="4">
        <v>0.76900000000000002</v>
      </c>
      <c r="AA34" s="4"/>
      <c r="AB34" s="4">
        <v>0.16800000000000001</v>
      </c>
      <c r="AC34" s="4">
        <v>0.25800000000000001</v>
      </c>
      <c r="AD34" s="10">
        <f t="shared" si="1"/>
        <v>0.61538500000000007</v>
      </c>
      <c r="AE34" s="9"/>
      <c r="AF34" s="9"/>
      <c r="AG34" s="12">
        <f t="shared" si="2"/>
        <v>64.600000000000009</v>
      </c>
      <c r="AH34" s="12">
        <f t="shared" si="2"/>
        <v>83.399999999999991</v>
      </c>
      <c r="AI34" s="12">
        <f t="shared" si="2"/>
        <v>28.7</v>
      </c>
      <c r="AJ34" s="12">
        <f t="shared" si="2"/>
        <v>48.6</v>
      </c>
      <c r="AK34" s="12"/>
      <c r="AL34" s="12">
        <f t="shared" si="8"/>
        <v>57.999999999999993</v>
      </c>
      <c r="AM34" s="12">
        <f t="shared" si="8"/>
        <v>47.5</v>
      </c>
      <c r="AN34" s="12">
        <f t="shared" si="8"/>
        <v>47.5</v>
      </c>
      <c r="AO34" s="12">
        <f t="shared" si="8"/>
        <v>77.900000000000006</v>
      </c>
      <c r="AP34" s="12">
        <f t="shared" si="9"/>
        <v>81.699999999999989</v>
      </c>
      <c r="AQ34" s="12">
        <f t="shared" si="9"/>
        <v>41.9</v>
      </c>
      <c r="AR34" s="12"/>
      <c r="AS34" s="12">
        <f t="shared" si="10"/>
        <v>27</v>
      </c>
      <c r="AT34" s="12">
        <f t="shared" si="10"/>
        <v>33.700000000000003</v>
      </c>
      <c r="AU34" s="12">
        <f t="shared" si="10"/>
        <v>51.9</v>
      </c>
      <c r="AV34" s="12">
        <f t="shared" si="10"/>
        <v>37</v>
      </c>
      <c r="AW34" s="12">
        <f t="shared" si="11"/>
        <v>58.5</v>
      </c>
      <c r="AX34" s="12">
        <f t="shared" si="11"/>
        <v>29.2</v>
      </c>
      <c r="AY34" s="12"/>
      <c r="AZ34" s="12">
        <f t="shared" si="3"/>
        <v>63.6</v>
      </c>
      <c r="BA34" s="12">
        <f t="shared" si="4"/>
        <v>79.599999999999994</v>
      </c>
      <c r="BB34" s="12"/>
      <c r="BC34" s="12">
        <f t="shared" si="5"/>
        <v>40.799999999999997</v>
      </c>
      <c r="BD34" s="12">
        <f t="shared" si="6"/>
        <v>30.9</v>
      </c>
      <c r="BE34" s="12">
        <f t="shared" si="7"/>
        <v>74.599999999999994</v>
      </c>
    </row>
    <row r="35" spans="1:57" ht="15.75" customHeight="1">
      <c r="A35" s="1" t="s">
        <v>173</v>
      </c>
      <c r="B35" s="3" t="s">
        <v>140</v>
      </c>
      <c r="C35" s="4" t="s">
        <v>85</v>
      </c>
      <c r="D35" s="4">
        <v>38</v>
      </c>
      <c r="E35" s="4">
        <v>1076</v>
      </c>
      <c r="F35" s="4">
        <v>38</v>
      </c>
      <c r="G35" s="4">
        <v>1076</v>
      </c>
      <c r="H35" s="4">
        <v>0.51300000000000001</v>
      </c>
      <c r="I35" s="4">
        <v>6.5</v>
      </c>
      <c r="J35" s="4"/>
      <c r="K35" s="4">
        <v>0.90700000000000003</v>
      </c>
      <c r="L35" s="4">
        <v>0.41899999999999998</v>
      </c>
      <c r="M35" s="4">
        <v>0.36899999999999999</v>
      </c>
      <c r="N35" s="4">
        <v>9.0999999999999998E-2</v>
      </c>
      <c r="O35" s="4">
        <v>2.7E-2</v>
      </c>
      <c r="P35" s="4">
        <v>9.2999999999999999E-2</v>
      </c>
      <c r="Q35" s="4"/>
      <c r="R35" s="4">
        <v>0.53</v>
      </c>
      <c r="S35" s="4">
        <v>0.71199999999999997</v>
      </c>
      <c r="T35" s="4">
        <v>0.38900000000000001</v>
      </c>
      <c r="U35" s="4">
        <v>0.32500000000000001</v>
      </c>
      <c r="V35" s="4">
        <v>0.33300000000000002</v>
      </c>
      <c r="W35" s="4">
        <v>0.34100000000000003</v>
      </c>
      <c r="X35" s="4"/>
      <c r="Y35" s="4">
        <v>0.65400000000000003</v>
      </c>
      <c r="Z35" s="4">
        <v>1</v>
      </c>
      <c r="AA35" s="4"/>
      <c r="AB35" s="4">
        <v>0.24399999999999999</v>
      </c>
      <c r="AC35" s="4">
        <v>0.3</v>
      </c>
      <c r="AD35" s="10">
        <f t="shared" si="1"/>
        <v>0.68617800000000007</v>
      </c>
      <c r="AE35" s="9"/>
      <c r="AF35" s="9"/>
      <c r="AG35" s="12">
        <f t="shared" si="2"/>
        <v>59.599999999999994</v>
      </c>
      <c r="AH35" s="12">
        <f t="shared" si="2"/>
        <v>82.8</v>
      </c>
      <c r="AI35" s="12">
        <f t="shared" si="2"/>
        <v>82.8</v>
      </c>
      <c r="AJ35" s="12">
        <f t="shared" si="2"/>
        <v>8.2000000000000011</v>
      </c>
      <c r="AK35" s="12"/>
      <c r="AL35" s="12">
        <f t="shared" si="8"/>
        <v>90</v>
      </c>
      <c r="AM35" s="12">
        <f t="shared" si="8"/>
        <v>92.2</v>
      </c>
      <c r="AN35" s="12">
        <f t="shared" si="8"/>
        <v>81.699999999999989</v>
      </c>
      <c r="AO35" s="12">
        <f t="shared" si="8"/>
        <v>65.100000000000009</v>
      </c>
      <c r="AP35" s="12">
        <f t="shared" si="9"/>
        <v>34.799999999999997</v>
      </c>
      <c r="AQ35" s="12">
        <f t="shared" si="9"/>
        <v>9.9</v>
      </c>
      <c r="AR35" s="12"/>
      <c r="AS35" s="12">
        <f t="shared" si="10"/>
        <v>60.199999999999996</v>
      </c>
      <c r="AT35" s="12">
        <f t="shared" si="10"/>
        <v>64</v>
      </c>
      <c r="AU35" s="12">
        <f t="shared" si="10"/>
        <v>27.6</v>
      </c>
      <c r="AV35" s="12">
        <f t="shared" si="10"/>
        <v>40.799999999999997</v>
      </c>
      <c r="AW35" s="12">
        <f t="shared" si="11"/>
        <v>45.800000000000004</v>
      </c>
      <c r="AX35" s="12">
        <f t="shared" si="11"/>
        <v>56.899999999999991</v>
      </c>
      <c r="AY35" s="12"/>
      <c r="AZ35" s="12">
        <f t="shared" si="3"/>
        <v>43.100000000000009</v>
      </c>
      <c r="BA35" s="12">
        <f t="shared" si="4"/>
        <v>33.799999999999997</v>
      </c>
      <c r="BB35" s="12"/>
      <c r="BC35" s="12">
        <f t="shared" si="5"/>
        <v>66.2</v>
      </c>
      <c r="BD35" s="12">
        <f t="shared" si="6"/>
        <v>39.200000000000003</v>
      </c>
      <c r="BE35" s="12">
        <f t="shared" si="7"/>
        <v>60.8</v>
      </c>
    </row>
    <row r="36" spans="1:57" ht="15.75" customHeight="1">
      <c r="A36" s="1" t="s">
        <v>198</v>
      </c>
      <c r="B36" s="3" t="s">
        <v>137</v>
      </c>
      <c r="C36" s="4" t="s">
        <v>8</v>
      </c>
      <c r="D36" s="4">
        <v>40</v>
      </c>
      <c r="E36" s="4">
        <v>1065</v>
      </c>
      <c r="F36" s="4">
        <v>40</v>
      </c>
      <c r="G36" s="4">
        <v>1065</v>
      </c>
      <c r="H36" s="4">
        <v>0.39800000000000002</v>
      </c>
      <c r="I36" s="4">
        <v>17.100000000000001</v>
      </c>
      <c r="J36" s="4"/>
      <c r="K36" s="4">
        <v>0.47399999999999998</v>
      </c>
      <c r="L36" s="4">
        <v>0.15</v>
      </c>
      <c r="M36" s="4">
        <v>0.18</v>
      </c>
      <c r="N36" s="4">
        <v>9.1999999999999998E-2</v>
      </c>
      <c r="O36" s="4">
        <v>5.1999999999999998E-2</v>
      </c>
      <c r="P36" s="4">
        <v>0.52600000000000002</v>
      </c>
      <c r="Q36" s="4"/>
      <c r="R36" s="4">
        <v>0.49</v>
      </c>
      <c r="S36" s="4">
        <v>0.61199999999999999</v>
      </c>
      <c r="T36" s="4">
        <v>0.39</v>
      </c>
      <c r="U36" s="4">
        <v>0.53300000000000003</v>
      </c>
      <c r="V36" s="4">
        <v>0.41199999999999998</v>
      </c>
      <c r="W36" s="4">
        <v>0.314</v>
      </c>
      <c r="X36" s="4"/>
      <c r="Y36" s="4">
        <v>0.42099999999999999</v>
      </c>
      <c r="Z36" s="4">
        <v>0.70399999999999996</v>
      </c>
      <c r="AA36" s="4"/>
      <c r="AB36" s="4">
        <v>7.0000000000000007E-2</v>
      </c>
      <c r="AC36" s="4">
        <v>0.25</v>
      </c>
      <c r="AD36" s="10">
        <f t="shared" si="1"/>
        <v>0.56985799999999998</v>
      </c>
      <c r="AE36" s="9"/>
      <c r="AF36" s="9"/>
      <c r="AG36" s="12">
        <f t="shared" si="2"/>
        <v>72.899999999999991</v>
      </c>
      <c r="AH36" s="12">
        <f t="shared" si="2"/>
        <v>82.3</v>
      </c>
      <c r="AI36" s="12">
        <f t="shared" si="2"/>
        <v>27.6</v>
      </c>
      <c r="AJ36" s="12">
        <f t="shared" si="2"/>
        <v>79.5</v>
      </c>
      <c r="AK36" s="12"/>
      <c r="AL36" s="12">
        <f t="shared" si="8"/>
        <v>23.200000000000003</v>
      </c>
      <c r="AM36" s="12">
        <f t="shared" si="8"/>
        <v>34.799999999999997</v>
      </c>
      <c r="AN36" s="12">
        <f t="shared" si="8"/>
        <v>25.4</v>
      </c>
      <c r="AO36" s="12">
        <f t="shared" si="8"/>
        <v>67.400000000000006</v>
      </c>
      <c r="AP36" s="12">
        <f t="shared" si="9"/>
        <v>62.9</v>
      </c>
      <c r="AQ36" s="12">
        <f t="shared" si="9"/>
        <v>76.2</v>
      </c>
      <c r="AR36" s="12"/>
      <c r="AS36" s="12">
        <f t="shared" si="10"/>
        <v>39.700000000000003</v>
      </c>
      <c r="AT36" s="12">
        <f t="shared" si="10"/>
        <v>29.799999999999997</v>
      </c>
      <c r="AU36" s="12">
        <f t="shared" si="10"/>
        <v>28.7</v>
      </c>
      <c r="AV36" s="12">
        <f t="shared" si="10"/>
        <v>88.3</v>
      </c>
      <c r="AW36" s="12">
        <f t="shared" si="11"/>
        <v>69.599999999999994</v>
      </c>
      <c r="AX36" s="12">
        <f t="shared" si="11"/>
        <v>41.9</v>
      </c>
      <c r="AY36" s="12"/>
      <c r="AZ36" s="12">
        <f t="shared" si="3"/>
        <v>79.599999999999994</v>
      </c>
      <c r="BA36" s="12">
        <f t="shared" si="4"/>
        <v>85.7</v>
      </c>
      <c r="BB36" s="12"/>
      <c r="BC36" s="12">
        <f t="shared" si="5"/>
        <v>9.3000000000000007</v>
      </c>
      <c r="BD36" s="12">
        <f t="shared" si="6"/>
        <v>23.200000000000003</v>
      </c>
      <c r="BE36" s="12">
        <f t="shared" si="7"/>
        <v>80.2</v>
      </c>
    </row>
    <row r="37" spans="1:57" ht="15.75" customHeight="1">
      <c r="A37" s="1" t="s">
        <v>177</v>
      </c>
      <c r="B37" s="3" t="s">
        <v>131</v>
      </c>
      <c r="C37" s="4" t="s">
        <v>88</v>
      </c>
      <c r="D37" s="4">
        <v>40</v>
      </c>
      <c r="E37" s="4">
        <v>1063</v>
      </c>
      <c r="F37" s="4">
        <v>40</v>
      </c>
      <c r="G37" s="4">
        <v>1063</v>
      </c>
      <c r="H37" s="4">
        <v>0.54500000000000004</v>
      </c>
      <c r="I37" s="4">
        <v>2.8</v>
      </c>
      <c r="J37" s="4"/>
      <c r="K37" s="4">
        <v>1</v>
      </c>
      <c r="L37" s="4">
        <v>0.68400000000000005</v>
      </c>
      <c r="M37" s="4">
        <v>0.29199999999999998</v>
      </c>
      <c r="N37" s="4">
        <v>2.1999999999999999E-2</v>
      </c>
      <c r="O37" s="4">
        <v>2E-3</v>
      </c>
      <c r="P37" s="4">
        <v>0</v>
      </c>
      <c r="Q37" s="4"/>
      <c r="R37" s="4">
        <v>0.54500000000000004</v>
      </c>
      <c r="S37" s="4">
        <v>0.61199999999999999</v>
      </c>
      <c r="T37" s="4">
        <v>0.41699999999999998</v>
      </c>
      <c r="U37" s="4">
        <v>0.222</v>
      </c>
      <c r="V37" s="4">
        <v>0</v>
      </c>
      <c r="W37" s="4">
        <v>0</v>
      </c>
      <c r="X37" s="4"/>
      <c r="Y37" s="4">
        <v>0.78100000000000003</v>
      </c>
      <c r="Z37" s="4">
        <v>0</v>
      </c>
      <c r="AA37" s="4"/>
      <c r="AB37" s="4">
        <v>0</v>
      </c>
      <c r="AC37" s="4">
        <v>0</v>
      </c>
      <c r="AD37" s="10">
        <f t="shared" si="1"/>
        <v>0.78100000000000003</v>
      </c>
      <c r="AE37" s="9"/>
      <c r="AF37" s="9"/>
      <c r="AG37" s="12">
        <f t="shared" si="2"/>
        <v>72.899999999999991</v>
      </c>
      <c r="AH37" s="12">
        <f t="shared" si="2"/>
        <v>81.699999999999989</v>
      </c>
      <c r="AI37" s="12">
        <f t="shared" si="2"/>
        <v>91.7</v>
      </c>
      <c r="AJ37" s="12">
        <f t="shared" si="2"/>
        <v>0</v>
      </c>
      <c r="AK37" s="12"/>
      <c r="AL37" s="12">
        <f t="shared" si="8"/>
        <v>97.7</v>
      </c>
      <c r="AM37" s="12">
        <f t="shared" si="8"/>
        <v>100</v>
      </c>
      <c r="AN37" s="12">
        <f t="shared" si="8"/>
        <v>63.5</v>
      </c>
      <c r="AO37" s="12">
        <f t="shared" si="8"/>
        <v>14.899999999999999</v>
      </c>
      <c r="AP37" s="12">
        <f t="shared" si="9"/>
        <v>6.6000000000000005</v>
      </c>
      <c r="AQ37" s="12">
        <f t="shared" si="9"/>
        <v>0</v>
      </c>
      <c r="AR37" s="12"/>
      <c r="AS37" s="12">
        <f t="shared" si="10"/>
        <v>69</v>
      </c>
      <c r="AT37" s="12">
        <f t="shared" si="10"/>
        <v>29.799999999999997</v>
      </c>
      <c r="AU37" s="12">
        <f t="shared" si="10"/>
        <v>39.200000000000003</v>
      </c>
      <c r="AV37" s="12">
        <f t="shared" si="10"/>
        <v>25.900000000000002</v>
      </c>
      <c r="AW37" s="12">
        <f t="shared" si="11"/>
        <v>0</v>
      </c>
      <c r="AX37" s="12">
        <f t="shared" si="11"/>
        <v>0</v>
      </c>
      <c r="AY37" s="12"/>
      <c r="AZ37" s="12">
        <f t="shared" si="3"/>
        <v>16.600000000000009</v>
      </c>
      <c r="BA37" s="12">
        <f t="shared" si="4"/>
        <v>100</v>
      </c>
      <c r="BB37" s="12"/>
      <c r="BC37" s="12">
        <f t="shared" si="5"/>
        <v>0</v>
      </c>
      <c r="BD37" s="12">
        <f t="shared" si="6"/>
        <v>0</v>
      </c>
      <c r="BE37" s="12">
        <f t="shared" si="7"/>
        <v>37.6</v>
      </c>
    </row>
    <row r="38" spans="1:57" ht="15.75" customHeight="1">
      <c r="A38" s="1" t="s">
        <v>185</v>
      </c>
      <c r="B38" s="3" t="s">
        <v>137</v>
      </c>
      <c r="C38" s="4" t="s">
        <v>8</v>
      </c>
      <c r="D38" s="4">
        <v>39</v>
      </c>
      <c r="E38" s="4">
        <v>1056</v>
      </c>
      <c r="F38" s="4">
        <v>39</v>
      </c>
      <c r="G38" s="4">
        <v>1056</v>
      </c>
      <c r="H38" s="4">
        <v>0.372</v>
      </c>
      <c r="I38" s="4">
        <v>17.7</v>
      </c>
      <c r="J38" s="4"/>
      <c r="K38" s="4">
        <v>0.47899999999999998</v>
      </c>
      <c r="L38" s="4">
        <v>9.4E-2</v>
      </c>
      <c r="M38" s="4">
        <v>0.155</v>
      </c>
      <c r="N38" s="4">
        <v>0.13300000000000001</v>
      </c>
      <c r="O38" s="4">
        <v>9.7000000000000003E-2</v>
      </c>
      <c r="P38" s="4">
        <v>0.52100000000000002</v>
      </c>
      <c r="Q38" s="4"/>
      <c r="R38" s="4">
        <v>0.47299999999999998</v>
      </c>
      <c r="S38" s="4">
        <v>0.79300000000000004</v>
      </c>
      <c r="T38" s="4">
        <v>0.39600000000000002</v>
      </c>
      <c r="U38" s="4">
        <v>0.39</v>
      </c>
      <c r="V38" s="4">
        <v>0.4</v>
      </c>
      <c r="W38" s="4">
        <v>0.28000000000000003</v>
      </c>
      <c r="X38" s="4"/>
      <c r="Y38" s="4">
        <v>0.68600000000000005</v>
      </c>
      <c r="Z38" s="4">
        <v>1</v>
      </c>
      <c r="AA38" s="4"/>
      <c r="AB38" s="4">
        <v>0.224</v>
      </c>
      <c r="AC38" s="4">
        <v>0.33300000000000002</v>
      </c>
      <c r="AD38" s="10">
        <f t="shared" si="1"/>
        <v>0.84959399999999996</v>
      </c>
      <c r="AE38" s="9"/>
      <c r="AF38" s="9"/>
      <c r="AG38" s="12">
        <f t="shared" si="2"/>
        <v>64.600000000000009</v>
      </c>
      <c r="AH38" s="12">
        <f t="shared" si="2"/>
        <v>81.2</v>
      </c>
      <c r="AI38" s="12">
        <f t="shared" si="2"/>
        <v>16.5</v>
      </c>
      <c r="AJ38" s="12">
        <f t="shared" si="2"/>
        <v>82.3</v>
      </c>
      <c r="AK38" s="12"/>
      <c r="AL38" s="12">
        <f t="shared" si="8"/>
        <v>24.8</v>
      </c>
      <c r="AM38" s="12">
        <f t="shared" si="8"/>
        <v>12.7</v>
      </c>
      <c r="AN38" s="12">
        <f t="shared" si="8"/>
        <v>18.2</v>
      </c>
      <c r="AO38" s="12">
        <f t="shared" si="8"/>
        <v>83.399999999999991</v>
      </c>
      <c r="AP38" s="12">
        <f t="shared" si="9"/>
        <v>86.7</v>
      </c>
      <c r="AQ38" s="12">
        <f t="shared" si="9"/>
        <v>75.099999999999994</v>
      </c>
      <c r="AR38" s="12"/>
      <c r="AS38" s="12">
        <f t="shared" si="10"/>
        <v>29.2</v>
      </c>
      <c r="AT38" s="12">
        <f t="shared" si="10"/>
        <v>90</v>
      </c>
      <c r="AU38" s="12">
        <f t="shared" si="10"/>
        <v>31.4</v>
      </c>
      <c r="AV38" s="12">
        <f t="shared" si="10"/>
        <v>56.3</v>
      </c>
      <c r="AW38" s="12">
        <f t="shared" si="11"/>
        <v>62.9</v>
      </c>
      <c r="AX38" s="12">
        <f t="shared" si="11"/>
        <v>27.6</v>
      </c>
      <c r="AY38" s="12"/>
      <c r="AZ38" s="12">
        <f t="shared" si="3"/>
        <v>37.1</v>
      </c>
      <c r="BA38" s="12">
        <f t="shared" si="4"/>
        <v>33.799999999999997</v>
      </c>
      <c r="BB38" s="12"/>
      <c r="BC38" s="12">
        <f t="shared" si="5"/>
        <v>62.4</v>
      </c>
      <c r="BD38" s="12">
        <f t="shared" si="6"/>
        <v>43</v>
      </c>
      <c r="BE38" s="12">
        <f t="shared" si="7"/>
        <v>21</v>
      </c>
    </row>
    <row r="39" spans="1:57" ht="15.75" customHeight="1">
      <c r="A39" s="1" t="s">
        <v>111</v>
      </c>
      <c r="B39" s="3" t="s">
        <v>240</v>
      </c>
      <c r="C39" s="4" t="s">
        <v>112</v>
      </c>
      <c r="D39" s="4">
        <v>39</v>
      </c>
      <c r="E39" s="4">
        <v>1049</v>
      </c>
      <c r="F39" s="4">
        <v>39</v>
      </c>
      <c r="G39" s="4">
        <v>1049</v>
      </c>
      <c r="H39" s="4">
        <v>0.39600000000000002</v>
      </c>
      <c r="I39" s="4">
        <v>16</v>
      </c>
      <c r="J39" s="4"/>
      <c r="K39" s="4">
        <v>0.49099999999999999</v>
      </c>
      <c r="L39" s="4">
        <v>0.189</v>
      </c>
      <c r="M39" s="4">
        <v>0.189</v>
      </c>
      <c r="N39" s="4">
        <v>5.2999999999999999E-2</v>
      </c>
      <c r="O39" s="4">
        <v>5.8999999999999997E-2</v>
      </c>
      <c r="P39" s="4">
        <v>0.50900000000000001</v>
      </c>
      <c r="Q39" s="4"/>
      <c r="R39" s="4">
        <v>0.53600000000000003</v>
      </c>
      <c r="S39" s="4">
        <v>0.78100000000000003</v>
      </c>
      <c r="T39" s="4">
        <v>0.438</v>
      </c>
      <c r="U39" s="4">
        <v>0.27800000000000002</v>
      </c>
      <c r="V39" s="4">
        <v>0.3</v>
      </c>
      <c r="W39" s="4">
        <v>0.26200000000000001</v>
      </c>
      <c r="X39" s="4"/>
      <c r="Y39" s="4">
        <v>0.70799999999999996</v>
      </c>
      <c r="Z39" s="4">
        <v>0.93300000000000005</v>
      </c>
      <c r="AA39" s="4"/>
      <c r="AB39" s="4">
        <v>0.27300000000000002</v>
      </c>
      <c r="AC39" s="4">
        <v>0.27700000000000002</v>
      </c>
      <c r="AD39" s="10">
        <f t="shared" si="1"/>
        <v>0.82252499999999995</v>
      </c>
      <c r="AE39" s="9"/>
      <c r="AF39" s="9"/>
      <c r="AG39" s="12">
        <f t="shared" si="2"/>
        <v>64.600000000000009</v>
      </c>
      <c r="AH39" s="12">
        <f t="shared" si="2"/>
        <v>80.600000000000009</v>
      </c>
      <c r="AI39" s="12">
        <f t="shared" si="2"/>
        <v>26.5</v>
      </c>
      <c r="AJ39" s="12">
        <f t="shared" si="2"/>
        <v>67.900000000000006</v>
      </c>
      <c r="AK39" s="12"/>
      <c r="AL39" s="12">
        <f t="shared" si="8"/>
        <v>27</v>
      </c>
      <c r="AM39" s="12">
        <f t="shared" si="8"/>
        <v>46.400000000000006</v>
      </c>
      <c r="AN39" s="12">
        <f t="shared" si="8"/>
        <v>28.7</v>
      </c>
      <c r="AO39" s="12">
        <f t="shared" si="8"/>
        <v>39.200000000000003</v>
      </c>
      <c r="AP39" s="12">
        <f t="shared" si="9"/>
        <v>70.7</v>
      </c>
      <c r="AQ39" s="12">
        <f t="shared" si="9"/>
        <v>71.8</v>
      </c>
      <c r="AR39" s="12"/>
      <c r="AS39" s="12">
        <f t="shared" si="10"/>
        <v>63.5</v>
      </c>
      <c r="AT39" s="12">
        <f t="shared" si="10"/>
        <v>86.7</v>
      </c>
      <c r="AU39" s="12">
        <f t="shared" si="10"/>
        <v>47.5</v>
      </c>
      <c r="AV39" s="12">
        <f t="shared" si="10"/>
        <v>32.5</v>
      </c>
      <c r="AW39" s="12">
        <f t="shared" si="11"/>
        <v>43</v>
      </c>
      <c r="AX39" s="12">
        <f t="shared" si="11"/>
        <v>22.6</v>
      </c>
      <c r="AY39" s="12"/>
      <c r="AZ39" s="12">
        <f t="shared" si="3"/>
        <v>32.599999999999994</v>
      </c>
      <c r="BA39" s="12">
        <f t="shared" si="4"/>
        <v>52</v>
      </c>
      <c r="BB39" s="12"/>
      <c r="BC39" s="12">
        <f t="shared" si="5"/>
        <v>72.3</v>
      </c>
      <c r="BD39" s="12">
        <f t="shared" si="6"/>
        <v>33.700000000000003</v>
      </c>
      <c r="BE39" s="12">
        <f t="shared" si="7"/>
        <v>28.200000000000003</v>
      </c>
    </row>
    <row r="40" spans="1:57" ht="15.75" customHeight="1">
      <c r="A40" s="1" t="s">
        <v>148</v>
      </c>
      <c r="B40" s="3" t="s">
        <v>232</v>
      </c>
      <c r="C40" s="4" t="s">
        <v>85</v>
      </c>
      <c r="D40" s="4">
        <v>42</v>
      </c>
      <c r="E40" s="4">
        <v>1030</v>
      </c>
      <c r="F40" s="4">
        <v>42</v>
      </c>
      <c r="G40" s="4">
        <v>1030</v>
      </c>
      <c r="H40" s="4">
        <v>0.47199999999999998</v>
      </c>
      <c r="I40" s="4">
        <v>13.3</v>
      </c>
      <c r="J40" s="4"/>
      <c r="K40" s="4">
        <v>0.57699999999999996</v>
      </c>
      <c r="L40" s="4">
        <v>0.18099999999999999</v>
      </c>
      <c r="M40" s="4">
        <v>0.35299999999999998</v>
      </c>
      <c r="N40" s="4">
        <v>2.9000000000000001E-2</v>
      </c>
      <c r="O40" s="4">
        <v>1.4999999999999999E-2</v>
      </c>
      <c r="P40" s="4">
        <v>0.42299999999999999</v>
      </c>
      <c r="Q40" s="4"/>
      <c r="R40" s="4">
        <v>0.54500000000000004</v>
      </c>
      <c r="S40" s="4">
        <v>0.67700000000000005</v>
      </c>
      <c r="T40" s="4">
        <v>0.496</v>
      </c>
      <c r="U40" s="4">
        <v>0.4</v>
      </c>
      <c r="V40" s="4">
        <v>0.4</v>
      </c>
      <c r="W40" s="4">
        <v>0.372</v>
      </c>
      <c r="X40" s="4"/>
      <c r="Y40" s="4">
        <v>0.57399999999999995</v>
      </c>
      <c r="Z40" s="4">
        <v>0.96299999999999997</v>
      </c>
      <c r="AA40" s="4"/>
      <c r="AB40" s="4">
        <v>0.221</v>
      </c>
      <c r="AC40" s="4">
        <v>0.46899999999999997</v>
      </c>
      <c r="AD40" s="10">
        <f t="shared" si="1"/>
        <v>0.73854699999999984</v>
      </c>
      <c r="AE40" s="9"/>
      <c r="AF40" s="9"/>
      <c r="AG40" s="12">
        <f t="shared" si="2"/>
        <v>100</v>
      </c>
      <c r="AH40" s="12">
        <f t="shared" si="2"/>
        <v>80.100000000000009</v>
      </c>
      <c r="AI40" s="12">
        <f t="shared" si="2"/>
        <v>69.599999999999994</v>
      </c>
      <c r="AJ40" s="12">
        <f t="shared" si="2"/>
        <v>43.6</v>
      </c>
      <c r="AK40" s="12"/>
      <c r="AL40" s="12">
        <f t="shared" si="8"/>
        <v>44.1</v>
      </c>
      <c r="AM40" s="12">
        <f t="shared" si="8"/>
        <v>45.300000000000004</v>
      </c>
      <c r="AN40" s="12">
        <f t="shared" si="8"/>
        <v>79.5</v>
      </c>
      <c r="AO40" s="12">
        <f t="shared" si="8"/>
        <v>19.3</v>
      </c>
      <c r="AP40" s="12">
        <f t="shared" si="9"/>
        <v>18.2</v>
      </c>
      <c r="AQ40" s="12">
        <f t="shared" si="9"/>
        <v>55.2</v>
      </c>
      <c r="AR40" s="12"/>
      <c r="AS40" s="12">
        <f t="shared" si="10"/>
        <v>69</v>
      </c>
      <c r="AT40" s="12">
        <f t="shared" si="10"/>
        <v>51.9</v>
      </c>
      <c r="AU40" s="12">
        <f t="shared" si="10"/>
        <v>72.899999999999991</v>
      </c>
      <c r="AV40" s="12">
        <f t="shared" si="10"/>
        <v>57.999999999999993</v>
      </c>
      <c r="AW40" s="12">
        <f t="shared" si="11"/>
        <v>62.9</v>
      </c>
      <c r="AX40" s="12">
        <f t="shared" si="11"/>
        <v>70.7</v>
      </c>
      <c r="AY40" s="12"/>
      <c r="AZ40" s="12">
        <f t="shared" si="3"/>
        <v>56.4</v>
      </c>
      <c r="BA40" s="12">
        <f t="shared" si="4"/>
        <v>40.400000000000006</v>
      </c>
      <c r="BB40" s="12"/>
      <c r="BC40" s="12">
        <f t="shared" si="5"/>
        <v>61.8</v>
      </c>
      <c r="BD40" s="12">
        <f t="shared" si="6"/>
        <v>78.400000000000006</v>
      </c>
      <c r="BE40" s="12">
        <f t="shared" si="7"/>
        <v>48.1</v>
      </c>
    </row>
    <row r="41" spans="1:57" ht="15.75" customHeight="1">
      <c r="A41" s="1" t="s">
        <v>219</v>
      </c>
      <c r="B41" s="3" t="s">
        <v>161</v>
      </c>
      <c r="C41" s="4" t="s">
        <v>85</v>
      </c>
      <c r="D41" s="4">
        <v>41</v>
      </c>
      <c r="E41" s="4">
        <v>1028</v>
      </c>
      <c r="F41" s="4">
        <v>41</v>
      </c>
      <c r="G41" s="4">
        <v>1028</v>
      </c>
      <c r="H41" s="4">
        <v>0.46899999999999997</v>
      </c>
      <c r="I41" s="4">
        <v>12.4</v>
      </c>
      <c r="J41" s="4"/>
      <c r="K41" s="4">
        <v>0.60399999999999998</v>
      </c>
      <c r="L41" s="4">
        <v>0.307</v>
      </c>
      <c r="M41" s="4">
        <v>0.25800000000000001</v>
      </c>
      <c r="N41" s="4">
        <v>2.5000000000000001E-2</v>
      </c>
      <c r="O41" s="4">
        <v>1.4999999999999999E-2</v>
      </c>
      <c r="P41" s="4">
        <v>0.39600000000000002</v>
      </c>
      <c r="Q41" s="4"/>
      <c r="R41" s="4">
        <v>0.56899999999999995</v>
      </c>
      <c r="S41" s="4">
        <v>0.64</v>
      </c>
      <c r="T41" s="4">
        <v>0.52400000000000002</v>
      </c>
      <c r="U41" s="4">
        <v>0.25</v>
      </c>
      <c r="V41" s="4">
        <v>0.4</v>
      </c>
      <c r="W41" s="4">
        <v>0.318</v>
      </c>
      <c r="X41" s="4"/>
      <c r="Y41" s="4">
        <v>0.65200000000000002</v>
      </c>
      <c r="Z41" s="4">
        <v>0.95099999999999996</v>
      </c>
      <c r="AA41" s="4"/>
      <c r="AB41" s="4">
        <v>0.25600000000000001</v>
      </c>
      <c r="AC41" s="4">
        <v>0.39400000000000002</v>
      </c>
      <c r="AD41" s="10">
        <f t="shared" si="1"/>
        <v>0.77040399999999998</v>
      </c>
      <c r="AE41" s="9"/>
      <c r="AF41" s="9"/>
      <c r="AG41" s="12">
        <f t="shared" si="2"/>
        <v>85.6</v>
      </c>
      <c r="AH41" s="12">
        <f t="shared" si="2"/>
        <v>79.5</v>
      </c>
      <c r="AI41" s="12">
        <f t="shared" si="2"/>
        <v>67.900000000000006</v>
      </c>
      <c r="AJ41" s="12">
        <f t="shared" si="2"/>
        <v>34.200000000000003</v>
      </c>
      <c r="AK41" s="12"/>
      <c r="AL41" s="12">
        <f t="shared" si="8"/>
        <v>52.400000000000006</v>
      </c>
      <c r="AM41" s="12">
        <f t="shared" si="8"/>
        <v>79</v>
      </c>
      <c r="AN41" s="12">
        <f t="shared" si="8"/>
        <v>52.400000000000006</v>
      </c>
      <c r="AO41" s="12">
        <f t="shared" si="8"/>
        <v>16.5</v>
      </c>
      <c r="AP41" s="12">
        <f t="shared" si="9"/>
        <v>18.2</v>
      </c>
      <c r="AQ41" s="12">
        <f t="shared" si="9"/>
        <v>46.400000000000006</v>
      </c>
      <c r="AR41" s="12"/>
      <c r="AS41" s="12">
        <f t="shared" si="10"/>
        <v>81.699999999999989</v>
      </c>
      <c r="AT41" s="12">
        <f t="shared" si="10"/>
        <v>37.5</v>
      </c>
      <c r="AU41" s="12">
        <f t="shared" si="10"/>
        <v>82.8</v>
      </c>
      <c r="AV41" s="12">
        <f t="shared" si="10"/>
        <v>27.6</v>
      </c>
      <c r="AW41" s="12">
        <f t="shared" si="11"/>
        <v>62.9</v>
      </c>
      <c r="AX41" s="12">
        <f t="shared" si="11"/>
        <v>45.300000000000004</v>
      </c>
      <c r="AY41" s="12"/>
      <c r="AZ41" s="12">
        <f t="shared" si="3"/>
        <v>44.199999999999996</v>
      </c>
      <c r="BA41" s="12">
        <f t="shared" si="4"/>
        <v>45.4</v>
      </c>
      <c r="BB41" s="12"/>
      <c r="BC41" s="12">
        <f t="shared" si="5"/>
        <v>70.099999999999994</v>
      </c>
      <c r="BD41" s="12">
        <f t="shared" si="6"/>
        <v>61.3</v>
      </c>
      <c r="BE41" s="12">
        <f t="shared" si="7"/>
        <v>40.900000000000006</v>
      </c>
    </row>
    <row r="42" spans="1:57" ht="15.75" customHeight="1">
      <c r="A42" s="1" t="s">
        <v>182</v>
      </c>
      <c r="B42" s="3" t="s">
        <v>157</v>
      </c>
      <c r="C42" s="4" t="s">
        <v>183</v>
      </c>
      <c r="D42" s="4">
        <v>37</v>
      </c>
      <c r="E42" s="4">
        <v>1021</v>
      </c>
      <c r="F42" s="4">
        <v>37</v>
      </c>
      <c r="G42" s="4">
        <v>1021</v>
      </c>
      <c r="H42" s="4">
        <v>0.52700000000000002</v>
      </c>
      <c r="I42" s="4">
        <v>9.5</v>
      </c>
      <c r="J42" s="4"/>
      <c r="K42" s="4">
        <v>0.77600000000000002</v>
      </c>
      <c r="L42" s="4">
        <v>0.26</v>
      </c>
      <c r="M42" s="4">
        <v>0.43</v>
      </c>
      <c r="N42" s="4">
        <v>6.7000000000000004E-2</v>
      </c>
      <c r="O42" s="4">
        <v>1.7999999999999999E-2</v>
      </c>
      <c r="P42" s="4">
        <v>0.224</v>
      </c>
      <c r="Q42" s="4"/>
      <c r="R42" s="4">
        <v>0.55800000000000005</v>
      </c>
      <c r="S42" s="4">
        <v>0.70699999999999996</v>
      </c>
      <c r="T42" s="4">
        <v>0.505</v>
      </c>
      <c r="U42" s="4">
        <v>0.4</v>
      </c>
      <c r="V42" s="4">
        <v>0.25</v>
      </c>
      <c r="W42" s="4">
        <v>0.42</v>
      </c>
      <c r="X42" s="4"/>
      <c r="Y42" s="4">
        <v>0.60599999999999998</v>
      </c>
      <c r="Z42" s="4">
        <v>1</v>
      </c>
      <c r="AA42" s="4"/>
      <c r="AB42" s="4">
        <v>0.11</v>
      </c>
      <c r="AC42" s="4">
        <v>0.54500000000000004</v>
      </c>
      <c r="AD42" s="10">
        <f t="shared" si="1"/>
        <v>0.69425599999999998</v>
      </c>
      <c r="AE42" s="9"/>
      <c r="AF42" s="9"/>
      <c r="AG42" s="12">
        <f t="shared" si="2"/>
        <v>51.300000000000004</v>
      </c>
      <c r="AH42" s="12">
        <f t="shared" si="2"/>
        <v>79</v>
      </c>
      <c r="AI42" s="12">
        <f t="shared" si="2"/>
        <v>87.2</v>
      </c>
      <c r="AJ42" s="12">
        <f t="shared" si="2"/>
        <v>19.3</v>
      </c>
      <c r="AK42" s="12"/>
      <c r="AL42" s="12">
        <f t="shared" si="8"/>
        <v>81.699999999999989</v>
      </c>
      <c r="AM42" s="12">
        <f t="shared" si="8"/>
        <v>68.5</v>
      </c>
      <c r="AN42" s="12">
        <f t="shared" si="8"/>
        <v>91.7</v>
      </c>
      <c r="AO42" s="12">
        <f t="shared" si="8"/>
        <v>49.7</v>
      </c>
      <c r="AP42" s="12">
        <f t="shared" si="9"/>
        <v>22</v>
      </c>
      <c r="AQ42" s="12">
        <f t="shared" si="9"/>
        <v>18.2</v>
      </c>
      <c r="AR42" s="12"/>
      <c r="AS42" s="12">
        <f t="shared" si="10"/>
        <v>76.7</v>
      </c>
      <c r="AT42" s="12">
        <f t="shared" si="10"/>
        <v>62.4</v>
      </c>
      <c r="AU42" s="12">
        <f t="shared" si="10"/>
        <v>77.900000000000006</v>
      </c>
      <c r="AV42" s="12">
        <f t="shared" si="10"/>
        <v>57.999999999999993</v>
      </c>
      <c r="AW42" s="12">
        <f t="shared" si="11"/>
        <v>32</v>
      </c>
      <c r="AX42" s="12">
        <f t="shared" si="11"/>
        <v>90.600000000000009</v>
      </c>
      <c r="AY42" s="12"/>
      <c r="AZ42" s="12">
        <f t="shared" si="3"/>
        <v>52</v>
      </c>
      <c r="BA42" s="12">
        <f t="shared" si="4"/>
        <v>33.799999999999997</v>
      </c>
      <c r="BB42" s="12"/>
      <c r="BC42" s="12">
        <f t="shared" si="5"/>
        <v>19.3</v>
      </c>
      <c r="BD42" s="12">
        <f t="shared" si="6"/>
        <v>86.1</v>
      </c>
      <c r="BE42" s="12">
        <f t="shared" si="7"/>
        <v>59.699999999999996</v>
      </c>
    </row>
    <row r="43" spans="1:57" ht="15.75" customHeight="1">
      <c r="A43" s="1" t="s">
        <v>125</v>
      </c>
      <c r="B43" s="3" t="s">
        <v>117</v>
      </c>
      <c r="C43" s="4" t="s">
        <v>8</v>
      </c>
      <c r="D43" s="4">
        <v>39</v>
      </c>
      <c r="E43" s="4">
        <v>1020</v>
      </c>
      <c r="F43" s="4">
        <v>39</v>
      </c>
      <c r="G43" s="4">
        <v>1020</v>
      </c>
      <c r="H43" s="4">
        <v>0.35399999999999998</v>
      </c>
      <c r="I43" s="4">
        <v>20.5</v>
      </c>
      <c r="J43" s="4"/>
      <c r="K43" s="4">
        <v>0.28499999999999998</v>
      </c>
      <c r="L43" s="4">
        <v>5.0999999999999997E-2</v>
      </c>
      <c r="M43" s="4">
        <v>0.09</v>
      </c>
      <c r="N43" s="4">
        <v>9.4E-2</v>
      </c>
      <c r="O43" s="4">
        <v>5.0999999999999997E-2</v>
      </c>
      <c r="P43" s="4">
        <v>0.71499999999999997</v>
      </c>
      <c r="Q43" s="4"/>
      <c r="R43" s="4">
        <v>0.43</v>
      </c>
      <c r="S43" s="4">
        <v>0.35699999999999998</v>
      </c>
      <c r="T43" s="4">
        <v>0.56000000000000005</v>
      </c>
      <c r="U43" s="4">
        <v>0.5</v>
      </c>
      <c r="V43" s="4">
        <v>0.14299999999999999</v>
      </c>
      <c r="W43" s="4">
        <v>0.32300000000000001</v>
      </c>
      <c r="X43" s="4"/>
      <c r="Y43" s="4">
        <v>0.58799999999999997</v>
      </c>
      <c r="Z43" s="4">
        <v>0.95299999999999996</v>
      </c>
      <c r="AA43" s="4"/>
      <c r="AB43" s="4">
        <v>0.35399999999999998</v>
      </c>
      <c r="AC43" s="4">
        <v>0.35699999999999998</v>
      </c>
      <c r="AD43" s="10">
        <f t="shared" si="1"/>
        <v>0.84897499999999992</v>
      </c>
      <c r="AE43" s="9"/>
      <c r="AF43" s="9"/>
      <c r="AG43" s="12">
        <f t="shared" si="2"/>
        <v>64.600000000000009</v>
      </c>
      <c r="AH43" s="12">
        <f t="shared" si="2"/>
        <v>78.400000000000006</v>
      </c>
      <c r="AI43" s="12">
        <f t="shared" si="2"/>
        <v>9.9</v>
      </c>
      <c r="AJ43" s="12">
        <f t="shared" si="2"/>
        <v>96.6</v>
      </c>
      <c r="AK43" s="12"/>
      <c r="AL43" s="12">
        <f t="shared" si="8"/>
        <v>6</v>
      </c>
      <c r="AM43" s="12">
        <f t="shared" si="8"/>
        <v>5.5</v>
      </c>
      <c r="AN43" s="12">
        <f t="shared" si="8"/>
        <v>2.7</v>
      </c>
      <c r="AO43" s="12">
        <f t="shared" si="8"/>
        <v>70.099999999999994</v>
      </c>
      <c r="AP43" s="12">
        <f t="shared" si="9"/>
        <v>61.3</v>
      </c>
      <c r="AQ43" s="12">
        <f t="shared" si="9"/>
        <v>93.899999999999991</v>
      </c>
      <c r="AR43" s="12"/>
      <c r="AS43" s="12">
        <f t="shared" si="10"/>
        <v>14.899999999999999</v>
      </c>
      <c r="AT43" s="12">
        <f t="shared" si="10"/>
        <v>2.1999999999999997</v>
      </c>
      <c r="AU43" s="12">
        <f t="shared" si="10"/>
        <v>90.600000000000009</v>
      </c>
      <c r="AV43" s="12">
        <f t="shared" si="10"/>
        <v>81.2</v>
      </c>
      <c r="AW43" s="12">
        <f t="shared" si="11"/>
        <v>24.8</v>
      </c>
      <c r="AX43" s="12">
        <f t="shared" si="11"/>
        <v>46.400000000000006</v>
      </c>
      <c r="AY43" s="12"/>
      <c r="AZ43" s="12">
        <f t="shared" si="3"/>
        <v>54.699999999999996</v>
      </c>
      <c r="BA43" s="12">
        <f t="shared" si="4"/>
        <v>44.199999999999996</v>
      </c>
      <c r="BB43" s="12"/>
      <c r="BC43" s="12">
        <f t="shared" si="5"/>
        <v>83.899999999999991</v>
      </c>
      <c r="BD43" s="12">
        <f t="shared" si="6"/>
        <v>51.300000000000004</v>
      </c>
      <c r="BE43" s="12">
        <f t="shared" si="7"/>
        <v>21.599999999999994</v>
      </c>
    </row>
    <row r="44" spans="1:57" ht="15.75" customHeight="1">
      <c r="A44" s="1" t="s">
        <v>105</v>
      </c>
      <c r="B44" s="3" t="s">
        <v>91</v>
      </c>
      <c r="C44" s="4" t="s">
        <v>85</v>
      </c>
      <c r="D44" s="4">
        <v>41</v>
      </c>
      <c r="E44" s="4">
        <v>988</v>
      </c>
      <c r="F44" s="4">
        <v>41</v>
      </c>
      <c r="G44" s="4">
        <v>988</v>
      </c>
      <c r="H44" s="4">
        <v>0.36799999999999999</v>
      </c>
      <c r="I44" s="4">
        <v>18</v>
      </c>
      <c r="J44" s="4"/>
      <c r="K44" s="4">
        <v>0.372</v>
      </c>
      <c r="L44" s="4">
        <v>0.11600000000000001</v>
      </c>
      <c r="M44" s="4">
        <v>0.158</v>
      </c>
      <c r="N44" s="4">
        <v>5.6000000000000001E-2</v>
      </c>
      <c r="O44" s="4">
        <v>4.2000000000000003E-2</v>
      </c>
      <c r="P44" s="4">
        <v>0.628</v>
      </c>
      <c r="Q44" s="4"/>
      <c r="R44" s="4">
        <v>0.38700000000000001</v>
      </c>
      <c r="S44" s="4">
        <v>0.63600000000000001</v>
      </c>
      <c r="T44" s="4">
        <v>0.24399999999999999</v>
      </c>
      <c r="U44" s="4">
        <v>0.375</v>
      </c>
      <c r="V44" s="4">
        <v>0.25</v>
      </c>
      <c r="W44" s="4">
        <v>0.35799999999999998</v>
      </c>
      <c r="X44" s="4"/>
      <c r="Y44" s="4">
        <v>0.65900000000000003</v>
      </c>
      <c r="Z44" s="4">
        <v>0.98399999999999999</v>
      </c>
      <c r="AA44" s="4"/>
      <c r="AB44" s="4">
        <v>0.39100000000000001</v>
      </c>
      <c r="AC44" s="4">
        <v>0.38600000000000001</v>
      </c>
      <c r="AD44" s="10">
        <f t="shared" si="1"/>
        <v>0.86309999999999998</v>
      </c>
      <c r="AE44" s="9"/>
      <c r="AF44" s="9"/>
      <c r="AG44" s="12">
        <f t="shared" si="2"/>
        <v>85.6</v>
      </c>
      <c r="AH44" s="12">
        <f t="shared" si="2"/>
        <v>77.900000000000006</v>
      </c>
      <c r="AI44" s="12">
        <f t="shared" si="2"/>
        <v>13.8</v>
      </c>
      <c r="AJ44" s="12">
        <f t="shared" si="2"/>
        <v>83.399999999999991</v>
      </c>
      <c r="AK44" s="12"/>
      <c r="AL44" s="12">
        <f t="shared" si="8"/>
        <v>12.7</v>
      </c>
      <c r="AM44" s="12">
        <f t="shared" si="8"/>
        <v>20.9</v>
      </c>
      <c r="AN44" s="12">
        <f t="shared" si="8"/>
        <v>20.399999999999999</v>
      </c>
      <c r="AO44" s="12">
        <f t="shared" si="8"/>
        <v>41.4</v>
      </c>
      <c r="AP44" s="12">
        <f t="shared" si="9"/>
        <v>54.6</v>
      </c>
      <c r="AQ44" s="12">
        <f t="shared" si="9"/>
        <v>87.2</v>
      </c>
      <c r="AR44" s="12"/>
      <c r="AS44" s="12">
        <f t="shared" si="10"/>
        <v>7.7</v>
      </c>
      <c r="AT44" s="12">
        <f t="shared" si="10"/>
        <v>35.299999999999997</v>
      </c>
      <c r="AU44" s="12">
        <f t="shared" si="10"/>
        <v>2.1999999999999997</v>
      </c>
      <c r="AV44" s="12">
        <f t="shared" si="10"/>
        <v>52.400000000000006</v>
      </c>
      <c r="AW44" s="12">
        <f t="shared" si="11"/>
        <v>32</v>
      </c>
      <c r="AX44" s="12">
        <f t="shared" si="11"/>
        <v>63.5</v>
      </c>
      <c r="AY44" s="12"/>
      <c r="AZ44" s="12">
        <f t="shared" si="3"/>
        <v>42.000000000000007</v>
      </c>
      <c r="BA44" s="12">
        <f t="shared" si="4"/>
        <v>34.899999999999991</v>
      </c>
      <c r="BB44" s="12"/>
      <c r="BC44" s="12">
        <f t="shared" si="5"/>
        <v>86.7</v>
      </c>
      <c r="BD44" s="12">
        <f t="shared" si="6"/>
        <v>59.099999999999994</v>
      </c>
      <c r="BE44" s="12">
        <f t="shared" si="7"/>
        <v>17.200000000000003</v>
      </c>
    </row>
    <row r="45" spans="1:57" ht="15.75" customHeight="1">
      <c r="A45" s="1" t="s">
        <v>145</v>
      </c>
      <c r="B45" s="3" t="s">
        <v>114</v>
      </c>
      <c r="C45" s="4" t="s">
        <v>8</v>
      </c>
      <c r="D45" s="4">
        <v>39</v>
      </c>
      <c r="E45" s="4">
        <v>978</v>
      </c>
      <c r="F45" s="4">
        <v>39</v>
      </c>
      <c r="G45" s="4">
        <v>978</v>
      </c>
      <c r="H45" s="4">
        <v>0.442</v>
      </c>
      <c r="I45" s="4">
        <v>12.5</v>
      </c>
      <c r="J45" s="4"/>
      <c r="K45" s="4">
        <v>0.63300000000000001</v>
      </c>
      <c r="L45" s="4">
        <v>0.27</v>
      </c>
      <c r="M45" s="4">
        <v>0.317</v>
      </c>
      <c r="N45" s="4">
        <v>3.2000000000000001E-2</v>
      </c>
      <c r="O45" s="4">
        <v>1.4E-2</v>
      </c>
      <c r="P45" s="4">
        <v>0.36699999999999999</v>
      </c>
      <c r="Q45" s="4"/>
      <c r="R45" s="4">
        <v>0.52300000000000002</v>
      </c>
      <c r="S45" s="4">
        <v>0.69299999999999995</v>
      </c>
      <c r="T45" s="4">
        <v>0.42</v>
      </c>
      <c r="U45" s="4">
        <v>0.111</v>
      </c>
      <c r="V45" s="4">
        <v>0.5</v>
      </c>
      <c r="W45" s="4">
        <v>0.30399999999999999</v>
      </c>
      <c r="X45" s="4"/>
      <c r="Y45" s="4">
        <v>0.35899999999999999</v>
      </c>
      <c r="Z45" s="4">
        <v>0.80600000000000005</v>
      </c>
      <c r="AA45" s="4"/>
      <c r="AB45" s="4">
        <v>0.14699999999999999</v>
      </c>
      <c r="AC45" s="4">
        <v>0.2</v>
      </c>
      <c r="AD45" s="10">
        <f t="shared" si="1"/>
        <v>0.52304899999999999</v>
      </c>
      <c r="AE45" s="9"/>
      <c r="AF45" s="9"/>
      <c r="AG45" s="12">
        <f t="shared" si="2"/>
        <v>64.600000000000009</v>
      </c>
      <c r="AH45" s="12">
        <f t="shared" si="2"/>
        <v>77.3</v>
      </c>
      <c r="AI45" s="12">
        <f t="shared" si="2"/>
        <v>52.400000000000006</v>
      </c>
      <c r="AJ45" s="12">
        <f t="shared" si="2"/>
        <v>35.9</v>
      </c>
      <c r="AK45" s="12"/>
      <c r="AL45" s="12">
        <f t="shared" si="8"/>
        <v>58.5</v>
      </c>
      <c r="AM45" s="12">
        <f t="shared" si="8"/>
        <v>71.2</v>
      </c>
      <c r="AN45" s="12">
        <f t="shared" si="8"/>
        <v>70.7</v>
      </c>
      <c r="AO45" s="12">
        <f t="shared" si="8"/>
        <v>22</v>
      </c>
      <c r="AP45" s="12">
        <f t="shared" si="9"/>
        <v>16</v>
      </c>
      <c r="AQ45" s="12">
        <f t="shared" si="9"/>
        <v>41.4</v>
      </c>
      <c r="AR45" s="12"/>
      <c r="AS45" s="12">
        <f t="shared" si="10"/>
        <v>55.800000000000004</v>
      </c>
      <c r="AT45" s="12">
        <f t="shared" si="10"/>
        <v>58.5</v>
      </c>
      <c r="AU45" s="12">
        <f t="shared" si="10"/>
        <v>40.300000000000004</v>
      </c>
      <c r="AV45" s="12">
        <f t="shared" si="10"/>
        <v>19.3</v>
      </c>
      <c r="AW45" s="12">
        <f t="shared" si="11"/>
        <v>80.100000000000009</v>
      </c>
      <c r="AX45" s="12">
        <f t="shared" si="11"/>
        <v>37.5</v>
      </c>
      <c r="AY45" s="12"/>
      <c r="AZ45" s="12">
        <f t="shared" si="3"/>
        <v>85.7</v>
      </c>
      <c r="BA45" s="12">
        <f t="shared" si="4"/>
        <v>76.3</v>
      </c>
      <c r="BB45" s="12"/>
      <c r="BC45" s="12">
        <f t="shared" si="5"/>
        <v>28.7</v>
      </c>
      <c r="BD45" s="12">
        <f t="shared" si="6"/>
        <v>17.599999999999998</v>
      </c>
      <c r="BE45" s="12">
        <f t="shared" si="7"/>
        <v>89.6</v>
      </c>
    </row>
    <row r="46" spans="1:57" ht="15.75" customHeight="1">
      <c r="A46" s="1" t="s">
        <v>170</v>
      </c>
      <c r="B46" s="3" t="s">
        <v>107</v>
      </c>
      <c r="C46" s="4" t="s">
        <v>8</v>
      </c>
      <c r="D46" s="4">
        <v>41</v>
      </c>
      <c r="E46" s="4">
        <v>968</v>
      </c>
      <c r="F46" s="4">
        <v>41</v>
      </c>
      <c r="G46" s="4">
        <v>968</v>
      </c>
      <c r="H46" s="4">
        <v>0.374</v>
      </c>
      <c r="I46" s="4">
        <v>15.4</v>
      </c>
      <c r="J46" s="4"/>
      <c r="K46" s="4">
        <v>0.56499999999999995</v>
      </c>
      <c r="L46" s="4">
        <v>0.129</v>
      </c>
      <c r="M46" s="4">
        <v>0.252</v>
      </c>
      <c r="N46" s="4">
        <v>0.14699999999999999</v>
      </c>
      <c r="O46" s="4">
        <v>3.5999999999999997E-2</v>
      </c>
      <c r="P46" s="4">
        <v>0.435</v>
      </c>
      <c r="Q46" s="4"/>
      <c r="R46" s="4">
        <v>0.40799999999999997</v>
      </c>
      <c r="S46" s="4">
        <v>0.55600000000000005</v>
      </c>
      <c r="T46" s="4">
        <v>0.34300000000000003</v>
      </c>
      <c r="U46" s="4">
        <v>0.439</v>
      </c>
      <c r="V46" s="4">
        <v>0.2</v>
      </c>
      <c r="W46" s="4">
        <v>0.33100000000000002</v>
      </c>
      <c r="X46" s="4"/>
      <c r="Y46" s="4">
        <v>0.42199999999999999</v>
      </c>
      <c r="Z46" s="4">
        <v>0.85</v>
      </c>
      <c r="AA46" s="4"/>
      <c r="AB46" s="4">
        <v>0.14000000000000001</v>
      </c>
      <c r="AC46" s="4">
        <v>0.41199999999999998</v>
      </c>
      <c r="AD46" s="10">
        <f t="shared" si="1"/>
        <v>0.60817999999999994</v>
      </c>
      <c r="AE46" s="9"/>
      <c r="AF46" s="9"/>
      <c r="AG46" s="12">
        <f t="shared" si="2"/>
        <v>85.6</v>
      </c>
      <c r="AH46" s="12">
        <f t="shared" si="2"/>
        <v>76.7</v>
      </c>
      <c r="AI46" s="12">
        <f t="shared" si="2"/>
        <v>18.2</v>
      </c>
      <c r="AJ46" s="12">
        <f t="shared" si="2"/>
        <v>60.199999999999996</v>
      </c>
      <c r="AK46" s="12"/>
      <c r="AL46" s="12">
        <f t="shared" si="8"/>
        <v>43</v>
      </c>
      <c r="AM46" s="12">
        <f t="shared" si="8"/>
        <v>26.5</v>
      </c>
      <c r="AN46" s="12">
        <f t="shared" si="8"/>
        <v>50.8</v>
      </c>
      <c r="AO46" s="12">
        <f t="shared" si="8"/>
        <v>87.2</v>
      </c>
      <c r="AP46" s="12">
        <f t="shared" si="9"/>
        <v>46.400000000000006</v>
      </c>
      <c r="AQ46" s="12">
        <f t="shared" si="9"/>
        <v>56.899999999999991</v>
      </c>
      <c r="AR46" s="12"/>
      <c r="AS46" s="12">
        <f t="shared" si="10"/>
        <v>11.600000000000001</v>
      </c>
      <c r="AT46" s="12">
        <f t="shared" si="10"/>
        <v>13.200000000000001</v>
      </c>
      <c r="AU46" s="12">
        <f t="shared" si="10"/>
        <v>17.599999999999998</v>
      </c>
      <c r="AV46" s="12">
        <f t="shared" si="10"/>
        <v>70.7</v>
      </c>
      <c r="AW46" s="12">
        <f t="shared" si="11"/>
        <v>27.6</v>
      </c>
      <c r="AX46" s="12">
        <f t="shared" si="11"/>
        <v>49.7</v>
      </c>
      <c r="AY46" s="12"/>
      <c r="AZ46" s="12">
        <f t="shared" si="3"/>
        <v>79.099999999999994</v>
      </c>
      <c r="BA46" s="12">
        <f t="shared" si="4"/>
        <v>70.8</v>
      </c>
      <c r="BB46" s="12"/>
      <c r="BC46" s="12">
        <f t="shared" si="5"/>
        <v>27.6</v>
      </c>
      <c r="BD46" s="12">
        <f t="shared" si="6"/>
        <v>65.7</v>
      </c>
      <c r="BE46" s="12">
        <f t="shared" si="7"/>
        <v>75.2</v>
      </c>
    </row>
    <row r="47" spans="1:57" ht="15.75" customHeight="1">
      <c r="A47" s="1" t="s">
        <v>89</v>
      </c>
      <c r="B47" s="3" t="s">
        <v>84</v>
      </c>
      <c r="C47" s="4" t="s">
        <v>8</v>
      </c>
      <c r="D47" s="4">
        <v>41</v>
      </c>
      <c r="E47" s="4">
        <v>960</v>
      </c>
      <c r="F47" s="4">
        <v>41</v>
      </c>
      <c r="G47" s="4">
        <v>960</v>
      </c>
      <c r="H47" s="4">
        <v>0.54700000000000004</v>
      </c>
      <c r="I47" s="4">
        <v>8.6</v>
      </c>
      <c r="J47" s="4"/>
      <c r="K47" s="4">
        <v>0.80600000000000005</v>
      </c>
      <c r="L47" s="4">
        <v>0.34899999999999998</v>
      </c>
      <c r="M47" s="4">
        <v>0.38800000000000001</v>
      </c>
      <c r="N47" s="4">
        <v>3.9E-2</v>
      </c>
      <c r="O47" s="4">
        <v>3.1E-2</v>
      </c>
      <c r="P47" s="4">
        <v>0.19400000000000001</v>
      </c>
      <c r="Q47" s="4"/>
      <c r="R47" s="4">
        <v>0.59599999999999997</v>
      </c>
      <c r="S47" s="4">
        <v>0.81100000000000005</v>
      </c>
      <c r="T47" s="4">
        <v>0.45</v>
      </c>
      <c r="U47" s="4">
        <v>0.4</v>
      </c>
      <c r="V47" s="4">
        <v>0.25</v>
      </c>
      <c r="W47" s="4">
        <v>0.34</v>
      </c>
      <c r="X47" s="4"/>
      <c r="Y47" s="4">
        <v>0.45200000000000001</v>
      </c>
      <c r="Z47" s="4">
        <v>0.88200000000000001</v>
      </c>
      <c r="AA47" s="4"/>
      <c r="AB47" s="4">
        <v>0.18</v>
      </c>
      <c r="AC47" s="4">
        <v>0.44400000000000001</v>
      </c>
      <c r="AD47" s="10">
        <f t="shared" si="1"/>
        <v>0.53542000000000001</v>
      </c>
      <c r="AE47" s="9"/>
      <c r="AF47" s="9"/>
      <c r="AG47" s="12">
        <f t="shared" si="2"/>
        <v>85.6</v>
      </c>
      <c r="AH47" s="12">
        <f t="shared" si="2"/>
        <v>75.599999999999994</v>
      </c>
      <c r="AI47" s="12">
        <f t="shared" si="2"/>
        <v>92.2</v>
      </c>
      <c r="AJ47" s="12">
        <f t="shared" si="2"/>
        <v>15.4</v>
      </c>
      <c r="AK47" s="12"/>
      <c r="AL47" s="12">
        <f t="shared" si="8"/>
        <v>85</v>
      </c>
      <c r="AM47" s="12">
        <f t="shared" si="8"/>
        <v>85.6</v>
      </c>
      <c r="AN47" s="12">
        <f t="shared" si="8"/>
        <v>86.1</v>
      </c>
      <c r="AO47" s="12">
        <f t="shared" si="8"/>
        <v>30.3</v>
      </c>
      <c r="AP47" s="12">
        <f t="shared" si="9"/>
        <v>40.799999999999997</v>
      </c>
      <c r="AQ47" s="12">
        <f t="shared" si="9"/>
        <v>14.899999999999999</v>
      </c>
      <c r="AR47" s="12"/>
      <c r="AS47" s="12">
        <f t="shared" si="10"/>
        <v>91.100000000000009</v>
      </c>
      <c r="AT47" s="12">
        <f t="shared" si="10"/>
        <v>92.2</v>
      </c>
      <c r="AU47" s="12">
        <f t="shared" si="10"/>
        <v>50.2</v>
      </c>
      <c r="AV47" s="12">
        <f t="shared" si="10"/>
        <v>57.999999999999993</v>
      </c>
      <c r="AW47" s="12">
        <f t="shared" si="11"/>
        <v>32</v>
      </c>
      <c r="AX47" s="12">
        <f t="shared" si="11"/>
        <v>56.3</v>
      </c>
      <c r="AY47" s="12"/>
      <c r="AZ47" s="12">
        <f t="shared" si="3"/>
        <v>72.400000000000006</v>
      </c>
      <c r="BA47" s="12">
        <f t="shared" si="4"/>
        <v>64.7</v>
      </c>
      <c r="BB47" s="12"/>
      <c r="BC47" s="12">
        <f t="shared" si="5"/>
        <v>47.5</v>
      </c>
      <c r="BD47" s="12">
        <f t="shared" si="6"/>
        <v>72.3</v>
      </c>
      <c r="BE47" s="12">
        <f t="shared" si="7"/>
        <v>86.2</v>
      </c>
    </row>
    <row r="48" spans="1:57" ht="15.75" customHeight="1">
      <c r="A48" s="1" t="s">
        <v>175</v>
      </c>
      <c r="B48" s="3" t="s">
        <v>232</v>
      </c>
      <c r="C48" s="4" t="s">
        <v>8</v>
      </c>
      <c r="D48" s="4">
        <v>37</v>
      </c>
      <c r="E48" s="4">
        <v>960</v>
      </c>
      <c r="F48" s="4">
        <v>37</v>
      </c>
      <c r="G48" s="4">
        <v>960</v>
      </c>
      <c r="H48" s="4">
        <v>0.45700000000000002</v>
      </c>
      <c r="I48" s="4">
        <v>11.1</v>
      </c>
      <c r="J48" s="4"/>
      <c r="K48" s="4">
        <v>0.77100000000000002</v>
      </c>
      <c r="L48" s="4">
        <v>0.2</v>
      </c>
      <c r="M48" s="4">
        <v>0.40799999999999997</v>
      </c>
      <c r="N48" s="4">
        <v>8.1000000000000003E-2</v>
      </c>
      <c r="O48" s="4">
        <v>8.3000000000000004E-2</v>
      </c>
      <c r="P48" s="4">
        <v>0.22900000000000001</v>
      </c>
      <c r="Q48" s="4"/>
      <c r="R48" s="4">
        <v>0.47499999999999998</v>
      </c>
      <c r="S48" s="4">
        <v>0.58399999999999996</v>
      </c>
      <c r="T48" s="4">
        <v>0.46500000000000002</v>
      </c>
      <c r="U48" s="4">
        <v>0.45200000000000001</v>
      </c>
      <c r="V48" s="4">
        <v>0.28100000000000003</v>
      </c>
      <c r="W48" s="4">
        <v>0.39800000000000002</v>
      </c>
      <c r="X48" s="4"/>
      <c r="Y48" s="4">
        <v>0.23400000000000001</v>
      </c>
      <c r="Z48" s="4">
        <v>0.45700000000000002</v>
      </c>
      <c r="AA48" s="4"/>
      <c r="AB48" s="4">
        <v>9.0999999999999998E-2</v>
      </c>
      <c r="AC48" s="4">
        <v>0.375</v>
      </c>
      <c r="AD48" s="10">
        <f t="shared" si="1"/>
        <v>0.28506700000000001</v>
      </c>
      <c r="AE48" s="9"/>
      <c r="AF48" s="9"/>
      <c r="AG48" s="12">
        <f t="shared" si="2"/>
        <v>51.300000000000004</v>
      </c>
      <c r="AH48" s="12">
        <f t="shared" si="2"/>
        <v>75.599999999999994</v>
      </c>
      <c r="AI48" s="12">
        <f t="shared" si="2"/>
        <v>60.199999999999996</v>
      </c>
      <c r="AJ48" s="12">
        <f t="shared" si="2"/>
        <v>24.3</v>
      </c>
      <c r="AK48" s="12"/>
      <c r="AL48" s="12">
        <f t="shared" si="8"/>
        <v>80.100000000000009</v>
      </c>
      <c r="AM48" s="12">
        <f t="shared" si="8"/>
        <v>52.400000000000006</v>
      </c>
      <c r="AN48" s="12">
        <f t="shared" si="8"/>
        <v>89.5</v>
      </c>
      <c r="AO48" s="12">
        <f t="shared" si="8"/>
        <v>61.3</v>
      </c>
      <c r="AP48" s="12">
        <f t="shared" si="9"/>
        <v>83.899999999999991</v>
      </c>
      <c r="AQ48" s="12">
        <f t="shared" si="9"/>
        <v>19.8</v>
      </c>
      <c r="AR48" s="12"/>
      <c r="AS48" s="12">
        <f t="shared" si="10"/>
        <v>31.4</v>
      </c>
      <c r="AT48" s="12">
        <f t="shared" si="10"/>
        <v>20.9</v>
      </c>
      <c r="AU48" s="12">
        <f t="shared" si="10"/>
        <v>57.4</v>
      </c>
      <c r="AV48" s="12">
        <f t="shared" si="10"/>
        <v>73.400000000000006</v>
      </c>
      <c r="AW48" s="12">
        <f t="shared" si="11"/>
        <v>40.799999999999997</v>
      </c>
      <c r="AX48" s="12">
        <f t="shared" si="11"/>
        <v>85.6</v>
      </c>
      <c r="AY48" s="12"/>
      <c r="AZ48" s="12">
        <f t="shared" si="3"/>
        <v>94.5</v>
      </c>
      <c r="BA48" s="12">
        <f t="shared" si="4"/>
        <v>94</v>
      </c>
      <c r="BB48" s="12"/>
      <c r="BC48" s="12">
        <f t="shared" si="5"/>
        <v>13.8</v>
      </c>
      <c r="BD48" s="12">
        <f t="shared" si="6"/>
        <v>55.800000000000004</v>
      </c>
      <c r="BE48" s="12">
        <f t="shared" si="7"/>
        <v>98.9</v>
      </c>
    </row>
    <row r="49" spans="1:57" ht="15.75" customHeight="1">
      <c r="A49" s="1" t="s">
        <v>200</v>
      </c>
      <c r="B49" s="3" t="s">
        <v>99</v>
      </c>
      <c r="C49" s="4" t="s">
        <v>8</v>
      </c>
      <c r="D49" s="4">
        <v>30</v>
      </c>
      <c r="E49" s="4">
        <v>950</v>
      </c>
      <c r="F49" s="4">
        <v>30</v>
      </c>
      <c r="G49" s="4">
        <v>950</v>
      </c>
      <c r="H49" s="4">
        <v>0.45600000000000002</v>
      </c>
      <c r="I49" s="4">
        <v>17.399999999999999</v>
      </c>
      <c r="J49" s="4"/>
      <c r="K49" s="4">
        <v>0.54400000000000004</v>
      </c>
      <c r="L49" s="4">
        <v>8.2000000000000003E-2</v>
      </c>
      <c r="M49" s="4">
        <v>0.13700000000000001</v>
      </c>
      <c r="N49" s="4">
        <v>0.17499999999999999</v>
      </c>
      <c r="O49" s="4">
        <v>0.14899999999999999</v>
      </c>
      <c r="P49" s="4">
        <v>0.45600000000000002</v>
      </c>
      <c r="Q49" s="4"/>
      <c r="R49" s="4">
        <v>0.505</v>
      </c>
      <c r="S49" s="4">
        <v>0.71399999999999997</v>
      </c>
      <c r="T49" s="4">
        <v>0.34</v>
      </c>
      <c r="U49" s="4">
        <v>0.61699999999999999</v>
      </c>
      <c r="V49" s="4">
        <v>0.41199999999999998</v>
      </c>
      <c r="W49" s="4">
        <v>0.39700000000000002</v>
      </c>
      <c r="X49" s="4"/>
      <c r="Y49" s="4">
        <v>0.72299999999999998</v>
      </c>
      <c r="Z49" s="4">
        <v>0.93500000000000005</v>
      </c>
      <c r="AA49" s="4"/>
      <c r="AB49" s="4">
        <v>0.154</v>
      </c>
      <c r="AC49" s="4">
        <v>0.375</v>
      </c>
      <c r="AD49" s="10">
        <f t="shared" si="1"/>
        <v>0.81967199999999996</v>
      </c>
      <c r="AE49" s="9"/>
      <c r="AF49" s="9"/>
      <c r="AG49" s="12">
        <f t="shared" si="2"/>
        <v>32</v>
      </c>
      <c r="AH49" s="12">
        <f t="shared" si="2"/>
        <v>75.099999999999994</v>
      </c>
      <c r="AI49" s="12">
        <f t="shared" si="2"/>
        <v>59.099999999999994</v>
      </c>
      <c r="AJ49" s="12">
        <f t="shared" si="2"/>
        <v>80.600000000000009</v>
      </c>
      <c r="AK49" s="12"/>
      <c r="AL49" s="12">
        <f t="shared" si="8"/>
        <v>39.200000000000003</v>
      </c>
      <c r="AM49" s="12">
        <f t="shared" si="8"/>
        <v>10.4</v>
      </c>
      <c r="AN49" s="12">
        <f t="shared" si="8"/>
        <v>12.7</v>
      </c>
      <c r="AO49" s="12">
        <f t="shared" si="8"/>
        <v>93.899999999999991</v>
      </c>
      <c r="AP49" s="12">
        <f t="shared" si="9"/>
        <v>98.8</v>
      </c>
      <c r="AQ49" s="12">
        <f t="shared" si="9"/>
        <v>60.699999999999996</v>
      </c>
      <c r="AR49" s="12"/>
      <c r="AS49" s="12">
        <f t="shared" si="10"/>
        <v>44.7</v>
      </c>
      <c r="AT49" s="12">
        <f t="shared" si="10"/>
        <v>65.100000000000009</v>
      </c>
      <c r="AU49" s="12">
        <f t="shared" si="10"/>
        <v>17.100000000000001</v>
      </c>
      <c r="AV49" s="12">
        <f t="shared" si="10"/>
        <v>93.300000000000011</v>
      </c>
      <c r="AW49" s="12">
        <f t="shared" si="11"/>
        <v>69.599999999999994</v>
      </c>
      <c r="AX49" s="12">
        <f t="shared" si="11"/>
        <v>84.5</v>
      </c>
      <c r="AY49" s="12"/>
      <c r="AZ49" s="12">
        <f t="shared" si="3"/>
        <v>27.100000000000009</v>
      </c>
      <c r="BA49" s="12">
        <f t="shared" si="4"/>
        <v>50.9</v>
      </c>
      <c r="BB49" s="12"/>
      <c r="BC49" s="12">
        <f t="shared" si="5"/>
        <v>32</v>
      </c>
      <c r="BD49" s="12">
        <f t="shared" si="6"/>
        <v>55.800000000000004</v>
      </c>
      <c r="BE49" s="12">
        <f t="shared" si="7"/>
        <v>29.900000000000006</v>
      </c>
    </row>
    <row r="50" spans="1:57" ht="15.75" customHeight="1">
      <c r="A50" s="1" t="s">
        <v>165</v>
      </c>
      <c r="B50" s="3" t="s">
        <v>161</v>
      </c>
      <c r="C50" s="4" t="s">
        <v>8</v>
      </c>
      <c r="D50" s="4">
        <v>32</v>
      </c>
      <c r="E50" s="4">
        <v>944</v>
      </c>
      <c r="F50" s="4">
        <v>32</v>
      </c>
      <c r="G50" s="4">
        <v>944</v>
      </c>
      <c r="H50" s="4">
        <v>0.441</v>
      </c>
      <c r="I50" s="4">
        <v>17.899999999999999</v>
      </c>
      <c r="J50" s="4"/>
      <c r="K50" s="4">
        <v>0.44700000000000001</v>
      </c>
      <c r="L50" s="4">
        <v>0.13200000000000001</v>
      </c>
      <c r="M50" s="4">
        <v>0.14799999999999999</v>
      </c>
      <c r="N50" s="4">
        <v>9.2999999999999999E-2</v>
      </c>
      <c r="O50" s="4">
        <v>7.4999999999999997E-2</v>
      </c>
      <c r="P50" s="4">
        <v>0.55300000000000005</v>
      </c>
      <c r="Q50" s="4"/>
      <c r="R50" s="4">
        <v>0.51100000000000001</v>
      </c>
      <c r="S50" s="4">
        <v>0.78500000000000003</v>
      </c>
      <c r="T50" s="4">
        <v>0.38400000000000001</v>
      </c>
      <c r="U50" s="4">
        <v>0.41299999999999998</v>
      </c>
      <c r="V50" s="4">
        <v>0.40500000000000003</v>
      </c>
      <c r="W50" s="4">
        <v>0.38500000000000001</v>
      </c>
      <c r="X50" s="4"/>
      <c r="Y50" s="4">
        <v>0.41599999999999998</v>
      </c>
      <c r="Z50" s="4">
        <v>0.64800000000000002</v>
      </c>
      <c r="AA50" s="4"/>
      <c r="AB50" s="4">
        <v>0.11700000000000001</v>
      </c>
      <c r="AC50" s="4">
        <v>0.375</v>
      </c>
      <c r="AD50" s="10">
        <f t="shared" si="1"/>
        <v>0.54429600000000011</v>
      </c>
      <c r="AE50" s="9"/>
      <c r="AF50" s="9"/>
      <c r="AG50" s="12">
        <f t="shared" si="2"/>
        <v>35.299999999999997</v>
      </c>
      <c r="AH50" s="12">
        <f t="shared" si="2"/>
        <v>74.5</v>
      </c>
      <c r="AI50" s="12">
        <f t="shared" si="2"/>
        <v>51.9</v>
      </c>
      <c r="AJ50" s="12">
        <f t="shared" si="2"/>
        <v>82.8</v>
      </c>
      <c r="AK50" s="12"/>
      <c r="AL50" s="12">
        <f t="shared" si="8"/>
        <v>19.3</v>
      </c>
      <c r="AM50" s="12">
        <f t="shared" si="8"/>
        <v>27.6</v>
      </c>
      <c r="AN50" s="12">
        <f t="shared" si="8"/>
        <v>15.4</v>
      </c>
      <c r="AO50" s="12">
        <f t="shared" si="8"/>
        <v>68.5</v>
      </c>
      <c r="AP50" s="12">
        <f t="shared" si="9"/>
        <v>80.100000000000009</v>
      </c>
      <c r="AQ50" s="12">
        <f t="shared" si="9"/>
        <v>80.600000000000009</v>
      </c>
      <c r="AR50" s="12"/>
      <c r="AS50" s="12">
        <f t="shared" si="10"/>
        <v>46.400000000000006</v>
      </c>
      <c r="AT50" s="12">
        <f t="shared" si="10"/>
        <v>87.8</v>
      </c>
      <c r="AU50" s="12">
        <f t="shared" si="10"/>
        <v>25.4</v>
      </c>
      <c r="AV50" s="12">
        <f t="shared" si="10"/>
        <v>64.600000000000009</v>
      </c>
      <c r="AW50" s="12">
        <f t="shared" si="11"/>
        <v>67.900000000000006</v>
      </c>
      <c r="AX50" s="12">
        <f t="shared" si="11"/>
        <v>76.2</v>
      </c>
      <c r="AY50" s="12"/>
      <c r="AZ50" s="12">
        <f t="shared" si="3"/>
        <v>80.7</v>
      </c>
      <c r="BA50" s="12">
        <f t="shared" si="4"/>
        <v>89.6</v>
      </c>
      <c r="BB50" s="12"/>
      <c r="BC50" s="12">
        <f t="shared" si="5"/>
        <v>20.399999999999999</v>
      </c>
      <c r="BD50" s="12">
        <f t="shared" si="6"/>
        <v>55.800000000000004</v>
      </c>
      <c r="BE50" s="12">
        <f t="shared" si="7"/>
        <v>82.9</v>
      </c>
    </row>
    <row r="51" spans="1:57" ht="15.75" customHeight="1">
      <c r="A51" s="1" t="s">
        <v>194</v>
      </c>
      <c r="B51" s="3" t="s">
        <v>140</v>
      </c>
      <c r="C51" s="4" t="s">
        <v>8</v>
      </c>
      <c r="D51" s="4">
        <v>41</v>
      </c>
      <c r="E51" s="4">
        <v>943</v>
      </c>
      <c r="F51" s="4">
        <v>41</v>
      </c>
      <c r="G51" s="4">
        <v>943</v>
      </c>
      <c r="H51" s="4">
        <v>0.36099999999999999</v>
      </c>
      <c r="I51" s="4">
        <v>19.7</v>
      </c>
      <c r="J51" s="4"/>
      <c r="K51" s="4">
        <v>0.28100000000000003</v>
      </c>
      <c r="L51" s="4">
        <v>0.08</v>
      </c>
      <c r="M51" s="4">
        <v>0.13300000000000001</v>
      </c>
      <c r="N51" s="4">
        <v>4.8000000000000001E-2</v>
      </c>
      <c r="O51" s="4">
        <v>0.02</v>
      </c>
      <c r="P51" s="4">
        <v>0.71899999999999997</v>
      </c>
      <c r="Q51" s="4"/>
      <c r="R51" s="4">
        <v>0.42899999999999999</v>
      </c>
      <c r="S51" s="4">
        <v>0.65</v>
      </c>
      <c r="T51" s="4">
        <v>0.39400000000000002</v>
      </c>
      <c r="U51" s="4">
        <v>0.16700000000000001</v>
      </c>
      <c r="V51" s="4">
        <v>0.4</v>
      </c>
      <c r="W51" s="4">
        <v>0.33500000000000002</v>
      </c>
      <c r="X51" s="4"/>
      <c r="Y51" s="4">
        <v>0.1</v>
      </c>
      <c r="Z51" s="4">
        <v>0.86699999999999999</v>
      </c>
      <c r="AA51" s="4"/>
      <c r="AB51" s="4">
        <v>0.156</v>
      </c>
      <c r="AC51" s="4">
        <v>0.46400000000000002</v>
      </c>
      <c r="AD51" s="10">
        <f t="shared" si="1"/>
        <v>0.65147299999999997</v>
      </c>
      <c r="AE51" s="9"/>
      <c r="AF51" s="9"/>
      <c r="AG51" s="12">
        <f t="shared" si="2"/>
        <v>85.6</v>
      </c>
      <c r="AH51" s="12">
        <f t="shared" si="2"/>
        <v>74</v>
      </c>
      <c r="AI51" s="12">
        <f t="shared" si="2"/>
        <v>12.1</v>
      </c>
      <c r="AJ51" s="12">
        <f t="shared" si="2"/>
        <v>93.300000000000011</v>
      </c>
      <c r="AK51" s="12"/>
      <c r="AL51" s="12">
        <f t="shared" si="8"/>
        <v>5.5</v>
      </c>
      <c r="AM51" s="12">
        <f t="shared" si="8"/>
        <v>9.9</v>
      </c>
      <c r="AN51" s="12">
        <f t="shared" si="8"/>
        <v>11.600000000000001</v>
      </c>
      <c r="AO51" s="12">
        <f t="shared" si="8"/>
        <v>35.299999999999997</v>
      </c>
      <c r="AP51" s="12">
        <f t="shared" si="9"/>
        <v>26.5</v>
      </c>
      <c r="AQ51" s="12">
        <f t="shared" si="9"/>
        <v>94.399999999999991</v>
      </c>
      <c r="AR51" s="12"/>
      <c r="AS51" s="12">
        <f t="shared" si="10"/>
        <v>14.299999999999999</v>
      </c>
      <c r="AT51" s="12">
        <f t="shared" si="10"/>
        <v>42.5</v>
      </c>
      <c r="AU51" s="12">
        <f t="shared" si="10"/>
        <v>30.3</v>
      </c>
      <c r="AV51" s="12">
        <f t="shared" si="10"/>
        <v>22</v>
      </c>
      <c r="AW51" s="12">
        <f t="shared" si="11"/>
        <v>62.9</v>
      </c>
      <c r="AX51" s="12">
        <f t="shared" si="11"/>
        <v>54.1</v>
      </c>
      <c r="AY51" s="12"/>
      <c r="AZ51" s="12">
        <f t="shared" si="3"/>
        <v>99.5</v>
      </c>
      <c r="BA51" s="12">
        <f t="shared" si="4"/>
        <v>66.900000000000006</v>
      </c>
      <c r="BB51" s="12"/>
      <c r="BC51" s="12">
        <f t="shared" si="5"/>
        <v>34.799999999999997</v>
      </c>
      <c r="BD51" s="12">
        <f t="shared" si="6"/>
        <v>77.3</v>
      </c>
      <c r="BE51" s="12">
        <f t="shared" si="7"/>
        <v>69.7</v>
      </c>
    </row>
    <row r="52" spans="1:57" ht="15.75" customHeight="1">
      <c r="A52" s="1" t="s">
        <v>245</v>
      </c>
      <c r="B52" s="3" t="s">
        <v>114</v>
      </c>
      <c r="C52" s="4" t="s">
        <v>88</v>
      </c>
      <c r="D52" s="4">
        <v>34</v>
      </c>
      <c r="E52" s="4">
        <v>937</v>
      </c>
      <c r="F52" s="4">
        <v>34</v>
      </c>
      <c r="G52" s="4">
        <v>937</v>
      </c>
      <c r="H52" s="4">
        <v>0.44900000000000001</v>
      </c>
      <c r="I52" s="4">
        <v>15.9</v>
      </c>
      <c r="J52" s="4"/>
      <c r="K52" s="4">
        <v>0.52</v>
      </c>
      <c r="L52" s="4">
        <v>0.17699999999999999</v>
      </c>
      <c r="M52" s="4">
        <v>0.187</v>
      </c>
      <c r="N52" s="4">
        <v>7.4999999999999997E-2</v>
      </c>
      <c r="O52" s="4">
        <v>8.2000000000000003E-2</v>
      </c>
      <c r="P52" s="4">
        <v>0.48</v>
      </c>
      <c r="Q52" s="4"/>
      <c r="R52" s="4">
        <v>0.53600000000000003</v>
      </c>
      <c r="S52" s="4">
        <v>0.71199999999999997</v>
      </c>
      <c r="T52" s="4">
        <v>0.45500000000000002</v>
      </c>
      <c r="U52" s="4">
        <v>0.45500000000000002</v>
      </c>
      <c r="V52" s="4">
        <v>0.41699999999999998</v>
      </c>
      <c r="W52" s="4">
        <v>0.35499999999999998</v>
      </c>
      <c r="X52" s="4"/>
      <c r="Y52" s="4">
        <v>0.76800000000000002</v>
      </c>
      <c r="Z52" s="4">
        <v>0.94</v>
      </c>
      <c r="AA52" s="4"/>
      <c r="AB52" s="4">
        <v>9.9000000000000005E-2</v>
      </c>
      <c r="AC52" s="4">
        <v>0.64300000000000002</v>
      </c>
      <c r="AD52" s="10">
        <f t="shared" si="1"/>
        <v>0.85055999999999998</v>
      </c>
      <c r="AE52" s="9"/>
      <c r="AF52" s="9"/>
      <c r="AG52" s="12">
        <f t="shared" si="2"/>
        <v>43.6</v>
      </c>
      <c r="AH52" s="12">
        <f t="shared" si="2"/>
        <v>73.400000000000006</v>
      </c>
      <c r="AI52" s="12">
        <f t="shared" si="2"/>
        <v>56.899999999999991</v>
      </c>
      <c r="AJ52" s="12">
        <f t="shared" si="2"/>
        <v>67.400000000000006</v>
      </c>
      <c r="AK52" s="12"/>
      <c r="AL52" s="12">
        <f t="shared" si="8"/>
        <v>35.299999999999997</v>
      </c>
      <c r="AM52" s="12">
        <f t="shared" si="8"/>
        <v>43.6</v>
      </c>
      <c r="AN52" s="12">
        <f t="shared" si="8"/>
        <v>27.6</v>
      </c>
      <c r="AO52" s="12">
        <f t="shared" si="8"/>
        <v>55.800000000000004</v>
      </c>
      <c r="AP52" s="12">
        <f t="shared" si="9"/>
        <v>82.8</v>
      </c>
      <c r="AQ52" s="12">
        <f t="shared" si="9"/>
        <v>64.600000000000009</v>
      </c>
      <c r="AR52" s="12"/>
      <c r="AS52" s="12">
        <f t="shared" si="10"/>
        <v>63.5</v>
      </c>
      <c r="AT52" s="12">
        <f t="shared" si="10"/>
        <v>64</v>
      </c>
      <c r="AU52" s="12">
        <f t="shared" si="10"/>
        <v>52.400000000000006</v>
      </c>
      <c r="AV52" s="12">
        <f t="shared" si="10"/>
        <v>74</v>
      </c>
      <c r="AW52" s="12">
        <f t="shared" si="11"/>
        <v>71.2</v>
      </c>
      <c r="AX52" s="12">
        <f t="shared" si="11"/>
        <v>61.8</v>
      </c>
      <c r="AY52" s="12"/>
      <c r="AZ52" s="12">
        <f t="shared" si="3"/>
        <v>20.5</v>
      </c>
      <c r="BA52" s="12">
        <f t="shared" si="4"/>
        <v>48.1</v>
      </c>
      <c r="BB52" s="12"/>
      <c r="BC52" s="12">
        <f t="shared" si="5"/>
        <v>16.5</v>
      </c>
      <c r="BD52" s="12">
        <f t="shared" si="6"/>
        <v>92.2</v>
      </c>
      <c r="BE52" s="12">
        <f t="shared" si="7"/>
        <v>19.899999999999991</v>
      </c>
    </row>
    <row r="53" spans="1:57" ht="15.75" customHeight="1">
      <c r="A53" s="1" t="s">
        <v>278</v>
      </c>
      <c r="B53" s="3" t="s">
        <v>232</v>
      </c>
      <c r="C53" s="4" t="s">
        <v>88</v>
      </c>
      <c r="D53" s="4">
        <v>39</v>
      </c>
      <c r="E53" s="4">
        <v>935</v>
      </c>
      <c r="F53" s="4">
        <v>39</v>
      </c>
      <c r="G53" s="4">
        <v>935</v>
      </c>
      <c r="H53" s="4">
        <v>0.55000000000000004</v>
      </c>
      <c r="I53" s="4">
        <v>12.5</v>
      </c>
      <c r="J53" s="4"/>
      <c r="K53" s="4">
        <v>0.60499999999999998</v>
      </c>
      <c r="L53" s="4">
        <v>0.20200000000000001</v>
      </c>
      <c r="M53" s="4">
        <v>0.37</v>
      </c>
      <c r="N53" s="4">
        <v>2.8000000000000001E-2</v>
      </c>
      <c r="O53" s="4">
        <v>6.0000000000000001E-3</v>
      </c>
      <c r="P53" s="4">
        <v>0.39500000000000002</v>
      </c>
      <c r="Q53" s="4"/>
      <c r="R53" s="4">
        <v>0.67100000000000004</v>
      </c>
      <c r="S53" s="4">
        <v>0.78100000000000003</v>
      </c>
      <c r="T53" s="4">
        <v>0.64200000000000002</v>
      </c>
      <c r="U53" s="4">
        <v>0.4</v>
      </c>
      <c r="V53" s="4">
        <v>0</v>
      </c>
      <c r="W53" s="4">
        <v>0.36399999999999999</v>
      </c>
      <c r="X53" s="4"/>
      <c r="Y53" s="4">
        <v>0.82299999999999995</v>
      </c>
      <c r="Z53" s="4">
        <v>0.98099999999999998</v>
      </c>
      <c r="AA53" s="4"/>
      <c r="AB53" s="4">
        <v>0.182</v>
      </c>
      <c r="AC53" s="4">
        <v>0.42299999999999999</v>
      </c>
      <c r="AD53" s="10">
        <f t="shared" si="1"/>
        <v>0.88541000000000003</v>
      </c>
      <c r="AE53" s="9"/>
      <c r="AF53" s="9"/>
      <c r="AG53" s="12">
        <f t="shared" si="2"/>
        <v>64.600000000000009</v>
      </c>
      <c r="AH53" s="12">
        <f t="shared" si="2"/>
        <v>72.899999999999991</v>
      </c>
      <c r="AI53" s="12">
        <f t="shared" si="2"/>
        <v>92.800000000000011</v>
      </c>
      <c r="AJ53" s="12">
        <f t="shared" si="2"/>
        <v>35.9</v>
      </c>
      <c r="AK53" s="12"/>
      <c r="AL53" s="12">
        <f t="shared" si="8"/>
        <v>54.1</v>
      </c>
      <c r="AM53" s="12">
        <f t="shared" si="8"/>
        <v>53.5</v>
      </c>
      <c r="AN53" s="12">
        <f t="shared" si="8"/>
        <v>82.3</v>
      </c>
      <c r="AO53" s="12">
        <f t="shared" si="8"/>
        <v>18.2</v>
      </c>
      <c r="AP53" s="12">
        <f t="shared" si="9"/>
        <v>7.7</v>
      </c>
      <c r="AQ53" s="12">
        <f t="shared" si="9"/>
        <v>45.800000000000004</v>
      </c>
      <c r="AR53" s="12"/>
      <c r="AS53" s="12">
        <f t="shared" si="10"/>
        <v>98.8</v>
      </c>
      <c r="AT53" s="12">
        <f t="shared" si="10"/>
        <v>86.7</v>
      </c>
      <c r="AU53" s="12">
        <f t="shared" si="10"/>
        <v>97.7</v>
      </c>
      <c r="AV53" s="12">
        <f t="shared" si="10"/>
        <v>57.999999999999993</v>
      </c>
      <c r="AW53" s="12">
        <f t="shared" si="11"/>
        <v>0</v>
      </c>
      <c r="AX53" s="12">
        <f t="shared" si="11"/>
        <v>66.2</v>
      </c>
      <c r="AY53" s="12"/>
      <c r="AZ53" s="12">
        <f t="shared" si="3"/>
        <v>10.5</v>
      </c>
      <c r="BA53" s="12">
        <f t="shared" si="4"/>
        <v>35.399999999999991</v>
      </c>
      <c r="BB53" s="12"/>
      <c r="BC53" s="12">
        <f t="shared" si="5"/>
        <v>49.1</v>
      </c>
      <c r="BD53" s="12">
        <f t="shared" si="6"/>
        <v>67.400000000000006</v>
      </c>
      <c r="BE53" s="12">
        <f t="shared" si="7"/>
        <v>12.799999999999997</v>
      </c>
    </row>
    <row r="54" spans="1:57" ht="15.75" customHeight="1">
      <c r="A54" s="1" t="s">
        <v>120</v>
      </c>
      <c r="B54" s="4" t="s">
        <v>96</v>
      </c>
      <c r="C54" s="4" t="s">
        <v>85</v>
      </c>
      <c r="D54" s="4">
        <v>41</v>
      </c>
      <c r="E54" s="4">
        <v>932</v>
      </c>
      <c r="F54" s="4">
        <v>41</v>
      </c>
      <c r="G54" s="4">
        <v>932</v>
      </c>
      <c r="H54" s="4">
        <v>0.44500000000000001</v>
      </c>
      <c r="I54" s="4">
        <v>16.7</v>
      </c>
      <c r="J54" s="4"/>
      <c r="K54" s="4">
        <v>0.4</v>
      </c>
      <c r="L54" s="4">
        <v>0.191</v>
      </c>
      <c r="M54" s="4">
        <v>0.13200000000000001</v>
      </c>
      <c r="N54" s="4">
        <v>3.5999999999999997E-2</v>
      </c>
      <c r="O54" s="4">
        <v>4.1000000000000002E-2</v>
      </c>
      <c r="P54" s="4">
        <v>0.6</v>
      </c>
      <c r="Q54" s="4"/>
      <c r="R54" s="4">
        <v>0.53400000000000003</v>
      </c>
      <c r="S54" s="4">
        <v>0.69</v>
      </c>
      <c r="T54" s="4">
        <v>0.48299999999999998</v>
      </c>
      <c r="U54" s="4">
        <v>0.125</v>
      </c>
      <c r="V54" s="4">
        <v>0.33300000000000002</v>
      </c>
      <c r="W54" s="4">
        <v>0.38600000000000001</v>
      </c>
      <c r="X54" s="4"/>
      <c r="Y54" s="4">
        <v>0.83</v>
      </c>
      <c r="Z54" s="4">
        <v>0.98</v>
      </c>
      <c r="AA54" s="4"/>
      <c r="AB54" s="4">
        <v>0.26500000000000001</v>
      </c>
      <c r="AC54" s="4">
        <v>0.371</v>
      </c>
      <c r="AD54" s="10">
        <f t="shared" si="1"/>
        <v>0.91999999999999993</v>
      </c>
      <c r="AE54" s="9"/>
      <c r="AF54" s="9"/>
      <c r="AG54" s="12">
        <f t="shared" si="2"/>
        <v>85.6</v>
      </c>
      <c r="AH54" s="12">
        <f t="shared" si="2"/>
        <v>72.3</v>
      </c>
      <c r="AI54" s="12">
        <f t="shared" si="2"/>
        <v>54.1</v>
      </c>
      <c r="AJ54" s="12">
        <f t="shared" si="2"/>
        <v>75.599999999999994</v>
      </c>
      <c r="AK54" s="12"/>
      <c r="AL54" s="12">
        <f t="shared" si="8"/>
        <v>15.4</v>
      </c>
      <c r="AM54" s="12">
        <f t="shared" si="8"/>
        <v>47.5</v>
      </c>
      <c r="AN54" s="12">
        <f t="shared" si="8"/>
        <v>11</v>
      </c>
      <c r="AO54" s="12">
        <f t="shared" si="8"/>
        <v>25.4</v>
      </c>
      <c r="AP54" s="12">
        <f t="shared" si="9"/>
        <v>53</v>
      </c>
      <c r="AQ54" s="12">
        <f t="shared" si="9"/>
        <v>84.5</v>
      </c>
      <c r="AR54" s="12"/>
      <c r="AS54" s="12">
        <f t="shared" si="10"/>
        <v>62.9</v>
      </c>
      <c r="AT54" s="12">
        <f t="shared" si="10"/>
        <v>56.899999999999991</v>
      </c>
      <c r="AU54" s="12">
        <f t="shared" si="10"/>
        <v>66.8</v>
      </c>
      <c r="AV54" s="12">
        <f t="shared" si="10"/>
        <v>19.8</v>
      </c>
      <c r="AW54" s="12">
        <f t="shared" si="11"/>
        <v>45.800000000000004</v>
      </c>
      <c r="AX54" s="12">
        <f t="shared" si="11"/>
        <v>77.3</v>
      </c>
      <c r="AY54" s="12"/>
      <c r="AZ54" s="12">
        <f t="shared" si="3"/>
        <v>8.2999999999999972</v>
      </c>
      <c r="BA54" s="12">
        <f t="shared" si="4"/>
        <v>36</v>
      </c>
      <c r="BB54" s="12"/>
      <c r="BC54" s="12">
        <f t="shared" si="5"/>
        <v>70.7</v>
      </c>
      <c r="BD54" s="12">
        <f t="shared" si="6"/>
        <v>55.2</v>
      </c>
      <c r="BE54" s="12">
        <f t="shared" si="7"/>
        <v>6.6999999999999886</v>
      </c>
    </row>
    <row r="55" spans="1:57" ht="15.75" customHeight="1">
      <c r="A55" s="1" t="s">
        <v>188</v>
      </c>
      <c r="B55" s="3" t="s">
        <v>93</v>
      </c>
      <c r="C55" s="4" t="s">
        <v>112</v>
      </c>
      <c r="D55" s="4">
        <v>40</v>
      </c>
      <c r="E55" s="4">
        <v>929</v>
      </c>
      <c r="F55" s="4">
        <v>40</v>
      </c>
      <c r="G55" s="4">
        <v>929</v>
      </c>
      <c r="H55" s="4">
        <v>0.46300000000000002</v>
      </c>
      <c r="I55" s="4">
        <v>16.399999999999999</v>
      </c>
      <c r="J55" s="4"/>
      <c r="K55" s="4">
        <v>0.505</v>
      </c>
      <c r="L55" s="4">
        <v>0.12</v>
      </c>
      <c r="M55" s="4">
        <v>0.19400000000000001</v>
      </c>
      <c r="N55" s="4">
        <v>8.7999999999999995E-2</v>
      </c>
      <c r="O55" s="4">
        <v>0.10199999999999999</v>
      </c>
      <c r="P55" s="4">
        <v>0.495</v>
      </c>
      <c r="Q55" s="4"/>
      <c r="R55" s="4">
        <v>0.53200000000000003</v>
      </c>
      <c r="S55" s="4">
        <v>0.65400000000000003</v>
      </c>
      <c r="T55" s="4">
        <v>0.57099999999999995</v>
      </c>
      <c r="U55" s="4">
        <v>0.52600000000000002</v>
      </c>
      <c r="V55" s="4">
        <v>0.318</v>
      </c>
      <c r="W55" s="4">
        <v>0.39300000000000002</v>
      </c>
      <c r="X55" s="4"/>
      <c r="Y55" s="4">
        <v>0.74099999999999999</v>
      </c>
      <c r="Z55" s="4">
        <v>0.97599999999999998</v>
      </c>
      <c r="AA55" s="4"/>
      <c r="AB55" s="4">
        <v>0.38300000000000001</v>
      </c>
      <c r="AC55" s="4">
        <v>0.41499999999999998</v>
      </c>
      <c r="AD55" s="10">
        <f t="shared" si="1"/>
        <v>0.857325</v>
      </c>
      <c r="AE55" s="9"/>
      <c r="AF55" s="9"/>
      <c r="AG55" s="12">
        <f t="shared" si="2"/>
        <v>72.899999999999991</v>
      </c>
      <c r="AH55" s="12">
        <f t="shared" si="2"/>
        <v>71.8</v>
      </c>
      <c r="AI55" s="12">
        <f t="shared" si="2"/>
        <v>65.7</v>
      </c>
      <c r="AJ55" s="12">
        <f t="shared" si="2"/>
        <v>72.3</v>
      </c>
      <c r="AK55" s="12"/>
      <c r="AL55" s="12">
        <f t="shared" si="8"/>
        <v>32</v>
      </c>
      <c r="AM55" s="12">
        <f t="shared" si="8"/>
        <v>22</v>
      </c>
      <c r="AN55" s="12">
        <f t="shared" si="8"/>
        <v>30.3</v>
      </c>
      <c r="AO55" s="12">
        <f t="shared" si="8"/>
        <v>64</v>
      </c>
      <c r="AP55" s="12">
        <f t="shared" si="9"/>
        <v>89.5</v>
      </c>
      <c r="AQ55" s="12">
        <f t="shared" si="9"/>
        <v>66.8</v>
      </c>
      <c r="AR55" s="12"/>
      <c r="AS55" s="12">
        <f t="shared" si="10"/>
        <v>61.3</v>
      </c>
      <c r="AT55" s="12">
        <f t="shared" si="10"/>
        <v>43</v>
      </c>
      <c r="AU55" s="12">
        <f t="shared" si="10"/>
        <v>93.899999999999991</v>
      </c>
      <c r="AV55" s="12">
        <f t="shared" si="10"/>
        <v>87.8</v>
      </c>
      <c r="AW55" s="12">
        <f t="shared" si="11"/>
        <v>45.300000000000004</v>
      </c>
      <c r="AX55" s="12">
        <f t="shared" si="11"/>
        <v>81.2</v>
      </c>
      <c r="AY55" s="12"/>
      <c r="AZ55" s="12">
        <f t="shared" si="3"/>
        <v>24.400000000000006</v>
      </c>
      <c r="BA55" s="12">
        <f t="shared" si="4"/>
        <v>37.1</v>
      </c>
      <c r="BB55" s="12"/>
      <c r="BC55" s="12">
        <f t="shared" si="5"/>
        <v>85.6</v>
      </c>
      <c r="BD55" s="12">
        <f t="shared" si="6"/>
        <v>66.2</v>
      </c>
      <c r="BE55" s="12">
        <f t="shared" si="7"/>
        <v>18.799999999999997</v>
      </c>
    </row>
    <row r="56" spans="1:57" ht="15.75" customHeight="1">
      <c r="A56" s="1" t="s">
        <v>244</v>
      </c>
      <c r="B56" s="3" t="s">
        <v>140</v>
      </c>
      <c r="C56" s="4" t="s">
        <v>85</v>
      </c>
      <c r="D56" s="4">
        <v>37</v>
      </c>
      <c r="E56" s="4">
        <v>927</v>
      </c>
      <c r="F56" s="4">
        <v>37</v>
      </c>
      <c r="G56" s="4">
        <v>927</v>
      </c>
      <c r="H56" s="4">
        <v>0.438</v>
      </c>
      <c r="I56" s="4">
        <v>15</v>
      </c>
      <c r="J56" s="4"/>
      <c r="K56" s="4">
        <v>0.47399999999999998</v>
      </c>
      <c r="L56" s="4">
        <v>0.19900000000000001</v>
      </c>
      <c r="M56" s="4">
        <v>0.223</v>
      </c>
      <c r="N56" s="4">
        <v>0.02</v>
      </c>
      <c r="O56" s="4">
        <v>3.2000000000000001E-2</v>
      </c>
      <c r="P56" s="4">
        <v>0.52600000000000002</v>
      </c>
      <c r="Q56" s="4"/>
      <c r="R56" s="4">
        <v>0.48699999999999999</v>
      </c>
      <c r="S56" s="4">
        <v>0.6</v>
      </c>
      <c r="T56" s="4">
        <v>0.46400000000000002</v>
      </c>
      <c r="U56" s="4">
        <v>0.4</v>
      </c>
      <c r="V56" s="4">
        <v>0</v>
      </c>
      <c r="W56" s="4">
        <v>0.39400000000000002</v>
      </c>
      <c r="X56" s="4"/>
      <c r="Y56" s="4">
        <v>0.56899999999999995</v>
      </c>
      <c r="Z56" s="4">
        <v>1</v>
      </c>
      <c r="AA56" s="4"/>
      <c r="AB56" s="4">
        <v>0.432</v>
      </c>
      <c r="AC56" s="4">
        <v>0.40400000000000003</v>
      </c>
      <c r="AD56" s="10">
        <f t="shared" si="1"/>
        <v>0.79570600000000002</v>
      </c>
      <c r="AE56" s="9"/>
      <c r="AF56" s="9"/>
      <c r="AG56" s="12">
        <f t="shared" si="2"/>
        <v>51.300000000000004</v>
      </c>
      <c r="AH56" s="12">
        <f t="shared" si="2"/>
        <v>71.2</v>
      </c>
      <c r="AI56" s="12">
        <f t="shared" si="2"/>
        <v>50.2</v>
      </c>
      <c r="AJ56" s="12">
        <f t="shared" si="2"/>
        <v>57.4</v>
      </c>
      <c r="AK56" s="12"/>
      <c r="AL56" s="12">
        <f t="shared" si="8"/>
        <v>23.200000000000003</v>
      </c>
      <c r="AM56" s="12">
        <f t="shared" si="8"/>
        <v>51.9</v>
      </c>
      <c r="AN56" s="12">
        <f t="shared" si="8"/>
        <v>40.300000000000004</v>
      </c>
      <c r="AO56" s="12">
        <f t="shared" si="8"/>
        <v>13.8</v>
      </c>
      <c r="AP56" s="12">
        <f t="shared" si="9"/>
        <v>41.9</v>
      </c>
      <c r="AQ56" s="12">
        <f t="shared" si="9"/>
        <v>76.2</v>
      </c>
      <c r="AR56" s="12"/>
      <c r="AS56" s="12">
        <f t="shared" si="10"/>
        <v>38.6</v>
      </c>
      <c r="AT56" s="12">
        <f t="shared" si="10"/>
        <v>25.4</v>
      </c>
      <c r="AU56" s="12">
        <f t="shared" si="10"/>
        <v>56.3</v>
      </c>
      <c r="AV56" s="12">
        <f t="shared" si="10"/>
        <v>57.999999999999993</v>
      </c>
      <c r="AW56" s="12">
        <f t="shared" si="11"/>
        <v>0</v>
      </c>
      <c r="AX56" s="12">
        <f t="shared" si="11"/>
        <v>82.8</v>
      </c>
      <c r="AY56" s="12"/>
      <c r="AZ56" s="12">
        <f t="shared" si="3"/>
        <v>58.6</v>
      </c>
      <c r="BA56" s="12">
        <f t="shared" si="4"/>
        <v>33.799999999999997</v>
      </c>
      <c r="BB56" s="12"/>
      <c r="BC56" s="12">
        <f t="shared" si="5"/>
        <v>91.100000000000009</v>
      </c>
      <c r="BD56" s="12">
        <f t="shared" si="6"/>
        <v>64</v>
      </c>
      <c r="BE56" s="12">
        <f t="shared" si="7"/>
        <v>34.899999999999991</v>
      </c>
    </row>
    <row r="57" spans="1:57" ht="15.75" customHeight="1">
      <c r="A57" s="1" t="s">
        <v>174</v>
      </c>
      <c r="B57" s="3" t="s">
        <v>117</v>
      </c>
      <c r="C57" s="4" t="s">
        <v>85</v>
      </c>
      <c r="D57" s="4">
        <v>38</v>
      </c>
      <c r="E57" s="4">
        <v>925</v>
      </c>
      <c r="F57" s="4">
        <v>38</v>
      </c>
      <c r="G57" s="4">
        <v>925</v>
      </c>
      <c r="H57" s="4">
        <v>0.63800000000000001</v>
      </c>
      <c r="I57" s="4">
        <v>5.6</v>
      </c>
      <c r="J57" s="4"/>
      <c r="K57" s="4">
        <v>0.97199999999999998</v>
      </c>
      <c r="L57" s="4">
        <v>0.26100000000000001</v>
      </c>
      <c r="M57" s="4">
        <v>0.63100000000000001</v>
      </c>
      <c r="N57" s="4">
        <v>5.8999999999999997E-2</v>
      </c>
      <c r="O57" s="4">
        <v>2.1000000000000001E-2</v>
      </c>
      <c r="P57" s="4">
        <v>2.8000000000000001E-2</v>
      </c>
      <c r="Q57" s="4"/>
      <c r="R57" s="4">
        <v>0.65200000000000002</v>
      </c>
      <c r="S57" s="4">
        <v>0.77300000000000002</v>
      </c>
      <c r="T57" s="4">
        <v>0.63</v>
      </c>
      <c r="U57" s="4">
        <v>0.47099999999999997</v>
      </c>
      <c r="V57" s="4">
        <v>0.33300000000000002</v>
      </c>
      <c r="W57" s="4">
        <v>0.125</v>
      </c>
      <c r="X57" s="4"/>
      <c r="Y57" s="4">
        <v>0.72</v>
      </c>
      <c r="Z57" s="4">
        <v>1</v>
      </c>
      <c r="AA57" s="4"/>
      <c r="AB57" s="4">
        <v>0</v>
      </c>
      <c r="AC57" s="4">
        <v>0</v>
      </c>
      <c r="AD57" s="10">
        <f t="shared" si="1"/>
        <v>0.72783999999999993</v>
      </c>
      <c r="AE57" s="9"/>
      <c r="AF57" s="9"/>
      <c r="AG57" s="12">
        <f t="shared" si="2"/>
        <v>59.599999999999994</v>
      </c>
      <c r="AH57" s="12">
        <f t="shared" si="2"/>
        <v>70.7</v>
      </c>
      <c r="AI57" s="12">
        <f t="shared" si="2"/>
        <v>100</v>
      </c>
      <c r="AJ57" s="12">
        <f t="shared" si="2"/>
        <v>6</v>
      </c>
      <c r="AK57" s="12"/>
      <c r="AL57" s="12">
        <f t="shared" si="8"/>
        <v>94.399999999999991</v>
      </c>
      <c r="AM57" s="12">
        <f t="shared" si="8"/>
        <v>69.599999999999994</v>
      </c>
      <c r="AN57" s="12">
        <f t="shared" si="8"/>
        <v>100</v>
      </c>
      <c r="AO57" s="12">
        <f t="shared" si="8"/>
        <v>43</v>
      </c>
      <c r="AP57" s="12">
        <f t="shared" si="9"/>
        <v>28.7</v>
      </c>
      <c r="AQ57" s="12">
        <f t="shared" si="9"/>
        <v>4.9000000000000004</v>
      </c>
      <c r="AR57" s="12"/>
      <c r="AS57" s="12">
        <f t="shared" si="10"/>
        <v>97.7</v>
      </c>
      <c r="AT57" s="12">
        <f t="shared" si="10"/>
        <v>86.1</v>
      </c>
      <c r="AU57" s="12">
        <f t="shared" si="10"/>
        <v>97.2</v>
      </c>
      <c r="AV57" s="12">
        <f t="shared" si="10"/>
        <v>77.3</v>
      </c>
      <c r="AW57" s="12">
        <f t="shared" si="11"/>
        <v>45.800000000000004</v>
      </c>
      <c r="AX57" s="12">
        <f t="shared" si="11"/>
        <v>5.5</v>
      </c>
      <c r="AY57" s="12"/>
      <c r="AZ57" s="12">
        <f t="shared" si="3"/>
        <v>28.200000000000003</v>
      </c>
      <c r="BA57" s="12">
        <f t="shared" si="4"/>
        <v>33.799999999999997</v>
      </c>
      <c r="BB57" s="12"/>
      <c r="BC57" s="12">
        <f t="shared" si="5"/>
        <v>0</v>
      </c>
      <c r="BD57" s="12">
        <f t="shared" si="6"/>
        <v>0</v>
      </c>
      <c r="BE57" s="12">
        <f t="shared" si="7"/>
        <v>50.9</v>
      </c>
    </row>
    <row r="58" spans="1:57" ht="15.75" customHeight="1">
      <c r="A58" s="1" t="s">
        <v>110</v>
      </c>
      <c r="B58" s="3" t="s">
        <v>91</v>
      </c>
      <c r="C58" s="4" t="s">
        <v>85</v>
      </c>
      <c r="D58" s="4">
        <v>37</v>
      </c>
      <c r="E58" s="4">
        <v>917</v>
      </c>
      <c r="F58" s="4">
        <v>37</v>
      </c>
      <c r="G58" s="4">
        <v>917</v>
      </c>
      <c r="H58" s="4">
        <v>0.40699999999999997</v>
      </c>
      <c r="I58" s="4">
        <v>15</v>
      </c>
      <c r="J58" s="4"/>
      <c r="K58" s="4">
        <v>0.60399999999999998</v>
      </c>
      <c r="L58" s="4">
        <v>9.6000000000000002E-2</v>
      </c>
      <c r="M58" s="4">
        <v>0.29799999999999999</v>
      </c>
      <c r="N58" s="4">
        <v>0.124</v>
      </c>
      <c r="O58" s="4">
        <v>8.5999999999999993E-2</v>
      </c>
      <c r="P58" s="4">
        <v>0.39600000000000002</v>
      </c>
      <c r="Q58" s="4"/>
      <c r="R58" s="4">
        <v>0.44700000000000001</v>
      </c>
      <c r="S58" s="4">
        <v>0.622</v>
      </c>
      <c r="T58" s="4">
        <v>0.48899999999999999</v>
      </c>
      <c r="U58" s="4">
        <v>0.36199999999999999</v>
      </c>
      <c r="V58" s="4">
        <v>0.22500000000000001</v>
      </c>
      <c r="W58" s="4">
        <v>0.34599999999999997</v>
      </c>
      <c r="X58" s="4"/>
      <c r="Y58" s="4">
        <v>0.5</v>
      </c>
      <c r="Z58" s="4">
        <v>0.85899999999999999</v>
      </c>
      <c r="AA58" s="4"/>
      <c r="AB58" s="4">
        <v>0.13</v>
      </c>
      <c r="AC58" s="4">
        <v>0.375</v>
      </c>
      <c r="AD58" s="10">
        <f t="shared" si="1"/>
        <v>0.64216399999999996</v>
      </c>
      <c r="AE58" s="9"/>
      <c r="AF58" s="9"/>
      <c r="AG58" s="12">
        <f t="shared" si="2"/>
        <v>51.300000000000004</v>
      </c>
      <c r="AH58" s="12">
        <f t="shared" si="2"/>
        <v>70.099999999999994</v>
      </c>
      <c r="AI58" s="12">
        <f t="shared" si="2"/>
        <v>34.200000000000003</v>
      </c>
      <c r="AJ58" s="12">
        <f t="shared" si="2"/>
        <v>57.4</v>
      </c>
      <c r="AK58" s="12"/>
      <c r="AL58" s="12">
        <f t="shared" si="8"/>
        <v>52.400000000000006</v>
      </c>
      <c r="AM58" s="12">
        <f t="shared" si="8"/>
        <v>13.8</v>
      </c>
      <c r="AN58" s="12">
        <f t="shared" si="8"/>
        <v>65.7</v>
      </c>
      <c r="AO58" s="12">
        <f t="shared" si="8"/>
        <v>81.699999999999989</v>
      </c>
      <c r="AP58" s="12">
        <f t="shared" si="9"/>
        <v>84.5</v>
      </c>
      <c r="AQ58" s="12">
        <f t="shared" si="9"/>
        <v>46.400000000000006</v>
      </c>
      <c r="AR58" s="12"/>
      <c r="AS58" s="12">
        <f t="shared" si="10"/>
        <v>18.2</v>
      </c>
      <c r="AT58" s="12">
        <f t="shared" si="10"/>
        <v>32.5</v>
      </c>
      <c r="AU58" s="12">
        <f t="shared" si="10"/>
        <v>70.099999999999994</v>
      </c>
      <c r="AV58" s="12">
        <f t="shared" si="10"/>
        <v>51.300000000000004</v>
      </c>
      <c r="AW58" s="12">
        <f t="shared" si="11"/>
        <v>30.9</v>
      </c>
      <c r="AX58" s="12">
        <f t="shared" si="11"/>
        <v>58.5</v>
      </c>
      <c r="AY58" s="12"/>
      <c r="AZ58" s="12">
        <f t="shared" si="3"/>
        <v>69.099999999999994</v>
      </c>
      <c r="BA58" s="12">
        <f t="shared" si="4"/>
        <v>68</v>
      </c>
      <c r="BB58" s="12"/>
      <c r="BC58" s="12">
        <f t="shared" si="5"/>
        <v>23.7</v>
      </c>
      <c r="BD58" s="12">
        <f t="shared" si="6"/>
        <v>55.800000000000004</v>
      </c>
      <c r="BE58" s="12">
        <f t="shared" si="7"/>
        <v>70.8</v>
      </c>
    </row>
    <row r="59" spans="1:57" ht="15.75" customHeight="1">
      <c r="A59" s="1" t="s">
        <v>176</v>
      </c>
      <c r="B59" s="3" t="s">
        <v>157</v>
      </c>
      <c r="C59" s="4" t="s">
        <v>8</v>
      </c>
      <c r="D59" s="4">
        <v>40</v>
      </c>
      <c r="E59" s="4">
        <v>904</v>
      </c>
      <c r="F59" s="4">
        <v>40</v>
      </c>
      <c r="G59" s="4">
        <v>904</v>
      </c>
      <c r="H59" s="4">
        <v>0.46899999999999997</v>
      </c>
      <c r="I59" s="4">
        <v>18.899999999999999</v>
      </c>
      <c r="J59" s="4"/>
      <c r="K59" s="4">
        <v>0.30499999999999999</v>
      </c>
      <c r="L59" s="4">
        <v>0.16900000000000001</v>
      </c>
      <c r="M59" s="4">
        <v>9.9000000000000005E-2</v>
      </c>
      <c r="N59" s="4">
        <v>1.9E-2</v>
      </c>
      <c r="O59" s="4">
        <v>1.9E-2</v>
      </c>
      <c r="P59" s="4">
        <v>0.69499999999999995</v>
      </c>
      <c r="Q59" s="4"/>
      <c r="R59" s="4">
        <v>0.55400000000000005</v>
      </c>
      <c r="S59" s="4">
        <v>0.72199999999999998</v>
      </c>
      <c r="T59" s="4">
        <v>0.38100000000000001</v>
      </c>
      <c r="U59" s="4">
        <v>0.25</v>
      </c>
      <c r="V59" s="4">
        <v>0.25</v>
      </c>
      <c r="W59" s="4">
        <v>0.432</v>
      </c>
      <c r="X59" s="4"/>
      <c r="Y59" s="4">
        <v>0.77800000000000002</v>
      </c>
      <c r="Z59" s="4">
        <v>0.93799999999999994</v>
      </c>
      <c r="AA59" s="4"/>
      <c r="AB59" s="4">
        <v>0.216</v>
      </c>
      <c r="AC59" s="4">
        <v>0.40600000000000003</v>
      </c>
      <c r="AD59" s="10">
        <f t="shared" si="1"/>
        <v>0.88919999999999988</v>
      </c>
      <c r="AE59" s="9"/>
      <c r="AF59" s="9"/>
      <c r="AG59" s="12">
        <f t="shared" si="2"/>
        <v>72.899999999999991</v>
      </c>
      <c r="AH59" s="12">
        <f t="shared" si="2"/>
        <v>69.599999999999994</v>
      </c>
      <c r="AI59" s="12">
        <f t="shared" si="2"/>
        <v>67.900000000000006</v>
      </c>
      <c r="AJ59" s="12">
        <f t="shared" si="2"/>
        <v>88.3</v>
      </c>
      <c r="AK59" s="12"/>
      <c r="AL59" s="12">
        <f t="shared" si="8"/>
        <v>7.1</v>
      </c>
      <c r="AM59" s="12">
        <f t="shared" si="8"/>
        <v>41.9</v>
      </c>
      <c r="AN59" s="12">
        <f t="shared" si="8"/>
        <v>4.3999999999999995</v>
      </c>
      <c r="AO59" s="12">
        <f t="shared" si="8"/>
        <v>11.600000000000001</v>
      </c>
      <c r="AP59" s="12">
        <f t="shared" si="9"/>
        <v>24.3</v>
      </c>
      <c r="AQ59" s="12">
        <f t="shared" si="9"/>
        <v>92.800000000000011</v>
      </c>
      <c r="AR59" s="12"/>
      <c r="AS59" s="12">
        <f t="shared" si="10"/>
        <v>73.400000000000006</v>
      </c>
      <c r="AT59" s="12">
        <f t="shared" si="10"/>
        <v>67.900000000000006</v>
      </c>
      <c r="AU59" s="12">
        <f t="shared" si="10"/>
        <v>24.3</v>
      </c>
      <c r="AV59" s="12">
        <f t="shared" si="10"/>
        <v>27.6</v>
      </c>
      <c r="AW59" s="12">
        <f t="shared" si="11"/>
        <v>32</v>
      </c>
      <c r="AX59" s="12">
        <f t="shared" si="11"/>
        <v>93.899999999999991</v>
      </c>
      <c r="AY59" s="12"/>
      <c r="AZ59" s="12">
        <f t="shared" si="3"/>
        <v>17.700000000000003</v>
      </c>
      <c r="BA59" s="12">
        <f t="shared" si="4"/>
        <v>50.3</v>
      </c>
      <c r="BB59" s="12"/>
      <c r="BC59" s="12">
        <f t="shared" si="5"/>
        <v>60.199999999999996</v>
      </c>
      <c r="BD59" s="12">
        <f t="shared" si="6"/>
        <v>64.600000000000009</v>
      </c>
      <c r="BE59" s="12">
        <f t="shared" si="7"/>
        <v>11.700000000000003</v>
      </c>
    </row>
    <row r="60" spans="1:57" ht="15.75" customHeight="1">
      <c r="A60" s="1" t="s">
        <v>126</v>
      </c>
      <c r="B60" s="4" t="s">
        <v>107</v>
      </c>
      <c r="C60" s="4" t="s">
        <v>85</v>
      </c>
      <c r="D60" s="4">
        <v>40</v>
      </c>
      <c r="E60" s="4">
        <v>903</v>
      </c>
      <c r="F60" s="4">
        <v>40</v>
      </c>
      <c r="G60" s="4">
        <v>903</v>
      </c>
      <c r="H60" s="4">
        <v>0.35899999999999999</v>
      </c>
      <c r="I60" s="4">
        <v>13.9</v>
      </c>
      <c r="J60" s="4"/>
      <c r="K60" s="4">
        <v>0.58299999999999996</v>
      </c>
      <c r="L60" s="4">
        <v>0.19500000000000001</v>
      </c>
      <c r="M60" s="4">
        <v>0.26100000000000001</v>
      </c>
      <c r="N60" s="4">
        <v>0.08</v>
      </c>
      <c r="O60" s="4">
        <v>4.5999999999999999E-2</v>
      </c>
      <c r="P60" s="4">
        <v>0.41699999999999998</v>
      </c>
      <c r="Q60" s="4"/>
      <c r="R60" s="4">
        <v>0.38900000000000001</v>
      </c>
      <c r="S60" s="4">
        <v>0.58799999999999997</v>
      </c>
      <c r="T60" s="4">
        <v>0.27500000000000002</v>
      </c>
      <c r="U60" s="4">
        <v>0.28599999999999998</v>
      </c>
      <c r="V60" s="4">
        <v>0.375</v>
      </c>
      <c r="W60" s="4">
        <v>0.317</v>
      </c>
      <c r="X60" s="4"/>
      <c r="Y60" s="4">
        <v>0.56999999999999995</v>
      </c>
      <c r="Z60" s="4">
        <v>0.82599999999999996</v>
      </c>
      <c r="AA60" s="4"/>
      <c r="AB60" s="4">
        <v>0.248</v>
      </c>
      <c r="AC60" s="4">
        <v>0.25</v>
      </c>
      <c r="AD60" s="10">
        <f t="shared" si="1"/>
        <v>0.67675199999999991</v>
      </c>
      <c r="AE60" s="9"/>
      <c r="AF60" s="9"/>
      <c r="AG60" s="12">
        <f t="shared" si="2"/>
        <v>72.899999999999991</v>
      </c>
      <c r="AH60" s="12">
        <f t="shared" si="2"/>
        <v>69</v>
      </c>
      <c r="AI60" s="12">
        <f t="shared" si="2"/>
        <v>11</v>
      </c>
      <c r="AJ60" s="12">
        <f t="shared" si="2"/>
        <v>48.6</v>
      </c>
      <c r="AK60" s="12"/>
      <c r="AL60" s="12">
        <f t="shared" si="8"/>
        <v>46.9</v>
      </c>
      <c r="AM60" s="12">
        <f t="shared" si="8"/>
        <v>49.7</v>
      </c>
      <c r="AN60" s="12">
        <f t="shared" si="8"/>
        <v>53.5</v>
      </c>
      <c r="AO60" s="12">
        <f t="shared" si="8"/>
        <v>60.199999999999996</v>
      </c>
      <c r="AP60" s="12">
        <f t="shared" si="9"/>
        <v>57.4</v>
      </c>
      <c r="AQ60" s="12">
        <f t="shared" si="9"/>
        <v>52.400000000000006</v>
      </c>
      <c r="AR60" s="12"/>
      <c r="AS60" s="12">
        <f t="shared" si="10"/>
        <v>8.2000000000000011</v>
      </c>
      <c r="AT60" s="12">
        <f t="shared" si="10"/>
        <v>22</v>
      </c>
      <c r="AU60" s="12">
        <f t="shared" si="10"/>
        <v>4.3999999999999995</v>
      </c>
      <c r="AV60" s="12">
        <f t="shared" si="10"/>
        <v>34.200000000000003</v>
      </c>
      <c r="AW60" s="12">
        <f t="shared" si="11"/>
        <v>58.5</v>
      </c>
      <c r="AX60" s="12">
        <f t="shared" si="11"/>
        <v>44.7</v>
      </c>
      <c r="AY60" s="12"/>
      <c r="AZ60" s="12">
        <f t="shared" si="3"/>
        <v>57.5</v>
      </c>
      <c r="BA60" s="12">
        <f t="shared" si="4"/>
        <v>73.5</v>
      </c>
      <c r="BB60" s="12"/>
      <c r="BC60" s="12">
        <f t="shared" si="5"/>
        <v>67.400000000000006</v>
      </c>
      <c r="BD60" s="12">
        <f t="shared" si="6"/>
        <v>23.200000000000003</v>
      </c>
      <c r="BE60" s="12">
        <f t="shared" si="7"/>
        <v>63</v>
      </c>
    </row>
    <row r="61" spans="1:57" ht="15.75" customHeight="1">
      <c r="A61" s="1" t="s">
        <v>191</v>
      </c>
      <c r="B61" s="3" t="s">
        <v>161</v>
      </c>
      <c r="C61" s="4" t="s">
        <v>85</v>
      </c>
      <c r="D61" s="4">
        <v>33</v>
      </c>
      <c r="E61" s="4">
        <v>888</v>
      </c>
      <c r="F61" s="4">
        <v>33</v>
      </c>
      <c r="G61" s="4">
        <v>888</v>
      </c>
      <c r="H61" s="4">
        <v>0.36799999999999999</v>
      </c>
      <c r="I61" s="4">
        <v>16.7</v>
      </c>
      <c r="J61" s="4"/>
      <c r="K61" s="4">
        <v>0.45800000000000002</v>
      </c>
      <c r="L61" s="4">
        <v>0.17699999999999999</v>
      </c>
      <c r="M61" s="4">
        <v>0.13700000000000001</v>
      </c>
      <c r="N61" s="4">
        <v>8.6999999999999994E-2</v>
      </c>
      <c r="O61" s="4">
        <v>5.8000000000000003E-2</v>
      </c>
      <c r="P61" s="4">
        <v>0.54200000000000004</v>
      </c>
      <c r="Q61" s="4"/>
      <c r="R61" s="4">
        <v>0.38600000000000001</v>
      </c>
      <c r="S61" s="4">
        <v>0.36699999999999999</v>
      </c>
      <c r="T61" s="4">
        <v>0.5</v>
      </c>
      <c r="U61" s="4">
        <v>0.33300000000000002</v>
      </c>
      <c r="V61" s="4">
        <v>0.25</v>
      </c>
      <c r="W61" s="4">
        <v>0.35299999999999998</v>
      </c>
      <c r="X61" s="4"/>
      <c r="Y61" s="4">
        <v>0.71399999999999997</v>
      </c>
      <c r="Z61" s="4">
        <v>0.96199999999999997</v>
      </c>
      <c r="AA61" s="4"/>
      <c r="AB61" s="4">
        <v>0.24</v>
      </c>
      <c r="AC61" s="4">
        <v>0.44400000000000001</v>
      </c>
      <c r="AD61" s="10">
        <f t="shared" si="1"/>
        <v>0.84841600000000006</v>
      </c>
      <c r="AE61" s="9"/>
      <c r="AF61" s="9"/>
      <c r="AG61" s="12">
        <f t="shared" si="2"/>
        <v>39.700000000000003</v>
      </c>
      <c r="AH61" s="12">
        <f t="shared" si="2"/>
        <v>68.5</v>
      </c>
      <c r="AI61" s="12">
        <f t="shared" si="2"/>
        <v>13.8</v>
      </c>
      <c r="AJ61" s="12">
        <f t="shared" si="2"/>
        <v>75.599999999999994</v>
      </c>
      <c r="AK61" s="12"/>
      <c r="AL61" s="12">
        <f t="shared" si="8"/>
        <v>20.9</v>
      </c>
      <c r="AM61" s="12">
        <f t="shared" si="8"/>
        <v>43.6</v>
      </c>
      <c r="AN61" s="12">
        <f t="shared" si="8"/>
        <v>12.7</v>
      </c>
      <c r="AO61" s="12">
        <f t="shared" si="8"/>
        <v>63.5</v>
      </c>
      <c r="AP61" s="12">
        <f t="shared" si="9"/>
        <v>69</v>
      </c>
      <c r="AQ61" s="12">
        <f t="shared" si="9"/>
        <v>79</v>
      </c>
      <c r="AR61" s="12"/>
      <c r="AS61" s="12">
        <f t="shared" si="10"/>
        <v>7.1</v>
      </c>
      <c r="AT61" s="12">
        <f t="shared" si="10"/>
        <v>2.7</v>
      </c>
      <c r="AU61" s="12">
        <f t="shared" si="10"/>
        <v>74</v>
      </c>
      <c r="AV61" s="12">
        <f t="shared" si="10"/>
        <v>42.5</v>
      </c>
      <c r="AW61" s="12">
        <f t="shared" si="11"/>
        <v>32</v>
      </c>
      <c r="AX61" s="12">
        <f t="shared" si="11"/>
        <v>61.3</v>
      </c>
      <c r="AY61" s="12"/>
      <c r="AZ61" s="12">
        <f t="shared" si="3"/>
        <v>31.5</v>
      </c>
      <c r="BA61" s="12">
        <f t="shared" si="4"/>
        <v>41.5</v>
      </c>
      <c r="BB61" s="12"/>
      <c r="BC61" s="12">
        <f t="shared" si="5"/>
        <v>65.7</v>
      </c>
      <c r="BD61" s="12">
        <f t="shared" si="6"/>
        <v>72.3</v>
      </c>
      <c r="BE61" s="12">
        <f t="shared" si="7"/>
        <v>22.099999999999994</v>
      </c>
    </row>
    <row r="62" spans="1:57" ht="15.75" customHeight="1">
      <c r="A62" s="1" t="s">
        <v>106</v>
      </c>
      <c r="B62" s="3" t="s">
        <v>107</v>
      </c>
      <c r="C62" s="4" t="s">
        <v>94</v>
      </c>
      <c r="D62" s="4">
        <v>37</v>
      </c>
      <c r="E62" s="4">
        <v>881</v>
      </c>
      <c r="F62" s="4">
        <v>37</v>
      </c>
      <c r="G62" s="4">
        <v>881</v>
      </c>
      <c r="H62" s="4">
        <v>0.40100000000000002</v>
      </c>
      <c r="I62" s="4">
        <v>14.9</v>
      </c>
      <c r="J62" s="4"/>
      <c r="K62" s="4">
        <v>0.51300000000000001</v>
      </c>
      <c r="L62" s="4">
        <v>0.23300000000000001</v>
      </c>
      <c r="M62" s="4">
        <v>0.20799999999999999</v>
      </c>
      <c r="N62" s="4">
        <v>3.5999999999999997E-2</v>
      </c>
      <c r="O62" s="4">
        <v>3.5999999999999997E-2</v>
      </c>
      <c r="P62" s="4">
        <v>0.48699999999999999</v>
      </c>
      <c r="Q62" s="4"/>
      <c r="R62" s="4">
        <v>0.47599999999999998</v>
      </c>
      <c r="S62" s="4">
        <v>0.63100000000000001</v>
      </c>
      <c r="T62" s="4">
        <v>0.379</v>
      </c>
      <c r="U62" s="4">
        <v>0.1</v>
      </c>
      <c r="V62" s="4">
        <v>0.4</v>
      </c>
      <c r="W62" s="4">
        <v>0.32400000000000001</v>
      </c>
      <c r="X62" s="4"/>
      <c r="Y62" s="4">
        <v>0.64700000000000002</v>
      </c>
      <c r="Z62" s="4">
        <v>0.97699999999999998</v>
      </c>
      <c r="AA62" s="4"/>
      <c r="AB62" s="4">
        <v>0.13200000000000001</v>
      </c>
      <c r="AC62" s="4">
        <v>0.16700000000000001</v>
      </c>
      <c r="AD62" s="10">
        <f t="shared" si="1"/>
        <v>0.80770999999999993</v>
      </c>
      <c r="AE62" s="9"/>
      <c r="AF62" s="9"/>
      <c r="AG62" s="12">
        <f t="shared" si="2"/>
        <v>51.300000000000004</v>
      </c>
      <c r="AH62" s="12">
        <f t="shared" si="2"/>
        <v>67.900000000000006</v>
      </c>
      <c r="AI62" s="12">
        <f t="shared" si="2"/>
        <v>30.9</v>
      </c>
      <c r="AJ62" s="12">
        <f t="shared" si="2"/>
        <v>56.899999999999991</v>
      </c>
      <c r="AK62" s="12"/>
      <c r="AL62" s="12">
        <f t="shared" si="8"/>
        <v>34.200000000000003</v>
      </c>
      <c r="AM62" s="12">
        <f t="shared" si="8"/>
        <v>64.600000000000009</v>
      </c>
      <c r="AN62" s="12">
        <f t="shared" si="8"/>
        <v>35.9</v>
      </c>
      <c r="AO62" s="12">
        <f t="shared" si="8"/>
        <v>25.4</v>
      </c>
      <c r="AP62" s="12">
        <f t="shared" si="9"/>
        <v>46.400000000000006</v>
      </c>
      <c r="AQ62" s="12">
        <f t="shared" si="9"/>
        <v>65.7</v>
      </c>
      <c r="AR62" s="12"/>
      <c r="AS62" s="12">
        <f t="shared" si="10"/>
        <v>32</v>
      </c>
      <c r="AT62" s="12">
        <f t="shared" si="10"/>
        <v>34.200000000000003</v>
      </c>
      <c r="AU62" s="12">
        <f t="shared" si="10"/>
        <v>23.7</v>
      </c>
      <c r="AV62" s="12">
        <f t="shared" si="10"/>
        <v>18.7</v>
      </c>
      <c r="AW62" s="12">
        <f t="shared" si="11"/>
        <v>62.9</v>
      </c>
      <c r="AX62" s="12">
        <f t="shared" si="11"/>
        <v>46.9</v>
      </c>
      <c r="AY62" s="12"/>
      <c r="AZ62" s="12">
        <f t="shared" si="3"/>
        <v>46.5</v>
      </c>
      <c r="BA62" s="12">
        <f t="shared" si="4"/>
        <v>36.5</v>
      </c>
      <c r="BB62" s="12"/>
      <c r="BC62" s="12">
        <f t="shared" si="5"/>
        <v>25.4</v>
      </c>
      <c r="BD62" s="12">
        <f t="shared" si="6"/>
        <v>16</v>
      </c>
      <c r="BE62" s="12">
        <f t="shared" si="7"/>
        <v>32.099999999999994</v>
      </c>
    </row>
    <row r="63" spans="1:57" ht="15.75" customHeight="1">
      <c r="A63" s="1" t="s">
        <v>153</v>
      </c>
      <c r="B63" s="3" t="s">
        <v>91</v>
      </c>
      <c r="C63" s="4" t="s">
        <v>88</v>
      </c>
      <c r="D63" s="4">
        <v>40</v>
      </c>
      <c r="E63" s="4">
        <v>879</v>
      </c>
      <c r="F63" s="4">
        <v>40</v>
      </c>
      <c r="G63" s="4">
        <v>879</v>
      </c>
      <c r="H63" s="4">
        <v>0.433</v>
      </c>
      <c r="I63" s="4">
        <v>13.9</v>
      </c>
      <c r="J63" s="4"/>
      <c r="K63" s="4">
        <v>0.51500000000000001</v>
      </c>
      <c r="L63" s="4">
        <v>0.20100000000000001</v>
      </c>
      <c r="M63" s="4">
        <v>0.27600000000000002</v>
      </c>
      <c r="N63" s="4">
        <v>1.4999999999999999E-2</v>
      </c>
      <c r="O63" s="4">
        <v>2.1999999999999999E-2</v>
      </c>
      <c r="P63" s="4">
        <v>0.48499999999999999</v>
      </c>
      <c r="Q63" s="4"/>
      <c r="R63" s="4">
        <v>0.56499999999999995</v>
      </c>
      <c r="S63" s="4">
        <v>0.81499999999999995</v>
      </c>
      <c r="T63" s="4">
        <v>0.40500000000000003</v>
      </c>
      <c r="U63" s="4">
        <v>0.5</v>
      </c>
      <c r="V63" s="4">
        <v>0.33300000000000002</v>
      </c>
      <c r="W63" s="4">
        <v>0.29199999999999998</v>
      </c>
      <c r="X63" s="4"/>
      <c r="Y63" s="4">
        <v>0.84599999999999997</v>
      </c>
      <c r="Z63" s="4">
        <v>1</v>
      </c>
      <c r="AA63" s="4"/>
      <c r="AB63" s="4">
        <v>0.55400000000000005</v>
      </c>
      <c r="AC63" s="4">
        <v>0.25</v>
      </c>
      <c r="AD63" s="10">
        <f t="shared" si="1"/>
        <v>0.92069000000000001</v>
      </c>
      <c r="AE63" s="9"/>
      <c r="AF63" s="9"/>
      <c r="AG63" s="12">
        <f t="shared" si="2"/>
        <v>72.899999999999991</v>
      </c>
      <c r="AH63" s="12">
        <f t="shared" si="2"/>
        <v>67.400000000000006</v>
      </c>
      <c r="AI63" s="12">
        <f t="shared" si="2"/>
        <v>45.300000000000004</v>
      </c>
      <c r="AJ63" s="12">
        <f t="shared" si="2"/>
        <v>48.6</v>
      </c>
      <c r="AK63" s="12"/>
      <c r="AL63" s="12">
        <f t="shared" si="8"/>
        <v>34.799999999999997</v>
      </c>
      <c r="AM63" s="12">
        <f t="shared" si="8"/>
        <v>53</v>
      </c>
      <c r="AN63" s="12">
        <f t="shared" si="8"/>
        <v>60.199999999999996</v>
      </c>
      <c r="AO63" s="12">
        <f t="shared" si="8"/>
        <v>8.7999999999999989</v>
      </c>
      <c r="AP63" s="12">
        <f t="shared" si="9"/>
        <v>29.799999999999997</v>
      </c>
      <c r="AQ63" s="12">
        <f t="shared" si="9"/>
        <v>65.100000000000009</v>
      </c>
      <c r="AR63" s="12"/>
      <c r="AS63" s="12">
        <f t="shared" si="10"/>
        <v>79</v>
      </c>
      <c r="AT63" s="12">
        <f t="shared" si="10"/>
        <v>92.800000000000011</v>
      </c>
      <c r="AU63" s="12">
        <f t="shared" si="10"/>
        <v>35.9</v>
      </c>
      <c r="AV63" s="12">
        <f t="shared" si="10"/>
        <v>81.2</v>
      </c>
      <c r="AW63" s="12">
        <f t="shared" si="11"/>
        <v>45.800000000000004</v>
      </c>
      <c r="AX63" s="12">
        <f t="shared" si="11"/>
        <v>33.1</v>
      </c>
      <c r="AY63" s="12"/>
      <c r="AZ63" s="12">
        <f t="shared" si="3"/>
        <v>6.6999999999999886</v>
      </c>
      <c r="BA63" s="12">
        <f t="shared" si="4"/>
        <v>33.799999999999997</v>
      </c>
      <c r="BB63" s="12"/>
      <c r="BC63" s="12">
        <f t="shared" si="5"/>
        <v>97.7</v>
      </c>
      <c r="BD63" s="12">
        <f t="shared" si="6"/>
        <v>23.200000000000003</v>
      </c>
      <c r="BE63" s="12">
        <f t="shared" si="7"/>
        <v>5.6000000000000085</v>
      </c>
    </row>
    <row r="64" spans="1:57" ht="15.75" customHeight="1">
      <c r="A64" s="1" t="s">
        <v>163</v>
      </c>
      <c r="B64" s="3" t="s">
        <v>161</v>
      </c>
      <c r="C64" s="4" t="s">
        <v>8</v>
      </c>
      <c r="D64" s="4">
        <v>30</v>
      </c>
      <c r="E64" s="4">
        <v>859</v>
      </c>
      <c r="F64" s="4">
        <v>30</v>
      </c>
      <c r="G64" s="4">
        <v>859</v>
      </c>
      <c r="H64" s="4">
        <v>0.54200000000000004</v>
      </c>
      <c r="I64" s="4">
        <v>18.600000000000001</v>
      </c>
      <c r="J64" s="4"/>
      <c r="K64" s="4">
        <v>0.33600000000000002</v>
      </c>
      <c r="L64" s="4">
        <v>0.19800000000000001</v>
      </c>
      <c r="M64" s="4">
        <v>6.9000000000000006E-2</v>
      </c>
      <c r="N64" s="4">
        <v>1.4999999999999999E-2</v>
      </c>
      <c r="O64" s="4">
        <v>5.2999999999999999E-2</v>
      </c>
      <c r="P64" s="4">
        <v>0.66400000000000003</v>
      </c>
      <c r="Q64" s="4"/>
      <c r="R64" s="4">
        <v>0.77300000000000002</v>
      </c>
      <c r="S64" s="4">
        <v>0.84599999999999997</v>
      </c>
      <c r="T64" s="4">
        <v>0.77800000000000002</v>
      </c>
      <c r="U64" s="4">
        <v>0.5</v>
      </c>
      <c r="V64" s="4">
        <v>0.57099999999999995</v>
      </c>
      <c r="W64" s="4">
        <v>0.42499999999999999</v>
      </c>
      <c r="X64" s="4"/>
      <c r="Y64" s="4">
        <v>0.26500000000000001</v>
      </c>
      <c r="Z64" s="4">
        <v>0.75700000000000001</v>
      </c>
      <c r="AA64" s="4"/>
      <c r="AB64" s="4">
        <v>9.1999999999999998E-2</v>
      </c>
      <c r="AC64" s="4">
        <v>0.25</v>
      </c>
      <c r="AD64" s="10">
        <f t="shared" si="1"/>
        <v>0.59168799999999999</v>
      </c>
      <c r="AE64" s="9"/>
      <c r="AF64" s="9"/>
      <c r="AG64" s="12">
        <f t="shared" si="2"/>
        <v>32</v>
      </c>
      <c r="AH64" s="12">
        <f t="shared" si="2"/>
        <v>66.8</v>
      </c>
      <c r="AI64" s="12">
        <f t="shared" si="2"/>
        <v>90.600000000000009</v>
      </c>
      <c r="AJ64" s="12">
        <f t="shared" si="2"/>
        <v>87.2</v>
      </c>
      <c r="AK64" s="12"/>
      <c r="AL64" s="12">
        <f t="shared" si="8"/>
        <v>10.4</v>
      </c>
      <c r="AM64" s="12">
        <f t="shared" si="8"/>
        <v>50.8</v>
      </c>
      <c r="AN64" s="12">
        <f t="shared" si="8"/>
        <v>0.5</v>
      </c>
      <c r="AO64" s="12">
        <f t="shared" si="8"/>
        <v>8.7999999999999989</v>
      </c>
      <c r="AP64" s="12">
        <f t="shared" si="9"/>
        <v>64</v>
      </c>
      <c r="AQ64" s="12">
        <f t="shared" si="9"/>
        <v>89.5</v>
      </c>
      <c r="AR64" s="12"/>
      <c r="AS64" s="12">
        <f t="shared" si="10"/>
        <v>100</v>
      </c>
      <c r="AT64" s="12">
        <f t="shared" si="10"/>
        <v>94.399999999999991</v>
      </c>
      <c r="AU64" s="12">
        <f t="shared" si="10"/>
        <v>100</v>
      </c>
      <c r="AV64" s="12">
        <f t="shared" si="10"/>
        <v>81.2</v>
      </c>
      <c r="AW64" s="12">
        <f t="shared" si="11"/>
        <v>91.7</v>
      </c>
      <c r="AX64" s="12">
        <f t="shared" si="11"/>
        <v>91.7</v>
      </c>
      <c r="AY64" s="12"/>
      <c r="AZ64" s="12">
        <f t="shared" si="3"/>
        <v>92.3</v>
      </c>
      <c r="BA64" s="12">
        <f t="shared" si="4"/>
        <v>80.7</v>
      </c>
      <c r="BB64" s="12"/>
      <c r="BC64" s="12">
        <f t="shared" si="5"/>
        <v>14.899999999999999</v>
      </c>
      <c r="BD64" s="12">
        <f t="shared" si="6"/>
        <v>23.200000000000003</v>
      </c>
      <c r="BE64" s="12">
        <f t="shared" si="7"/>
        <v>79.099999999999994</v>
      </c>
    </row>
    <row r="65" spans="1:57" ht="15.75" customHeight="1">
      <c r="A65" s="1" t="s">
        <v>129</v>
      </c>
      <c r="B65" s="3" t="s">
        <v>107</v>
      </c>
      <c r="C65" s="4" t="s">
        <v>8</v>
      </c>
      <c r="D65" s="4">
        <v>37</v>
      </c>
      <c r="E65" s="4">
        <v>851</v>
      </c>
      <c r="F65" s="4">
        <v>37</v>
      </c>
      <c r="G65" s="4">
        <v>851</v>
      </c>
      <c r="H65" s="4">
        <v>0.34300000000000003</v>
      </c>
      <c r="I65" s="4">
        <v>13.9</v>
      </c>
      <c r="J65" s="4"/>
      <c r="K65" s="4">
        <v>0.747</v>
      </c>
      <c r="L65" s="4">
        <v>0.18</v>
      </c>
      <c r="M65" s="4">
        <v>0.18</v>
      </c>
      <c r="N65" s="4">
        <v>0.247</v>
      </c>
      <c r="O65" s="4">
        <v>0.14000000000000001</v>
      </c>
      <c r="P65" s="4">
        <v>0.253</v>
      </c>
      <c r="Q65" s="4"/>
      <c r="R65" s="4">
        <v>0.40200000000000002</v>
      </c>
      <c r="S65" s="4">
        <v>0.61099999999999999</v>
      </c>
      <c r="T65" s="4">
        <v>0.40699999999999997</v>
      </c>
      <c r="U65" s="4">
        <v>0.35099999999999998</v>
      </c>
      <c r="V65" s="4">
        <v>0.214</v>
      </c>
      <c r="W65" s="4">
        <v>0.17100000000000001</v>
      </c>
      <c r="X65" s="4"/>
      <c r="Y65" s="4">
        <v>0.41099999999999998</v>
      </c>
      <c r="Z65" s="4">
        <v>0.92300000000000004</v>
      </c>
      <c r="AA65" s="4"/>
      <c r="AB65" s="4">
        <v>0.224</v>
      </c>
      <c r="AC65" s="4">
        <v>0.23499999999999999</v>
      </c>
      <c r="AD65" s="10">
        <f t="shared" si="1"/>
        <v>0.54053600000000002</v>
      </c>
      <c r="AE65" s="9"/>
      <c r="AF65" s="9"/>
      <c r="AG65" s="12">
        <f t="shared" si="2"/>
        <v>51.300000000000004</v>
      </c>
      <c r="AH65" s="12">
        <f t="shared" si="2"/>
        <v>66.2</v>
      </c>
      <c r="AI65" s="12">
        <f t="shared" si="2"/>
        <v>7.1</v>
      </c>
      <c r="AJ65" s="12">
        <f t="shared" si="2"/>
        <v>48.6</v>
      </c>
      <c r="AK65" s="12"/>
      <c r="AL65" s="12">
        <f t="shared" si="8"/>
        <v>77.3</v>
      </c>
      <c r="AM65" s="12">
        <f t="shared" si="8"/>
        <v>44.7</v>
      </c>
      <c r="AN65" s="12">
        <f t="shared" si="8"/>
        <v>25.4</v>
      </c>
      <c r="AO65" s="12">
        <f t="shared" si="8"/>
        <v>98.3</v>
      </c>
      <c r="AP65" s="12">
        <f t="shared" si="9"/>
        <v>96.6</v>
      </c>
      <c r="AQ65" s="12">
        <f t="shared" si="9"/>
        <v>22.6</v>
      </c>
      <c r="AR65" s="12"/>
      <c r="AS65" s="12">
        <f t="shared" si="10"/>
        <v>11</v>
      </c>
      <c r="AT65" s="12">
        <f t="shared" si="10"/>
        <v>28.7</v>
      </c>
      <c r="AU65" s="12">
        <f t="shared" si="10"/>
        <v>37.5</v>
      </c>
      <c r="AV65" s="12">
        <f t="shared" si="10"/>
        <v>49.1</v>
      </c>
      <c r="AW65" s="12">
        <f t="shared" si="11"/>
        <v>30.3</v>
      </c>
      <c r="AX65" s="12">
        <f t="shared" si="11"/>
        <v>8.7999999999999989</v>
      </c>
      <c r="AY65" s="12"/>
      <c r="AZ65" s="12">
        <f t="shared" si="3"/>
        <v>81.3</v>
      </c>
      <c r="BA65" s="12">
        <f t="shared" si="4"/>
        <v>57</v>
      </c>
      <c r="BB65" s="12"/>
      <c r="BC65" s="12">
        <f t="shared" si="5"/>
        <v>62.4</v>
      </c>
      <c r="BD65" s="12">
        <f t="shared" si="6"/>
        <v>22</v>
      </c>
      <c r="BE65" s="12">
        <f t="shared" si="7"/>
        <v>84.6</v>
      </c>
    </row>
    <row r="66" spans="1:57" ht="15.75" customHeight="1">
      <c r="A66" s="1" t="s">
        <v>250</v>
      </c>
      <c r="B66" s="3" t="s">
        <v>84</v>
      </c>
      <c r="C66" s="4" t="s">
        <v>8</v>
      </c>
      <c r="D66" s="4">
        <v>28</v>
      </c>
      <c r="E66" s="4">
        <v>850</v>
      </c>
      <c r="F66" s="4">
        <v>28</v>
      </c>
      <c r="G66" s="4">
        <v>850</v>
      </c>
      <c r="H66" s="4">
        <v>0.40100000000000002</v>
      </c>
      <c r="I66" s="4">
        <v>16</v>
      </c>
      <c r="J66" s="4"/>
      <c r="K66" s="4">
        <v>0.48199999999999998</v>
      </c>
      <c r="L66" s="4">
        <v>0.16</v>
      </c>
      <c r="M66" s="4">
        <v>0.221</v>
      </c>
      <c r="N66" s="4">
        <v>7.8E-2</v>
      </c>
      <c r="O66" s="4">
        <v>2.1999999999999999E-2</v>
      </c>
      <c r="P66" s="4">
        <v>0.51800000000000002</v>
      </c>
      <c r="Q66" s="4"/>
      <c r="R66" s="4">
        <v>0.51200000000000001</v>
      </c>
      <c r="S66" s="4">
        <v>0.71899999999999997</v>
      </c>
      <c r="T66" s="4">
        <v>0.36699999999999999</v>
      </c>
      <c r="U66" s="4">
        <v>0.57099999999999995</v>
      </c>
      <c r="V66" s="4">
        <v>0.25</v>
      </c>
      <c r="W66" s="4">
        <v>0.29699999999999999</v>
      </c>
      <c r="X66" s="4"/>
      <c r="Y66" s="4">
        <v>0.35199999999999998</v>
      </c>
      <c r="Z66" s="4">
        <v>0.67300000000000004</v>
      </c>
      <c r="AA66" s="4"/>
      <c r="AB66" s="4">
        <v>0.17799999999999999</v>
      </c>
      <c r="AC66" s="4">
        <v>0.30299999999999999</v>
      </c>
      <c r="AD66" s="10">
        <f t="shared" si="1"/>
        <v>0.51827800000000002</v>
      </c>
      <c r="AE66" s="9"/>
      <c r="AF66" s="9"/>
      <c r="AG66" s="12">
        <f t="shared" si="2"/>
        <v>28.1</v>
      </c>
      <c r="AH66" s="12">
        <f t="shared" si="2"/>
        <v>65.7</v>
      </c>
      <c r="AI66" s="12">
        <f t="shared" si="2"/>
        <v>30.9</v>
      </c>
      <c r="AJ66" s="12">
        <f t="shared" si="2"/>
        <v>67.900000000000006</v>
      </c>
      <c r="AK66" s="12"/>
      <c r="AL66" s="12">
        <f t="shared" si="8"/>
        <v>25.4</v>
      </c>
      <c r="AM66" s="12">
        <f t="shared" si="8"/>
        <v>37</v>
      </c>
      <c r="AN66" s="12">
        <f t="shared" si="8"/>
        <v>38.6</v>
      </c>
      <c r="AO66" s="12">
        <f t="shared" si="8"/>
        <v>57.4</v>
      </c>
      <c r="AP66" s="12">
        <f t="shared" si="9"/>
        <v>29.799999999999997</v>
      </c>
      <c r="AQ66" s="12">
        <f t="shared" si="9"/>
        <v>74.5</v>
      </c>
      <c r="AR66" s="12"/>
      <c r="AS66" s="12">
        <f t="shared" si="10"/>
        <v>46.9</v>
      </c>
      <c r="AT66" s="12">
        <f t="shared" si="10"/>
        <v>66.8</v>
      </c>
      <c r="AU66" s="12">
        <f t="shared" si="10"/>
        <v>22</v>
      </c>
      <c r="AV66" s="12">
        <f t="shared" si="10"/>
        <v>90.600000000000009</v>
      </c>
      <c r="AW66" s="12">
        <f t="shared" si="11"/>
        <v>32</v>
      </c>
      <c r="AX66" s="12">
        <f t="shared" si="11"/>
        <v>34.799999999999997</v>
      </c>
      <c r="AY66" s="12"/>
      <c r="AZ66" s="12">
        <f t="shared" si="3"/>
        <v>86.8</v>
      </c>
      <c r="BA66" s="12">
        <f t="shared" si="4"/>
        <v>87.9</v>
      </c>
      <c r="BB66" s="12"/>
      <c r="BC66" s="12">
        <f t="shared" si="5"/>
        <v>46.9</v>
      </c>
      <c r="BD66" s="12">
        <f t="shared" si="6"/>
        <v>40.300000000000004</v>
      </c>
      <c r="BE66" s="12">
        <f t="shared" si="7"/>
        <v>90.1</v>
      </c>
    </row>
    <row r="67" spans="1:57" ht="15.75" customHeight="1">
      <c r="A67" s="1" t="s">
        <v>143</v>
      </c>
      <c r="B67" s="3" t="s">
        <v>91</v>
      </c>
      <c r="C67" s="4" t="s">
        <v>85</v>
      </c>
      <c r="D67" s="4">
        <v>38</v>
      </c>
      <c r="E67" s="4">
        <v>849</v>
      </c>
      <c r="F67" s="4">
        <v>38</v>
      </c>
      <c r="G67" s="4">
        <v>849</v>
      </c>
      <c r="H67" s="4">
        <v>0.42499999999999999</v>
      </c>
      <c r="I67" s="4">
        <v>19</v>
      </c>
      <c r="J67" s="4"/>
      <c r="K67" s="4">
        <v>0.38</v>
      </c>
      <c r="L67" s="4">
        <v>9.6000000000000002E-2</v>
      </c>
      <c r="M67" s="4">
        <v>0.115</v>
      </c>
      <c r="N67" s="4">
        <v>6.7000000000000004E-2</v>
      </c>
      <c r="O67" s="4">
        <v>0.10199999999999999</v>
      </c>
      <c r="P67" s="4">
        <v>0.62</v>
      </c>
      <c r="Q67" s="4"/>
      <c r="R67" s="4">
        <v>0.47199999999999998</v>
      </c>
      <c r="S67" s="4">
        <v>0.72199999999999998</v>
      </c>
      <c r="T67" s="4">
        <v>0.442</v>
      </c>
      <c r="U67" s="4">
        <v>0.32</v>
      </c>
      <c r="V67" s="4">
        <v>0.36799999999999999</v>
      </c>
      <c r="W67" s="4">
        <v>0.39700000000000002</v>
      </c>
      <c r="X67" s="4"/>
      <c r="Y67" s="4">
        <v>0.71599999999999997</v>
      </c>
      <c r="Z67" s="4">
        <v>0.98899999999999999</v>
      </c>
      <c r="AA67" s="4"/>
      <c r="AB67" s="4">
        <v>0.20699999999999999</v>
      </c>
      <c r="AC67" s="4">
        <v>0.39600000000000002</v>
      </c>
      <c r="AD67" s="10">
        <f t="shared" si="1"/>
        <v>0.88525999999999994</v>
      </c>
      <c r="AE67" s="9"/>
      <c r="AF67" s="9"/>
      <c r="AG67" s="12">
        <f t="shared" si="2"/>
        <v>59.599999999999994</v>
      </c>
      <c r="AH67" s="12">
        <f t="shared" si="2"/>
        <v>65.100000000000009</v>
      </c>
      <c r="AI67" s="12">
        <f t="shared" si="2"/>
        <v>41.9</v>
      </c>
      <c r="AJ67" s="12">
        <f t="shared" si="2"/>
        <v>89.5</v>
      </c>
      <c r="AK67" s="12"/>
      <c r="AL67" s="12">
        <f t="shared" si="8"/>
        <v>13.8</v>
      </c>
      <c r="AM67" s="12">
        <f t="shared" si="8"/>
        <v>13.8</v>
      </c>
      <c r="AN67" s="12">
        <f t="shared" si="8"/>
        <v>7.1</v>
      </c>
      <c r="AO67" s="12">
        <f t="shared" si="8"/>
        <v>49.7</v>
      </c>
      <c r="AP67" s="12">
        <f t="shared" si="9"/>
        <v>89.5</v>
      </c>
      <c r="AQ67" s="12">
        <f t="shared" si="9"/>
        <v>86.1</v>
      </c>
      <c r="AR67" s="12"/>
      <c r="AS67" s="12">
        <f t="shared" si="10"/>
        <v>28.7</v>
      </c>
      <c r="AT67" s="12">
        <f t="shared" si="10"/>
        <v>67.900000000000006</v>
      </c>
      <c r="AU67" s="12">
        <f t="shared" si="10"/>
        <v>49.1</v>
      </c>
      <c r="AV67" s="12">
        <f t="shared" si="10"/>
        <v>40.300000000000004</v>
      </c>
      <c r="AW67" s="12">
        <f t="shared" si="11"/>
        <v>57.999999999999993</v>
      </c>
      <c r="AX67" s="12">
        <f t="shared" si="11"/>
        <v>84.5</v>
      </c>
      <c r="AY67" s="12"/>
      <c r="AZ67" s="12">
        <f t="shared" si="3"/>
        <v>29.900000000000006</v>
      </c>
      <c r="BA67" s="12">
        <f t="shared" si="4"/>
        <v>34.299999999999997</v>
      </c>
      <c r="BB67" s="12"/>
      <c r="BC67" s="12">
        <f t="shared" si="5"/>
        <v>59.099999999999994</v>
      </c>
      <c r="BD67" s="12">
        <f t="shared" si="6"/>
        <v>61.8</v>
      </c>
      <c r="BE67" s="12">
        <f t="shared" si="7"/>
        <v>13.299999999999997</v>
      </c>
    </row>
    <row r="68" spans="1:57" ht="15.75" customHeight="1">
      <c r="A68" s="1" t="s">
        <v>152</v>
      </c>
      <c r="B68" s="4" t="s">
        <v>131</v>
      </c>
      <c r="C68" s="4" t="s">
        <v>8</v>
      </c>
      <c r="D68" s="4">
        <v>41</v>
      </c>
      <c r="E68" s="4">
        <v>847</v>
      </c>
      <c r="F68" s="4">
        <v>41</v>
      </c>
      <c r="G68" s="4">
        <v>847</v>
      </c>
      <c r="H68" s="4">
        <v>0.42099999999999999</v>
      </c>
      <c r="I68" s="4">
        <v>15.7</v>
      </c>
      <c r="J68" s="4"/>
      <c r="K68" s="4">
        <v>0.49099999999999999</v>
      </c>
      <c r="L68" s="4">
        <v>0.23100000000000001</v>
      </c>
      <c r="M68" s="4">
        <v>0.10199999999999999</v>
      </c>
      <c r="N68" s="4">
        <v>9.2999999999999999E-2</v>
      </c>
      <c r="O68" s="4">
        <v>6.5000000000000002E-2</v>
      </c>
      <c r="P68" s="4">
        <v>0.50900000000000001</v>
      </c>
      <c r="Q68" s="4"/>
      <c r="R68" s="4">
        <v>0.53800000000000003</v>
      </c>
      <c r="S68" s="4">
        <v>0.74</v>
      </c>
      <c r="T68" s="4">
        <v>0.36399999999999999</v>
      </c>
      <c r="U68" s="4">
        <v>0.35</v>
      </c>
      <c r="V68" s="4">
        <v>0.35699999999999998</v>
      </c>
      <c r="W68" s="4">
        <v>0.309</v>
      </c>
      <c r="X68" s="4"/>
      <c r="Y68" s="4">
        <v>0.70199999999999996</v>
      </c>
      <c r="Z68" s="4">
        <v>0.94099999999999995</v>
      </c>
      <c r="AA68" s="4"/>
      <c r="AB68" s="4">
        <v>0.29099999999999998</v>
      </c>
      <c r="AC68" s="4">
        <v>0.438</v>
      </c>
      <c r="AD68" s="10">
        <f t="shared" si="1"/>
        <v>0.82365099999999991</v>
      </c>
      <c r="AE68" s="9"/>
      <c r="AF68" s="9"/>
      <c r="AG68" s="12">
        <f t="shared" si="2"/>
        <v>85.6</v>
      </c>
      <c r="AH68" s="12">
        <f t="shared" si="2"/>
        <v>64.600000000000009</v>
      </c>
      <c r="AI68" s="12">
        <f t="shared" si="2"/>
        <v>39.700000000000003</v>
      </c>
      <c r="AJ68" s="12">
        <f t="shared" si="2"/>
        <v>64</v>
      </c>
      <c r="AK68" s="12"/>
      <c r="AL68" s="12">
        <f t="shared" si="8"/>
        <v>27</v>
      </c>
      <c r="AM68" s="12">
        <f t="shared" si="8"/>
        <v>62.9</v>
      </c>
      <c r="AN68" s="12">
        <f t="shared" si="8"/>
        <v>4.9000000000000004</v>
      </c>
      <c r="AO68" s="12">
        <f t="shared" si="8"/>
        <v>68.5</v>
      </c>
      <c r="AP68" s="12">
        <f t="shared" si="9"/>
        <v>75.099999999999994</v>
      </c>
      <c r="AQ68" s="12">
        <f t="shared" si="9"/>
        <v>71.8</v>
      </c>
      <c r="AR68" s="12"/>
      <c r="AS68" s="12">
        <f t="shared" si="10"/>
        <v>65.100000000000009</v>
      </c>
      <c r="AT68" s="12">
        <f t="shared" si="10"/>
        <v>75.599999999999994</v>
      </c>
      <c r="AU68" s="12">
        <f t="shared" si="10"/>
        <v>20.399999999999999</v>
      </c>
      <c r="AV68" s="12">
        <f t="shared" si="10"/>
        <v>48.6</v>
      </c>
      <c r="AW68" s="12">
        <f t="shared" si="11"/>
        <v>56.3</v>
      </c>
      <c r="AX68" s="12">
        <f t="shared" si="11"/>
        <v>39.700000000000003</v>
      </c>
      <c r="AY68" s="12"/>
      <c r="AZ68" s="12">
        <f t="shared" si="3"/>
        <v>34.899999999999991</v>
      </c>
      <c r="BA68" s="12">
        <f t="shared" si="4"/>
        <v>47.599999999999994</v>
      </c>
      <c r="BB68" s="12"/>
      <c r="BC68" s="12">
        <f t="shared" si="5"/>
        <v>75.599999999999994</v>
      </c>
      <c r="BD68" s="12">
        <f t="shared" si="6"/>
        <v>70.7</v>
      </c>
      <c r="BE68" s="12">
        <f t="shared" si="7"/>
        <v>27.100000000000009</v>
      </c>
    </row>
    <row r="69" spans="1:57" ht="15.75" customHeight="1">
      <c r="A69" s="1" t="s">
        <v>122</v>
      </c>
      <c r="B69" s="3" t="s">
        <v>114</v>
      </c>
      <c r="C69" s="4" t="s">
        <v>88</v>
      </c>
      <c r="D69" s="4">
        <v>32</v>
      </c>
      <c r="E69" s="4">
        <v>843</v>
      </c>
      <c r="F69" s="4">
        <v>32</v>
      </c>
      <c r="G69" s="4">
        <v>843</v>
      </c>
      <c r="H69" s="4">
        <v>0.48099999999999998</v>
      </c>
      <c r="I69" s="4">
        <v>9.1999999999999993</v>
      </c>
      <c r="J69" s="4"/>
      <c r="K69" s="4">
        <v>0.84</v>
      </c>
      <c r="L69" s="4">
        <v>0.252</v>
      </c>
      <c r="M69" s="4">
        <v>0.43099999999999999</v>
      </c>
      <c r="N69" s="4">
        <v>9.9000000000000005E-2</v>
      </c>
      <c r="O69" s="4">
        <v>5.8000000000000003E-2</v>
      </c>
      <c r="P69" s="4">
        <v>0.16</v>
      </c>
      <c r="Q69" s="4"/>
      <c r="R69" s="4">
        <v>0.51900000000000002</v>
      </c>
      <c r="S69" s="4">
        <v>0.76800000000000002</v>
      </c>
      <c r="T69" s="4">
        <v>0.47399999999999998</v>
      </c>
      <c r="U69" s="4">
        <v>0.27300000000000002</v>
      </c>
      <c r="V69" s="4">
        <v>0.192</v>
      </c>
      <c r="W69" s="4">
        <v>0.28199999999999997</v>
      </c>
      <c r="X69" s="4"/>
      <c r="Y69" s="4">
        <v>0.68600000000000005</v>
      </c>
      <c r="Z69" s="4">
        <v>0.9</v>
      </c>
      <c r="AA69" s="4"/>
      <c r="AB69" s="4">
        <v>0.19700000000000001</v>
      </c>
      <c r="AC69" s="4">
        <v>0.28599999999999998</v>
      </c>
      <c r="AD69" s="10">
        <f t="shared" ref="AD69:AD132" si="12">(K69*Y69+P69*Z69)</f>
        <v>0.72023999999999999</v>
      </c>
      <c r="AE69" s="9"/>
      <c r="AF69" s="9"/>
      <c r="AG69" s="12">
        <f t="shared" ref="AG69:AJ132" si="13">(PERCENTRANK(F$4:F$298,F69))*100</f>
        <v>35.299999999999997</v>
      </c>
      <c r="AH69" s="12">
        <f t="shared" si="13"/>
        <v>64</v>
      </c>
      <c r="AI69" s="12">
        <f t="shared" si="13"/>
        <v>72.3</v>
      </c>
      <c r="AJ69" s="12">
        <f t="shared" si="13"/>
        <v>16.5</v>
      </c>
      <c r="AK69" s="12"/>
      <c r="AL69" s="12">
        <f t="shared" si="8"/>
        <v>86.1</v>
      </c>
      <c r="AM69" s="12">
        <f t="shared" si="8"/>
        <v>66.2</v>
      </c>
      <c r="AN69" s="12">
        <f t="shared" si="8"/>
        <v>92.2</v>
      </c>
      <c r="AO69" s="12">
        <f t="shared" si="8"/>
        <v>72.3</v>
      </c>
      <c r="AP69" s="12">
        <f t="shared" si="9"/>
        <v>69</v>
      </c>
      <c r="AQ69" s="12">
        <f t="shared" si="9"/>
        <v>13.8</v>
      </c>
      <c r="AR69" s="12"/>
      <c r="AS69" s="12">
        <f t="shared" si="10"/>
        <v>54.1</v>
      </c>
      <c r="AT69" s="12">
        <f t="shared" si="10"/>
        <v>85.6</v>
      </c>
      <c r="AU69" s="12">
        <f t="shared" si="10"/>
        <v>62.9</v>
      </c>
      <c r="AV69" s="12">
        <f t="shared" si="10"/>
        <v>32</v>
      </c>
      <c r="AW69" s="12">
        <f t="shared" si="11"/>
        <v>27</v>
      </c>
      <c r="AX69" s="12">
        <f t="shared" si="11"/>
        <v>28.7</v>
      </c>
      <c r="AY69" s="12"/>
      <c r="AZ69" s="12">
        <f t="shared" ref="AZ69:AZ132" si="14">100-(PERCENTRANK(Y$4:Y$298,Y69))*100</f>
        <v>37.1</v>
      </c>
      <c r="BA69" s="12">
        <f t="shared" ref="BA69:BA132" si="15">100-(PERCENTRANK(Z$4:Z$298,Z69))*100</f>
        <v>62.5</v>
      </c>
      <c r="BB69" s="12"/>
      <c r="BC69" s="12">
        <f t="shared" ref="BC69:BC132" si="16">(PERCENTRANK(AB$4:AB$298,AB69))*100</f>
        <v>55.800000000000004</v>
      </c>
      <c r="BD69" s="12">
        <f t="shared" ref="BD69:BD132" si="17">(PERCENTRANK(AC$4:AC$298,AC69))*100</f>
        <v>34.799999999999997</v>
      </c>
      <c r="BE69" s="12">
        <f t="shared" ref="BE69:BE132" si="18">100-(PERCENTRANK(AD$4:AD$298,AD69))*100</f>
        <v>53.1</v>
      </c>
    </row>
    <row r="70" spans="1:57" ht="15.75" customHeight="1">
      <c r="A70" s="1" t="s">
        <v>124</v>
      </c>
      <c r="B70" s="3" t="s">
        <v>91</v>
      </c>
      <c r="C70" s="4" t="s">
        <v>94</v>
      </c>
      <c r="D70" s="4">
        <v>41</v>
      </c>
      <c r="E70" s="4">
        <v>812</v>
      </c>
      <c r="F70" s="4">
        <v>41</v>
      </c>
      <c r="G70" s="4">
        <v>812</v>
      </c>
      <c r="H70" s="4">
        <v>0.40899999999999997</v>
      </c>
      <c r="I70" s="4">
        <v>13.3</v>
      </c>
      <c r="J70" s="4"/>
      <c r="K70" s="4">
        <v>0.60399999999999998</v>
      </c>
      <c r="L70" s="4">
        <v>0.161</v>
      </c>
      <c r="M70" s="4">
        <v>0.33900000000000002</v>
      </c>
      <c r="N70" s="4">
        <v>7.8E-2</v>
      </c>
      <c r="O70" s="4">
        <v>2.5999999999999999E-2</v>
      </c>
      <c r="P70" s="4">
        <v>0.39600000000000002</v>
      </c>
      <c r="Q70" s="4"/>
      <c r="R70" s="4">
        <v>0.496</v>
      </c>
      <c r="S70" s="4">
        <v>0.622</v>
      </c>
      <c r="T70" s="4">
        <v>0.55100000000000005</v>
      </c>
      <c r="U70" s="4">
        <v>5.6000000000000001E-2</v>
      </c>
      <c r="V70" s="4">
        <v>0.33300000000000002</v>
      </c>
      <c r="W70" s="4">
        <v>0.27500000000000002</v>
      </c>
      <c r="X70" s="4"/>
      <c r="Y70" s="4">
        <v>0.55100000000000005</v>
      </c>
      <c r="Z70" s="4">
        <v>0.96</v>
      </c>
      <c r="AA70" s="4"/>
      <c r="AB70" s="4">
        <v>0.36299999999999999</v>
      </c>
      <c r="AC70" s="4">
        <v>0.21199999999999999</v>
      </c>
      <c r="AD70" s="10">
        <f t="shared" si="12"/>
        <v>0.71296400000000004</v>
      </c>
      <c r="AE70" s="9"/>
      <c r="AF70" s="9"/>
      <c r="AG70" s="12">
        <f t="shared" si="13"/>
        <v>85.6</v>
      </c>
      <c r="AH70" s="12">
        <f t="shared" si="13"/>
        <v>63.5</v>
      </c>
      <c r="AI70" s="12">
        <f t="shared" si="13"/>
        <v>34.799999999999997</v>
      </c>
      <c r="AJ70" s="12">
        <f t="shared" si="13"/>
        <v>43.6</v>
      </c>
      <c r="AK70" s="12"/>
      <c r="AL70" s="12">
        <f t="shared" si="8"/>
        <v>52.400000000000006</v>
      </c>
      <c r="AM70" s="12">
        <f t="shared" si="8"/>
        <v>38.6</v>
      </c>
      <c r="AN70" s="12">
        <f t="shared" si="8"/>
        <v>77.900000000000006</v>
      </c>
      <c r="AO70" s="12">
        <f t="shared" si="8"/>
        <v>57.4</v>
      </c>
      <c r="AP70" s="12">
        <f t="shared" si="9"/>
        <v>33.700000000000003</v>
      </c>
      <c r="AQ70" s="12">
        <f t="shared" si="9"/>
        <v>46.400000000000006</v>
      </c>
      <c r="AR70" s="12"/>
      <c r="AS70" s="12">
        <f t="shared" si="10"/>
        <v>41.4</v>
      </c>
      <c r="AT70" s="12">
        <f t="shared" si="10"/>
        <v>32.5</v>
      </c>
      <c r="AU70" s="12">
        <f t="shared" si="10"/>
        <v>89.5</v>
      </c>
      <c r="AV70" s="12">
        <f t="shared" si="10"/>
        <v>18.2</v>
      </c>
      <c r="AW70" s="12">
        <f t="shared" si="11"/>
        <v>45.800000000000004</v>
      </c>
      <c r="AX70" s="12">
        <f t="shared" si="11"/>
        <v>25.900000000000002</v>
      </c>
      <c r="AY70" s="12"/>
      <c r="AZ70" s="12">
        <f t="shared" si="14"/>
        <v>61.4</v>
      </c>
      <c r="BA70" s="12">
        <f t="shared" si="15"/>
        <v>42.6</v>
      </c>
      <c r="BB70" s="12"/>
      <c r="BC70" s="12">
        <f t="shared" si="16"/>
        <v>84.5</v>
      </c>
      <c r="BD70" s="12">
        <f t="shared" si="17"/>
        <v>19.3</v>
      </c>
      <c r="BE70" s="12">
        <f t="shared" si="18"/>
        <v>55.3</v>
      </c>
    </row>
    <row r="71" spans="1:57" ht="15.75" customHeight="1">
      <c r="A71" s="1" t="s">
        <v>251</v>
      </c>
      <c r="B71" s="3" t="s">
        <v>131</v>
      </c>
      <c r="C71" s="4" t="s">
        <v>119</v>
      </c>
      <c r="D71" s="4">
        <v>32</v>
      </c>
      <c r="E71" s="4">
        <v>784</v>
      </c>
      <c r="F71" s="4">
        <v>32</v>
      </c>
      <c r="G71" s="4">
        <v>784</v>
      </c>
      <c r="H71" s="4">
        <v>0.42599999999999999</v>
      </c>
      <c r="I71" s="4">
        <v>11.8</v>
      </c>
      <c r="J71" s="4"/>
      <c r="K71" s="4">
        <v>0.63700000000000001</v>
      </c>
      <c r="L71" s="4">
        <v>0.35599999999999998</v>
      </c>
      <c r="M71" s="4">
        <v>0.182</v>
      </c>
      <c r="N71" s="4">
        <v>7.5999999999999998E-2</v>
      </c>
      <c r="O71" s="4">
        <v>2.3E-2</v>
      </c>
      <c r="P71" s="4">
        <v>0.36299999999999999</v>
      </c>
      <c r="Q71" s="4"/>
      <c r="R71" s="4">
        <v>0.52300000000000002</v>
      </c>
      <c r="S71" s="4">
        <v>0.60199999999999998</v>
      </c>
      <c r="T71" s="4">
        <v>0.41799999999999998</v>
      </c>
      <c r="U71" s="4">
        <v>0.39100000000000001</v>
      </c>
      <c r="V71" s="4">
        <v>0.57099999999999995</v>
      </c>
      <c r="W71" s="4">
        <v>0.255</v>
      </c>
      <c r="X71" s="4"/>
      <c r="Y71" s="4">
        <v>0.73299999999999998</v>
      </c>
      <c r="Z71" s="4">
        <v>0.92900000000000005</v>
      </c>
      <c r="AA71" s="4"/>
      <c r="AB71" s="4">
        <v>0.318</v>
      </c>
      <c r="AC71" s="4">
        <v>0.28599999999999998</v>
      </c>
      <c r="AD71" s="10">
        <f t="shared" si="12"/>
        <v>0.80414799999999997</v>
      </c>
      <c r="AE71" s="9"/>
      <c r="AF71" s="9"/>
      <c r="AG71" s="12">
        <f t="shared" si="13"/>
        <v>35.299999999999997</v>
      </c>
      <c r="AH71" s="12">
        <f t="shared" si="13"/>
        <v>62.9</v>
      </c>
      <c r="AI71" s="12">
        <f t="shared" si="13"/>
        <v>42.5</v>
      </c>
      <c r="AJ71" s="12">
        <f t="shared" si="13"/>
        <v>29.2</v>
      </c>
      <c r="AK71" s="12"/>
      <c r="AL71" s="12">
        <f t="shared" si="8"/>
        <v>59.599999999999994</v>
      </c>
      <c r="AM71" s="12">
        <f t="shared" si="8"/>
        <v>86.1</v>
      </c>
      <c r="AN71" s="12">
        <f t="shared" si="8"/>
        <v>26.5</v>
      </c>
      <c r="AO71" s="12">
        <f t="shared" si="8"/>
        <v>56.3</v>
      </c>
      <c r="AP71" s="12">
        <f t="shared" si="9"/>
        <v>31.4</v>
      </c>
      <c r="AQ71" s="12">
        <f t="shared" si="9"/>
        <v>40.300000000000004</v>
      </c>
      <c r="AR71" s="12"/>
      <c r="AS71" s="12">
        <f t="shared" si="10"/>
        <v>55.800000000000004</v>
      </c>
      <c r="AT71" s="12">
        <f t="shared" si="10"/>
        <v>28.1</v>
      </c>
      <c r="AU71" s="12">
        <f t="shared" si="10"/>
        <v>39.700000000000003</v>
      </c>
      <c r="AV71" s="12">
        <f t="shared" si="10"/>
        <v>57.4</v>
      </c>
      <c r="AW71" s="12">
        <f t="shared" si="11"/>
        <v>91.7</v>
      </c>
      <c r="AX71" s="12">
        <f t="shared" si="11"/>
        <v>20.399999999999999</v>
      </c>
      <c r="AY71" s="12"/>
      <c r="AZ71" s="12">
        <f t="shared" si="14"/>
        <v>26</v>
      </c>
      <c r="BA71" s="12">
        <f t="shared" si="15"/>
        <v>54.699999999999996</v>
      </c>
      <c r="BB71" s="12"/>
      <c r="BC71" s="12">
        <f t="shared" si="16"/>
        <v>80.100000000000009</v>
      </c>
      <c r="BD71" s="12">
        <f t="shared" si="17"/>
        <v>34.799999999999997</v>
      </c>
      <c r="BE71" s="12">
        <f t="shared" si="18"/>
        <v>33.200000000000003</v>
      </c>
    </row>
    <row r="72" spans="1:57" ht="15.75" customHeight="1">
      <c r="A72" s="1" t="s">
        <v>211</v>
      </c>
      <c r="B72" s="3" t="s">
        <v>157</v>
      </c>
      <c r="C72" s="4" t="s">
        <v>8</v>
      </c>
      <c r="D72" s="4">
        <v>41</v>
      </c>
      <c r="E72" s="4">
        <v>779</v>
      </c>
      <c r="F72" s="4">
        <v>41</v>
      </c>
      <c r="G72" s="4">
        <v>779</v>
      </c>
      <c r="H72" s="4">
        <v>0.434</v>
      </c>
      <c r="I72" s="4">
        <v>16.2</v>
      </c>
      <c r="J72" s="4"/>
      <c r="K72" s="4">
        <v>0.48899999999999999</v>
      </c>
      <c r="L72" s="4">
        <v>0.16500000000000001</v>
      </c>
      <c r="M72" s="4">
        <v>0.187</v>
      </c>
      <c r="N72" s="4">
        <v>8.2000000000000003E-2</v>
      </c>
      <c r="O72" s="4">
        <v>5.5E-2</v>
      </c>
      <c r="P72" s="4">
        <v>0.51100000000000001</v>
      </c>
      <c r="Q72" s="4"/>
      <c r="R72" s="4">
        <v>0.51700000000000002</v>
      </c>
      <c r="S72" s="4">
        <v>0.6</v>
      </c>
      <c r="T72" s="4">
        <v>0.47099999999999997</v>
      </c>
      <c r="U72" s="4">
        <v>0.4</v>
      </c>
      <c r="V72" s="4">
        <v>0.6</v>
      </c>
      <c r="W72" s="4">
        <v>0.35499999999999998</v>
      </c>
      <c r="X72" s="4"/>
      <c r="Y72" s="4">
        <v>0.67400000000000004</v>
      </c>
      <c r="Z72" s="4">
        <v>1</v>
      </c>
      <c r="AA72" s="4"/>
      <c r="AB72" s="4">
        <v>0.43</v>
      </c>
      <c r="AC72" s="4">
        <v>0.42499999999999999</v>
      </c>
      <c r="AD72" s="10">
        <f t="shared" si="12"/>
        <v>0.84058600000000006</v>
      </c>
      <c r="AE72" s="9"/>
      <c r="AF72" s="9"/>
      <c r="AG72" s="12">
        <f t="shared" si="13"/>
        <v>85.6</v>
      </c>
      <c r="AH72" s="12">
        <f t="shared" si="13"/>
        <v>61.8</v>
      </c>
      <c r="AI72" s="12">
        <f t="shared" si="13"/>
        <v>46.400000000000006</v>
      </c>
      <c r="AJ72" s="12">
        <f t="shared" si="13"/>
        <v>70.099999999999994</v>
      </c>
      <c r="AK72" s="12"/>
      <c r="AL72" s="12">
        <f t="shared" si="8"/>
        <v>25.900000000000002</v>
      </c>
      <c r="AM72" s="12">
        <f t="shared" si="8"/>
        <v>40.300000000000004</v>
      </c>
      <c r="AN72" s="12">
        <f t="shared" si="8"/>
        <v>27.6</v>
      </c>
      <c r="AO72" s="12">
        <f t="shared" si="8"/>
        <v>61.8</v>
      </c>
      <c r="AP72" s="12">
        <f t="shared" si="9"/>
        <v>65.7</v>
      </c>
      <c r="AQ72" s="12">
        <f t="shared" si="9"/>
        <v>74</v>
      </c>
      <c r="AR72" s="12"/>
      <c r="AS72" s="12">
        <f t="shared" si="10"/>
        <v>51.9</v>
      </c>
      <c r="AT72" s="12">
        <f t="shared" si="10"/>
        <v>25.4</v>
      </c>
      <c r="AU72" s="12">
        <f t="shared" si="10"/>
        <v>60.199999999999996</v>
      </c>
      <c r="AV72" s="12">
        <f t="shared" si="10"/>
        <v>57.999999999999993</v>
      </c>
      <c r="AW72" s="12">
        <f t="shared" si="11"/>
        <v>93.300000000000011</v>
      </c>
      <c r="AX72" s="12">
        <f t="shared" si="11"/>
        <v>61.8</v>
      </c>
      <c r="AY72" s="12"/>
      <c r="AZ72" s="12">
        <f t="shared" si="14"/>
        <v>39.300000000000004</v>
      </c>
      <c r="BA72" s="12">
        <f t="shared" si="15"/>
        <v>33.799999999999997</v>
      </c>
      <c r="BB72" s="12"/>
      <c r="BC72" s="12">
        <f t="shared" si="16"/>
        <v>90.600000000000009</v>
      </c>
      <c r="BD72" s="12">
        <f t="shared" si="17"/>
        <v>67.900000000000006</v>
      </c>
      <c r="BE72" s="12">
        <f t="shared" si="18"/>
        <v>24.400000000000006</v>
      </c>
    </row>
    <row r="73" spans="1:57" ht="15.75" customHeight="1">
      <c r="A73" s="1" t="s">
        <v>86</v>
      </c>
      <c r="B73" s="3" t="s">
        <v>84</v>
      </c>
      <c r="C73" s="4" t="s">
        <v>8</v>
      </c>
      <c r="D73" s="4">
        <v>38</v>
      </c>
      <c r="E73" s="4">
        <v>779</v>
      </c>
      <c r="F73" s="4">
        <v>38</v>
      </c>
      <c r="G73" s="4">
        <v>779</v>
      </c>
      <c r="H73" s="4">
        <v>0.42299999999999999</v>
      </c>
      <c r="I73" s="4">
        <v>21.9</v>
      </c>
      <c r="J73" s="4"/>
      <c r="K73" s="4">
        <v>0.20399999999999999</v>
      </c>
      <c r="L73" s="4">
        <v>5.7000000000000002E-2</v>
      </c>
      <c r="M73" s="4">
        <v>7.9000000000000001E-2</v>
      </c>
      <c r="N73" s="4">
        <v>3.7999999999999999E-2</v>
      </c>
      <c r="O73" s="4">
        <v>0.03</v>
      </c>
      <c r="P73" s="4">
        <v>0.79600000000000004</v>
      </c>
      <c r="Q73" s="4"/>
      <c r="R73" s="4">
        <v>0.53700000000000003</v>
      </c>
      <c r="S73" s="4">
        <v>0.93300000000000005</v>
      </c>
      <c r="T73" s="4">
        <v>0.42899999999999999</v>
      </c>
      <c r="U73" s="4">
        <v>0.3</v>
      </c>
      <c r="V73" s="4">
        <v>0.375</v>
      </c>
      <c r="W73" s="4">
        <v>0.39300000000000002</v>
      </c>
      <c r="X73" s="4"/>
      <c r="Y73" s="4">
        <v>0.55200000000000005</v>
      </c>
      <c r="Z73" s="4">
        <v>0.67500000000000004</v>
      </c>
      <c r="AA73" s="4"/>
      <c r="AB73" s="4">
        <v>0.18</v>
      </c>
      <c r="AC73" s="4">
        <v>0.36799999999999999</v>
      </c>
      <c r="AD73" s="10">
        <f t="shared" si="12"/>
        <v>0.64990800000000015</v>
      </c>
      <c r="AE73" s="9"/>
      <c r="AF73" s="9"/>
      <c r="AG73" s="12">
        <f t="shared" si="13"/>
        <v>59.599999999999994</v>
      </c>
      <c r="AH73" s="12">
        <f t="shared" si="13"/>
        <v>61.8</v>
      </c>
      <c r="AI73" s="12">
        <f t="shared" si="13"/>
        <v>40.799999999999997</v>
      </c>
      <c r="AJ73" s="12">
        <f t="shared" si="13"/>
        <v>99.4</v>
      </c>
      <c r="AK73" s="12"/>
      <c r="AL73" s="12">
        <f t="shared" si="8"/>
        <v>0.5</v>
      </c>
      <c r="AM73" s="12">
        <f t="shared" si="8"/>
        <v>6.6000000000000005</v>
      </c>
      <c r="AN73" s="12">
        <f t="shared" si="8"/>
        <v>2.1999999999999997</v>
      </c>
      <c r="AO73" s="12">
        <f t="shared" si="8"/>
        <v>27.6</v>
      </c>
      <c r="AP73" s="12">
        <f t="shared" si="9"/>
        <v>39.700000000000003</v>
      </c>
      <c r="AQ73" s="12">
        <f t="shared" si="9"/>
        <v>99.4</v>
      </c>
      <c r="AR73" s="12"/>
      <c r="AS73" s="12">
        <f t="shared" si="10"/>
        <v>64.600000000000009</v>
      </c>
      <c r="AT73" s="12">
        <f t="shared" si="10"/>
        <v>97.7</v>
      </c>
      <c r="AU73" s="12">
        <f t="shared" si="10"/>
        <v>42.5</v>
      </c>
      <c r="AV73" s="12">
        <f t="shared" si="10"/>
        <v>36.4</v>
      </c>
      <c r="AW73" s="12">
        <f t="shared" si="11"/>
        <v>58.5</v>
      </c>
      <c r="AX73" s="12">
        <f t="shared" si="11"/>
        <v>81.2</v>
      </c>
      <c r="AY73" s="12"/>
      <c r="AZ73" s="12">
        <f t="shared" si="14"/>
        <v>60.8</v>
      </c>
      <c r="BA73" s="12">
        <f t="shared" si="15"/>
        <v>87.3</v>
      </c>
      <c r="BB73" s="12"/>
      <c r="BC73" s="12">
        <f t="shared" si="16"/>
        <v>47.5</v>
      </c>
      <c r="BD73" s="12">
        <f t="shared" si="17"/>
        <v>54.1</v>
      </c>
      <c r="BE73" s="12">
        <f t="shared" si="18"/>
        <v>70.2</v>
      </c>
    </row>
    <row r="74" spans="1:57" ht="15.75" customHeight="1">
      <c r="A74" s="1" t="s">
        <v>214</v>
      </c>
      <c r="B74" s="3" t="s">
        <v>157</v>
      </c>
      <c r="C74" s="4" t="s">
        <v>85</v>
      </c>
      <c r="D74" s="4">
        <v>40</v>
      </c>
      <c r="E74" s="4">
        <v>769</v>
      </c>
      <c r="F74" s="4">
        <v>40</v>
      </c>
      <c r="G74" s="4">
        <v>769</v>
      </c>
      <c r="H74" s="4">
        <v>0.52</v>
      </c>
      <c r="I74" s="4">
        <v>6.6</v>
      </c>
      <c r="J74" s="4"/>
      <c r="K74" s="4">
        <v>0.89800000000000002</v>
      </c>
      <c r="L74" s="4">
        <v>0.40699999999999997</v>
      </c>
      <c r="M74" s="4">
        <v>0.379</v>
      </c>
      <c r="N74" s="4">
        <v>7.9000000000000001E-2</v>
      </c>
      <c r="O74" s="4">
        <v>3.4000000000000002E-2</v>
      </c>
      <c r="P74" s="4">
        <v>0.10199999999999999</v>
      </c>
      <c r="Q74" s="4"/>
      <c r="R74" s="4">
        <v>0.54700000000000004</v>
      </c>
      <c r="S74" s="4">
        <v>0.61099999999999999</v>
      </c>
      <c r="T74" s="4">
        <v>0.50700000000000001</v>
      </c>
      <c r="U74" s="4">
        <v>0.35699999999999998</v>
      </c>
      <c r="V74" s="4">
        <v>0.66700000000000004</v>
      </c>
      <c r="W74" s="4">
        <v>0.27800000000000002</v>
      </c>
      <c r="X74" s="4"/>
      <c r="Y74" s="4">
        <v>0.70099999999999996</v>
      </c>
      <c r="Z74" s="4">
        <v>0.8</v>
      </c>
      <c r="AA74" s="4"/>
      <c r="AB74" s="4">
        <v>0.77800000000000002</v>
      </c>
      <c r="AC74" s="4">
        <v>0.35699999999999998</v>
      </c>
      <c r="AD74" s="10">
        <f t="shared" si="12"/>
        <v>0.71109800000000001</v>
      </c>
      <c r="AE74" s="9"/>
      <c r="AF74" s="9"/>
      <c r="AG74" s="12">
        <f t="shared" si="13"/>
        <v>72.899999999999991</v>
      </c>
      <c r="AH74" s="12">
        <f t="shared" si="13"/>
        <v>61.3</v>
      </c>
      <c r="AI74" s="12">
        <f t="shared" si="13"/>
        <v>86.1</v>
      </c>
      <c r="AJ74" s="12">
        <f t="shared" si="13"/>
        <v>9.3000000000000007</v>
      </c>
      <c r="AK74" s="12"/>
      <c r="AL74" s="12">
        <f t="shared" si="8"/>
        <v>88.3</v>
      </c>
      <c r="AM74" s="12">
        <f t="shared" si="8"/>
        <v>91.100000000000009</v>
      </c>
      <c r="AN74" s="12">
        <f t="shared" si="8"/>
        <v>83.899999999999991</v>
      </c>
      <c r="AO74" s="12">
        <f t="shared" si="8"/>
        <v>59.599999999999994</v>
      </c>
      <c r="AP74" s="12">
        <f t="shared" si="9"/>
        <v>44.7</v>
      </c>
      <c r="AQ74" s="12">
        <f t="shared" si="9"/>
        <v>11.600000000000001</v>
      </c>
      <c r="AR74" s="12"/>
      <c r="AS74" s="12">
        <f t="shared" si="10"/>
        <v>70.7</v>
      </c>
      <c r="AT74" s="12">
        <f t="shared" si="10"/>
        <v>28.7</v>
      </c>
      <c r="AU74" s="12">
        <f t="shared" si="10"/>
        <v>79</v>
      </c>
      <c r="AV74" s="12">
        <f t="shared" si="10"/>
        <v>49.7</v>
      </c>
      <c r="AW74" s="12">
        <f t="shared" si="11"/>
        <v>95.5</v>
      </c>
      <c r="AX74" s="12">
        <f t="shared" si="11"/>
        <v>26.5</v>
      </c>
      <c r="AY74" s="12"/>
      <c r="AZ74" s="12">
        <f t="shared" si="14"/>
        <v>35.399999999999991</v>
      </c>
      <c r="BA74" s="12">
        <f t="shared" si="15"/>
        <v>77.400000000000006</v>
      </c>
      <c r="BB74" s="12"/>
      <c r="BC74" s="12">
        <f t="shared" si="16"/>
        <v>99.4</v>
      </c>
      <c r="BD74" s="12">
        <f t="shared" si="17"/>
        <v>51.300000000000004</v>
      </c>
      <c r="BE74" s="12">
        <f t="shared" si="18"/>
        <v>56.4</v>
      </c>
    </row>
    <row r="75" spans="1:57" ht="15.75" customHeight="1">
      <c r="A75" s="1" t="s">
        <v>230</v>
      </c>
      <c r="B75" s="3" t="s">
        <v>140</v>
      </c>
      <c r="C75" s="4" t="s">
        <v>8</v>
      </c>
      <c r="D75" s="4">
        <v>39</v>
      </c>
      <c r="E75" s="4">
        <v>768</v>
      </c>
      <c r="F75" s="4">
        <v>39</v>
      </c>
      <c r="G75" s="4">
        <v>768</v>
      </c>
      <c r="H75" s="4">
        <v>0.39500000000000002</v>
      </c>
      <c r="I75" s="4">
        <v>12.3</v>
      </c>
      <c r="J75" s="4"/>
      <c r="K75" s="4">
        <v>0.64200000000000002</v>
      </c>
      <c r="L75" s="4">
        <v>0.26</v>
      </c>
      <c r="M75" s="4">
        <v>0.30199999999999999</v>
      </c>
      <c r="N75" s="4">
        <v>0.06</v>
      </c>
      <c r="O75" s="4">
        <v>1.9E-2</v>
      </c>
      <c r="P75" s="4">
        <v>0.35799999999999998</v>
      </c>
      <c r="Q75" s="4"/>
      <c r="R75" s="4">
        <v>0.45700000000000002</v>
      </c>
      <c r="S75" s="4">
        <v>0.57099999999999995</v>
      </c>
      <c r="T75" s="4">
        <v>0.4</v>
      </c>
      <c r="U75" s="4">
        <v>0.308</v>
      </c>
      <c r="V75" s="4">
        <v>0.25</v>
      </c>
      <c r="W75" s="4">
        <v>0.28599999999999998</v>
      </c>
      <c r="X75" s="4"/>
      <c r="Y75" s="4">
        <v>0.44400000000000001</v>
      </c>
      <c r="Z75" s="4">
        <v>0.95499999999999996</v>
      </c>
      <c r="AA75" s="4"/>
      <c r="AB75" s="4">
        <v>0.27300000000000002</v>
      </c>
      <c r="AC75" s="4">
        <v>0.33300000000000002</v>
      </c>
      <c r="AD75" s="10">
        <f t="shared" si="12"/>
        <v>0.626938</v>
      </c>
      <c r="AE75" s="9"/>
      <c r="AF75" s="9"/>
      <c r="AG75" s="12">
        <f t="shared" si="13"/>
        <v>64.600000000000009</v>
      </c>
      <c r="AH75" s="12">
        <f t="shared" si="13"/>
        <v>60.699999999999996</v>
      </c>
      <c r="AI75" s="12">
        <f t="shared" si="13"/>
        <v>25.4</v>
      </c>
      <c r="AJ75" s="12">
        <f t="shared" si="13"/>
        <v>33.1</v>
      </c>
      <c r="AK75" s="12"/>
      <c r="AL75" s="12">
        <f t="shared" si="8"/>
        <v>60.199999999999996</v>
      </c>
      <c r="AM75" s="12">
        <f t="shared" si="8"/>
        <v>68.5</v>
      </c>
      <c r="AN75" s="12">
        <f t="shared" si="8"/>
        <v>67.400000000000006</v>
      </c>
      <c r="AO75" s="12">
        <f t="shared" si="8"/>
        <v>45.800000000000004</v>
      </c>
      <c r="AP75" s="12">
        <f t="shared" si="9"/>
        <v>24.3</v>
      </c>
      <c r="AQ75" s="12">
        <f t="shared" si="9"/>
        <v>39.700000000000003</v>
      </c>
      <c r="AR75" s="12"/>
      <c r="AS75" s="12">
        <f t="shared" si="10"/>
        <v>23.200000000000003</v>
      </c>
      <c r="AT75" s="12">
        <f t="shared" si="10"/>
        <v>16</v>
      </c>
      <c r="AU75" s="12">
        <f t="shared" si="10"/>
        <v>32.5</v>
      </c>
      <c r="AV75" s="12">
        <f t="shared" si="10"/>
        <v>37.5</v>
      </c>
      <c r="AW75" s="12">
        <f t="shared" si="11"/>
        <v>32</v>
      </c>
      <c r="AX75" s="12">
        <f t="shared" si="11"/>
        <v>30.3</v>
      </c>
      <c r="AY75" s="12"/>
      <c r="AZ75" s="12">
        <f t="shared" si="14"/>
        <v>76.3</v>
      </c>
      <c r="BA75" s="12">
        <f t="shared" si="15"/>
        <v>43.7</v>
      </c>
      <c r="BB75" s="12"/>
      <c r="BC75" s="12">
        <f t="shared" si="16"/>
        <v>72.3</v>
      </c>
      <c r="BD75" s="12">
        <f t="shared" si="17"/>
        <v>43</v>
      </c>
      <c r="BE75" s="12">
        <f t="shared" si="18"/>
        <v>73</v>
      </c>
    </row>
    <row r="76" spans="1:57" ht="15.75" customHeight="1">
      <c r="A76" s="1" t="s">
        <v>256</v>
      </c>
      <c r="B76" s="3" t="s">
        <v>107</v>
      </c>
      <c r="C76" s="4" t="s">
        <v>8</v>
      </c>
      <c r="D76" s="4">
        <v>27</v>
      </c>
      <c r="E76" s="4">
        <v>766</v>
      </c>
      <c r="F76" s="4">
        <v>27</v>
      </c>
      <c r="G76" s="4">
        <v>766</v>
      </c>
      <c r="H76" s="4">
        <v>0.42299999999999999</v>
      </c>
      <c r="I76" s="4">
        <v>14.8</v>
      </c>
      <c r="J76" s="4"/>
      <c r="K76" s="4">
        <v>0.67300000000000004</v>
      </c>
      <c r="L76" s="4">
        <v>0.13900000000000001</v>
      </c>
      <c r="M76" s="4">
        <v>0.19600000000000001</v>
      </c>
      <c r="N76" s="4">
        <v>0.192</v>
      </c>
      <c r="O76" s="4">
        <v>0.14599999999999999</v>
      </c>
      <c r="P76" s="4">
        <v>0.32700000000000001</v>
      </c>
      <c r="Q76" s="4"/>
      <c r="R76" s="4">
        <v>0.47599999999999998</v>
      </c>
      <c r="S76" s="4">
        <v>0.69199999999999995</v>
      </c>
      <c r="T76" s="4">
        <v>0.47299999999999998</v>
      </c>
      <c r="U76" s="4">
        <v>0.38900000000000001</v>
      </c>
      <c r="V76" s="4">
        <v>0.39</v>
      </c>
      <c r="W76" s="4">
        <v>0.315</v>
      </c>
      <c r="X76" s="4"/>
      <c r="Y76" s="4">
        <v>0.36699999999999999</v>
      </c>
      <c r="Z76" s="4">
        <v>0.86199999999999999</v>
      </c>
      <c r="AA76" s="4"/>
      <c r="AB76" s="4">
        <v>0.109</v>
      </c>
      <c r="AC76" s="4">
        <v>0.6</v>
      </c>
      <c r="AD76" s="10">
        <f t="shared" si="12"/>
        <v>0.52886500000000003</v>
      </c>
      <c r="AE76" s="9"/>
      <c r="AF76" s="9"/>
      <c r="AG76" s="12">
        <f t="shared" si="13"/>
        <v>24.8</v>
      </c>
      <c r="AH76" s="12">
        <f t="shared" si="13"/>
        <v>60.199999999999996</v>
      </c>
      <c r="AI76" s="12">
        <f t="shared" si="13"/>
        <v>40.799999999999997</v>
      </c>
      <c r="AJ76" s="12">
        <f t="shared" si="13"/>
        <v>56.3</v>
      </c>
      <c r="AK76" s="12"/>
      <c r="AL76" s="12">
        <f t="shared" si="8"/>
        <v>66.8</v>
      </c>
      <c r="AM76" s="12">
        <f t="shared" si="8"/>
        <v>31.4</v>
      </c>
      <c r="AN76" s="12">
        <f t="shared" si="8"/>
        <v>32</v>
      </c>
      <c r="AO76" s="12">
        <f t="shared" si="8"/>
        <v>96.1</v>
      </c>
      <c r="AP76" s="12">
        <f t="shared" si="9"/>
        <v>97.7</v>
      </c>
      <c r="AQ76" s="12">
        <f t="shared" si="9"/>
        <v>32.5</v>
      </c>
      <c r="AR76" s="12"/>
      <c r="AS76" s="12">
        <f t="shared" si="10"/>
        <v>32</v>
      </c>
      <c r="AT76" s="12">
        <f t="shared" si="10"/>
        <v>57.4</v>
      </c>
      <c r="AU76" s="12">
        <f t="shared" si="10"/>
        <v>61.3</v>
      </c>
      <c r="AV76" s="12">
        <f t="shared" si="10"/>
        <v>55.800000000000004</v>
      </c>
      <c r="AW76" s="12">
        <f t="shared" si="11"/>
        <v>62.4</v>
      </c>
      <c r="AX76" s="12">
        <f t="shared" si="11"/>
        <v>43</v>
      </c>
      <c r="AY76" s="12"/>
      <c r="AZ76" s="12">
        <f t="shared" si="14"/>
        <v>85.1</v>
      </c>
      <c r="BA76" s="12">
        <f t="shared" si="15"/>
        <v>67.5</v>
      </c>
      <c r="BB76" s="12"/>
      <c r="BC76" s="12">
        <f t="shared" si="16"/>
        <v>18.7</v>
      </c>
      <c r="BD76" s="12">
        <f t="shared" si="17"/>
        <v>88.9</v>
      </c>
      <c r="BE76" s="12">
        <f t="shared" si="18"/>
        <v>88.4</v>
      </c>
    </row>
    <row r="77" spans="1:57" ht="15.75" customHeight="1">
      <c r="A77" s="1" t="s">
        <v>212</v>
      </c>
      <c r="B77" s="3" t="s">
        <v>157</v>
      </c>
      <c r="C77" s="4" t="s">
        <v>119</v>
      </c>
      <c r="D77" s="4">
        <v>40</v>
      </c>
      <c r="E77" s="4">
        <v>764</v>
      </c>
      <c r="F77" s="4">
        <v>40</v>
      </c>
      <c r="G77" s="4">
        <v>764</v>
      </c>
      <c r="H77" s="4">
        <v>0.63700000000000001</v>
      </c>
      <c r="I77" s="4">
        <v>3.2</v>
      </c>
      <c r="J77" s="4"/>
      <c r="K77" s="4">
        <v>1</v>
      </c>
      <c r="L77" s="4">
        <v>0.57499999999999996</v>
      </c>
      <c r="M77" s="4">
        <v>0.39700000000000002</v>
      </c>
      <c r="N77" s="4">
        <v>1.4E-2</v>
      </c>
      <c r="O77" s="4">
        <v>1.4E-2</v>
      </c>
      <c r="P77" s="4">
        <v>0</v>
      </c>
      <c r="Q77" s="4"/>
      <c r="R77" s="4">
        <v>0.63700000000000001</v>
      </c>
      <c r="S77" s="4">
        <v>0.67900000000000005</v>
      </c>
      <c r="T77" s="4">
        <v>0.58599999999999997</v>
      </c>
      <c r="U77" s="4">
        <v>0.5</v>
      </c>
      <c r="V77" s="4">
        <v>0.5</v>
      </c>
      <c r="W77" s="4">
        <v>0</v>
      </c>
      <c r="X77" s="4"/>
      <c r="Y77" s="4">
        <v>0.77400000000000002</v>
      </c>
      <c r="Z77" s="4">
        <v>0</v>
      </c>
      <c r="AA77" s="4"/>
      <c r="AB77" s="4">
        <v>0</v>
      </c>
      <c r="AC77" s="4">
        <v>0</v>
      </c>
      <c r="AD77" s="10">
        <f t="shared" si="12"/>
        <v>0.77400000000000002</v>
      </c>
      <c r="AE77" s="9"/>
      <c r="AF77" s="9"/>
      <c r="AG77" s="12">
        <f t="shared" si="13"/>
        <v>72.899999999999991</v>
      </c>
      <c r="AH77" s="12">
        <f t="shared" si="13"/>
        <v>59.599999999999994</v>
      </c>
      <c r="AI77" s="12">
        <f t="shared" si="13"/>
        <v>99.4</v>
      </c>
      <c r="AJ77" s="12">
        <f t="shared" si="13"/>
        <v>0.5</v>
      </c>
      <c r="AK77" s="12"/>
      <c r="AL77" s="12">
        <f t="shared" si="8"/>
        <v>97.7</v>
      </c>
      <c r="AM77" s="12">
        <f t="shared" si="8"/>
        <v>97.7</v>
      </c>
      <c r="AN77" s="12">
        <f t="shared" si="8"/>
        <v>87.2</v>
      </c>
      <c r="AO77" s="12">
        <f t="shared" si="8"/>
        <v>8.2000000000000011</v>
      </c>
      <c r="AP77" s="12">
        <f t="shared" si="9"/>
        <v>16</v>
      </c>
      <c r="AQ77" s="12">
        <f t="shared" si="9"/>
        <v>0</v>
      </c>
      <c r="AR77" s="12"/>
      <c r="AS77" s="12">
        <f t="shared" si="10"/>
        <v>96.1</v>
      </c>
      <c r="AT77" s="12">
        <f t="shared" si="10"/>
        <v>53</v>
      </c>
      <c r="AU77" s="12">
        <f t="shared" si="10"/>
        <v>95</v>
      </c>
      <c r="AV77" s="12">
        <f t="shared" si="10"/>
        <v>81.2</v>
      </c>
      <c r="AW77" s="12">
        <f t="shared" si="11"/>
        <v>80.100000000000009</v>
      </c>
      <c r="AX77" s="12">
        <f t="shared" si="11"/>
        <v>0</v>
      </c>
      <c r="AY77" s="12"/>
      <c r="AZ77" s="12">
        <f t="shared" si="14"/>
        <v>18.300000000000011</v>
      </c>
      <c r="BA77" s="12">
        <f t="shared" si="15"/>
        <v>100</v>
      </c>
      <c r="BB77" s="12"/>
      <c r="BC77" s="12">
        <f t="shared" si="16"/>
        <v>0</v>
      </c>
      <c r="BD77" s="12">
        <f t="shared" si="17"/>
        <v>0</v>
      </c>
      <c r="BE77" s="12">
        <f t="shared" si="18"/>
        <v>40.400000000000006</v>
      </c>
    </row>
    <row r="78" spans="1:57" ht="15.75" customHeight="1">
      <c r="A78" s="1" t="s">
        <v>142</v>
      </c>
      <c r="B78" s="3" t="s">
        <v>232</v>
      </c>
      <c r="C78" s="4" t="s">
        <v>85</v>
      </c>
      <c r="D78" s="4">
        <v>41</v>
      </c>
      <c r="E78" s="4">
        <v>749</v>
      </c>
      <c r="F78" s="4">
        <v>41</v>
      </c>
      <c r="G78" s="4">
        <v>749</v>
      </c>
      <c r="H78" s="4">
        <v>0.36499999999999999</v>
      </c>
      <c r="I78" s="4">
        <v>13.5</v>
      </c>
      <c r="J78" s="4"/>
      <c r="K78" s="4">
        <v>0.52200000000000002</v>
      </c>
      <c r="L78" s="4">
        <v>0.23</v>
      </c>
      <c r="M78" s="4">
        <v>0.27500000000000002</v>
      </c>
      <c r="N78" s="4">
        <v>6.0000000000000001E-3</v>
      </c>
      <c r="O78" s="4">
        <v>1.0999999999999999E-2</v>
      </c>
      <c r="P78" s="4">
        <v>0.47799999999999998</v>
      </c>
      <c r="Q78" s="4"/>
      <c r="R78" s="4">
        <v>0.47299999999999998</v>
      </c>
      <c r="S78" s="4">
        <v>0.53700000000000003</v>
      </c>
      <c r="T78" s="4">
        <v>0.42899999999999999</v>
      </c>
      <c r="U78" s="4">
        <v>0</v>
      </c>
      <c r="V78" s="4">
        <v>0.5</v>
      </c>
      <c r="W78" s="4">
        <v>0.247</v>
      </c>
      <c r="X78" s="4"/>
      <c r="Y78" s="4">
        <v>0.70499999999999996</v>
      </c>
      <c r="Z78" s="4">
        <v>1</v>
      </c>
      <c r="AA78" s="4"/>
      <c r="AB78" s="4">
        <v>0.45900000000000002</v>
      </c>
      <c r="AC78" s="4">
        <v>0.33300000000000002</v>
      </c>
      <c r="AD78" s="10">
        <f t="shared" si="12"/>
        <v>0.84600999999999993</v>
      </c>
      <c r="AE78" s="9"/>
      <c r="AF78" s="9"/>
      <c r="AG78" s="12">
        <f t="shared" si="13"/>
        <v>85.6</v>
      </c>
      <c r="AH78" s="12">
        <f t="shared" si="13"/>
        <v>59.099999999999994</v>
      </c>
      <c r="AI78" s="12">
        <f t="shared" si="13"/>
        <v>12.7</v>
      </c>
      <c r="AJ78" s="12">
        <f t="shared" si="13"/>
        <v>45.300000000000004</v>
      </c>
      <c r="AK78" s="12"/>
      <c r="AL78" s="12">
        <f t="shared" si="8"/>
        <v>35.9</v>
      </c>
      <c r="AM78" s="12">
        <f t="shared" si="8"/>
        <v>62.4</v>
      </c>
      <c r="AN78" s="12">
        <f t="shared" si="8"/>
        <v>59.099999999999994</v>
      </c>
      <c r="AO78" s="12">
        <f t="shared" si="8"/>
        <v>4.9000000000000004</v>
      </c>
      <c r="AP78" s="12">
        <f t="shared" si="9"/>
        <v>12.1</v>
      </c>
      <c r="AQ78" s="12">
        <f t="shared" si="9"/>
        <v>64</v>
      </c>
      <c r="AR78" s="12"/>
      <c r="AS78" s="12">
        <f t="shared" si="10"/>
        <v>29.2</v>
      </c>
      <c r="AT78" s="12">
        <f t="shared" si="10"/>
        <v>11.600000000000001</v>
      </c>
      <c r="AU78" s="12">
        <f t="shared" si="10"/>
        <v>42.5</v>
      </c>
      <c r="AV78" s="12">
        <f t="shared" si="10"/>
        <v>0</v>
      </c>
      <c r="AW78" s="12">
        <f t="shared" si="11"/>
        <v>80.100000000000009</v>
      </c>
      <c r="AX78" s="12">
        <f t="shared" si="11"/>
        <v>17.100000000000001</v>
      </c>
      <c r="AY78" s="12"/>
      <c r="AZ78" s="12">
        <f t="shared" si="14"/>
        <v>34.299999999999997</v>
      </c>
      <c r="BA78" s="12">
        <f t="shared" si="15"/>
        <v>33.799999999999997</v>
      </c>
      <c r="BB78" s="12"/>
      <c r="BC78" s="12">
        <f t="shared" si="16"/>
        <v>95</v>
      </c>
      <c r="BD78" s="12">
        <f t="shared" si="17"/>
        <v>43</v>
      </c>
      <c r="BE78" s="12">
        <f t="shared" si="18"/>
        <v>22.700000000000003</v>
      </c>
    </row>
    <row r="79" spans="1:57" ht="15.75" customHeight="1">
      <c r="A79" s="1" t="s">
        <v>118</v>
      </c>
      <c r="B79" s="3" t="s">
        <v>93</v>
      </c>
      <c r="C79" s="4" t="s">
        <v>119</v>
      </c>
      <c r="D79" s="4">
        <v>33</v>
      </c>
      <c r="E79" s="4">
        <v>738</v>
      </c>
      <c r="F79" s="4">
        <v>33</v>
      </c>
      <c r="G79" s="4">
        <v>738</v>
      </c>
      <c r="H79" s="4">
        <v>0.60199999999999998</v>
      </c>
      <c r="I79" s="4">
        <v>7.1</v>
      </c>
      <c r="J79" s="4"/>
      <c r="K79" s="4">
        <v>0.95899999999999996</v>
      </c>
      <c r="L79" s="4">
        <v>0.29099999999999998</v>
      </c>
      <c r="M79" s="4">
        <v>0.45900000000000002</v>
      </c>
      <c r="N79" s="4">
        <v>0.14799999999999999</v>
      </c>
      <c r="O79" s="4">
        <v>6.0999999999999999E-2</v>
      </c>
      <c r="P79" s="4">
        <v>4.1000000000000002E-2</v>
      </c>
      <c r="Q79" s="4"/>
      <c r="R79" s="4">
        <v>0.61699999999999999</v>
      </c>
      <c r="S79" s="4">
        <v>0.80700000000000005</v>
      </c>
      <c r="T79" s="4">
        <v>0.58899999999999997</v>
      </c>
      <c r="U79" s="4">
        <v>0.44800000000000001</v>
      </c>
      <c r="V79" s="4">
        <v>0.33300000000000002</v>
      </c>
      <c r="W79" s="4">
        <v>0.25</v>
      </c>
      <c r="X79" s="4"/>
      <c r="Y79" s="4">
        <v>0.76700000000000002</v>
      </c>
      <c r="Z79" s="4">
        <v>1</v>
      </c>
      <c r="AA79" s="4"/>
      <c r="AB79" s="4">
        <v>0.875</v>
      </c>
      <c r="AC79" s="4">
        <v>0.28599999999999998</v>
      </c>
      <c r="AD79" s="10">
        <f t="shared" si="12"/>
        <v>0.77655300000000005</v>
      </c>
      <c r="AE79" s="9"/>
      <c r="AF79" s="9"/>
      <c r="AG79" s="12">
        <f t="shared" si="13"/>
        <v>39.700000000000003</v>
      </c>
      <c r="AH79" s="12">
        <f t="shared" si="13"/>
        <v>58.5</v>
      </c>
      <c r="AI79" s="12">
        <f t="shared" si="13"/>
        <v>98.8</v>
      </c>
      <c r="AJ79" s="12">
        <f t="shared" si="13"/>
        <v>11</v>
      </c>
      <c r="AK79" s="12"/>
      <c r="AL79" s="12">
        <f t="shared" si="8"/>
        <v>92.800000000000011</v>
      </c>
      <c r="AM79" s="12">
        <f t="shared" si="8"/>
        <v>75.599999999999994</v>
      </c>
      <c r="AN79" s="12">
        <f t="shared" si="8"/>
        <v>95.5</v>
      </c>
      <c r="AO79" s="12">
        <f t="shared" si="8"/>
        <v>87.8</v>
      </c>
      <c r="AP79" s="12">
        <f t="shared" si="9"/>
        <v>71.8</v>
      </c>
      <c r="AQ79" s="12">
        <f t="shared" si="9"/>
        <v>7.1</v>
      </c>
      <c r="AR79" s="12"/>
      <c r="AS79" s="12">
        <f t="shared" si="10"/>
        <v>94.399999999999991</v>
      </c>
      <c r="AT79" s="12">
        <f t="shared" si="10"/>
        <v>91.100000000000009</v>
      </c>
      <c r="AU79" s="12">
        <f t="shared" si="10"/>
        <v>95.5</v>
      </c>
      <c r="AV79" s="12">
        <f t="shared" si="10"/>
        <v>72.899999999999991</v>
      </c>
      <c r="AW79" s="12">
        <f t="shared" si="11"/>
        <v>45.800000000000004</v>
      </c>
      <c r="AX79" s="12">
        <f t="shared" si="11"/>
        <v>17.599999999999998</v>
      </c>
      <c r="AY79" s="12"/>
      <c r="AZ79" s="12">
        <f t="shared" si="14"/>
        <v>21</v>
      </c>
      <c r="BA79" s="12">
        <f t="shared" si="15"/>
        <v>33.799999999999997</v>
      </c>
      <c r="BB79" s="12"/>
      <c r="BC79" s="12">
        <f t="shared" si="16"/>
        <v>100</v>
      </c>
      <c r="BD79" s="12">
        <f t="shared" si="17"/>
        <v>34.799999999999997</v>
      </c>
      <c r="BE79" s="12">
        <f t="shared" si="18"/>
        <v>39.800000000000004</v>
      </c>
    </row>
    <row r="80" spans="1:57" ht="15.75" customHeight="1">
      <c r="A80" s="1" t="s">
        <v>208</v>
      </c>
      <c r="B80" s="4" t="s">
        <v>140</v>
      </c>
      <c r="C80" s="4" t="s">
        <v>88</v>
      </c>
      <c r="D80" s="4">
        <v>41</v>
      </c>
      <c r="E80" s="4">
        <v>707</v>
      </c>
      <c r="F80" s="4">
        <v>41</v>
      </c>
      <c r="G80" s="4">
        <v>707</v>
      </c>
      <c r="H80" s="4">
        <v>0.54300000000000004</v>
      </c>
      <c r="I80" s="4">
        <v>6.5</v>
      </c>
      <c r="J80" s="4"/>
      <c r="K80" s="4">
        <v>1</v>
      </c>
      <c r="L80" s="4">
        <v>0.38800000000000001</v>
      </c>
      <c r="M80" s="4">
        <v>0.372</v>
      </c>
      <c r="N80" s="4">
        <v>0.112</v>
      </c>
      <c r="O80" s="4">
        <v>0.128</v>
      </c>
      <c r="P80" s="4">
        <v>0</v>
      </c>
      <c r="Q80" s="4"/>
      <c r="R80" s="4">
        <v>0.54300000000000004</v>
      </c>
      <c r="S80" s="4">
        <v>0.76700000000000002</v>
      </c>
      <c r="T80" s="4">
        <v>0.48599999999999999</v>
      </c>
      <c r="U80" s="4">
        <v>0.28599999999999998</v>
      </c>
      <c r="V80" s="4">
        <v>0.25</v>
      </c>
      <c r="W80" s="4">
        <v>0</v>
      </c>
      <c r="X80" s="4"/>
      <c r="Y80" s="4">
        <v>0.79400000000000004</v>
      </c>
      <c r="Z80" s="4">
        <v>0</v>
      </c>
      <c r="AA80" s="4"/>
      <c r="AB80" s="4">
        <v>0</v>
      </c>
      <c r="AC80" s="4">
        <v>0</v>
      </c>
      <c r="AD80" s="10">
        <f t="shared" si="12"/>
        <v>0.79400000000000004</v>
      </c>
      <c r="AE80" s="9"/>
      <c r="AF80" s="9"/>
      <c r="AG80" s="12">
        <f t="shared" si="13"/>
        <v>85.6</v>
      </c>
      <c r="AH80" s="12">
        <f t="shared" si="13"/>
        <v>57.999999999999993</v>
      </c>
      <c r="AI80" s="12">
        <f t="shared" si="13"/>
        <v>91.100000000000009</v>
      </c>
      <c r="AJ80" s="12">
        <f t="shared" si="13"/>
        <v>8.2000000000000011</v>
      </c>
      <c r="AK80" s="12"/>
      <c r="AL80" s="12">
        <f t="shared" si="8"/>
        <v>97.7</v>
      </c>
      <c r="AM80" s="12">
        <f t="shared" si="8"/>
        <v>88.9</v>
      </c>
      <c r="AN80" s="12">
        <f t="shared" si="8"/>
        <v>82.8</v>
      </c>
      <c r="AO80" s="12">
        <f t="shared" si="8"/>
        <v>76.7</v>
      </c>
      <c r="AP80" s="12">
        <f t="shared" si="9"/>
        <v>94.399999999999991</v>
      </c>
      <c r="AQ80" s="12">
        <f t="shared" si="9"/>
        <v>0</v>
      </c>
      <c r="AR80" s="12"/>
      <c r="AS80" s="12">
        <f t="shared" si="10"/>
        <v>66.8</v>
      </c>
      <c r="AT80" s="12">
        <f t="shared" si="10"/>
        <v>85</v>
      </c>
      <c r="AU80" s="12">
        <f t="shared" si="10"/>
        <v>68.5</v>
      </c>
      <c r="AV80" s="12">
        <f t="shared" si="10"/>
        <v>34.200000000000003</v>
      </c>
      <c r="AW80" s="12">
        <f t="shared" si="11"/>
        <v>32</v>
      </c>
      <c r="AX80" s="12">
        <f t="shared" si="11"/>
        <v>0</v>
      </c>
      <c r="AY80" s="12"/>
      <c r="AZ80" s="12">
        <f t="shared" si="14"/>
        <v>15.5</v>
      </c>
      <c r="BA80" s="12">
        <f t="shared" si="15"/>
        <v>100</v>
      </c>
      <c r="BB80" s="12"/>
      <c r="BC80" s="12">
        <f t="shared" si="16"/>
        <v>0</v>
      </c>
      <c r="BD80" s="12">
        <f t="shared" si="17"/>
        <v>0</v>
      </c>
      <c r="BE80" s="12">
        <f t="shared" si="18"/>
        <v>36.5</v>
      </c>
    </row>
    <row r="81" spans="1:57" ht="15.75" customHeight="1">
      <c r="A81" s="1" t="s">
        <v>184</v>
      </c>
      <c r="B81" s="3" t="s">
        <v>107</v>
      </c>
      <c r="C81" s="4" t="s">
        <v>88</v>
      </c>
      <c r="D81" s="4">
        <v>33</v>
      </c>
      <c r="E81" s="4">
        <v>700</v>
      </c>
      <c r="F81" s="4">
        <v>33</v>
      </c>
      <c r="G81" s="4">
        <v>700</v>
      </c>
      <c r="H81" s="4">
        <v>0.57599999999999996</v>
      </c>
      <c r="I81" s="4">
        <v>5.8</v>
      </c>
      <c r="J81" s="4"/>
      <c r="K81" s="4">
        <v>0.99099999999999999</v>
      </c>
      <c r="L81" s="4">
        <v>0.33200000000000002</v>
      </c>
      <c r="M81" s="4">
        <v>0.48399999999999999</v>
      </c>
      <c r="N81" s="4">
        <v>0.12</v>
      </c>
      <c r="O81" s="4">
        <v>5.5E-2</v>
      </c>
      <c r="P81" s="4">
        <v>8.9999999999999993E-3</v>
      </c>
      <c r="Q81" s="4"/>
      <c r="R81" s="4">
        <v>0.58099999999999996</v>
      </c>
      <c r="S81" s="4">
        <v>0.70799999999999996</v>
      </c>
      <c r="T81" s="4">
        <v>0.54300000000000004</v>
      </c>
      <c r="U81" s="4">
        <v>0.46200000000000002</v>
      </c>
      <c r="V81" s="4">
        <v>0.41699999999999998</v>
      </c>
      <c r="W81" s="4">
        <v>0</v>
      </c>
      <c r="X81" s="4"/>
      <c r="Y81" s="4">
        <v>0.74399999999999999</v>
      </c>
      <c r="Z81" s="4">
        <v>0</v>
      </c>
      <c r="AA81" s="4"/>
      <c r="AB81" s="4">
        <v>0</v>
      </c>
      <c r="AC81" s="4">
        <v>0</v>
      </c>
      <c r="AD81" s="10">
        <f t="shared" si="12"/>
        <v>0.73730399999999996</v>
      </c>
      <c r="AE81" s="9"/>
      <c r="AF81" s="9"/>
      <c r="AG81" s="12">
        <f t="shared" si="13"/>
        <v>39.700000000000003</v>
      </c>
      <c r="AH81" s="12">
        <f t="shared" si="13"/>
        <v>57.4</v>
      </c>
      <c r="AI81" s="12">
        <f t="shared" si="13"/>
        <v>95.5</v>
      </c>
      <c r="AJ81" s="12">
        <f t="shared" si="13"/>
        <v>6.6000000000000005</v>
      </c>
      <c r="AK81" s="12"/>
      <c r="AL81" s="12">
        <f t="shared" si="8"/>
        <v>96.6</v>
      </c>
      <c r="AM81" s="12">
        <f t="shared" si="8"/>
        <v>82.3</v>
      </c>
      <c r="AN81" s="12">
        <f t="shared" si="8"/>
        <v>98.3</v>
      </c>
      <c r="AO81" s="12">
        <f t="shared" si="8"/>
        <v>80.100000000000009</v>
      </c>
      <c r="AP81" s="12">
        <f t="shared" si="9"/>
        <v>65.7</v>
      </c>
      <c r="AQ81" s="12">
        <f t="shared" si="9"/>
        <v>3.3000000000000003</v>
      </c>
      <c r="AR81" s="12"/>
      <c r="AS81" s="12">
        <f t="shared" si="10"/>
        <v>86.1</v>
      </c>
      <c r="AT81" s="12">
        <f t="shared" si="10"/>
        <v>62.9</v>
      </c>
      <c r="AU81" s="12">
        <f t="shared" si="10"/>
        <v>87.2</v>
      </c>
      <c r="AV81" s="12">
        <f t="shared" si="10"/>
        <v>74.5</v>
      </c>
      <c r="AW81" s="12">
        <f t="shared" si="11"/>
        <v>71.2</v>
      </c>
      <c r="AX81" s="12">
        <f t="shared" si="11"/>
        <v>0</v>
      </c>
      <c r="AY81" s="12"/>
      <c r="AZ81" s="12">
        <f t="shared" si="14"/>
        <v>23.799999999999997</v>
      </c>
      <c r="BA81" s="12">
        <f t="shared" si="15"/>
        <v>100</v>
      </c>
      <c r="BB81" s="12"/>
      <c r="BC81" s="12">
        <f t="shared" si="16"/>
        <v>0</v>
      </c>
      <c r="BD81" s="12">
        <f t="shared" si="17"/>
        <v>0</v>
      </c>
      <c r="BE81" s="12">
        <f t="shared" si="18"/>
        <v>48.699999999999996</v>
      </c>
    </row>
    <row r="82" spans="1:57" ht="15.75" customHeight="1">
      <c r="A82" s="1" t="s">
        <v>181</v>
      </c>
      <c r="B82" s="3" t="s">
        <v>117</v>
      </c>
      <c r="C82" s="4" t="s">
        <v>85</v>
      </c>
      <c r="D82" s="4">
        <v>41</v>
      </c>
      <c r="E82" s="4">
        <v>691</v>
      </c>
      <c r="F82" s="4">
        <v>41</v>
      </c>
      <c r="G82" s="4">
        <v>691</v>
      </c>
      <c r="H82" s="4">
        <v>0.442</v>
      </c>
      <c r="I82" s="4">
        <v>16.399999999999999</v>
      </c>
      <c r="J82" s="4"/>
      <c r="K82" s="4">
        <v>0.442</v>
      </c>
      <c r="L82" s="4">
        <v>0.155</v>
      </c>
      <c r="M82" s="4">
        <v>0.20200000000000001</v>
      </c>
      <c r="N82" s="4">
        <v>2.3E-2</v>
      </c>
      <c r="O82" s="4">
        <v>6.2E-2</v>
      </c>
      <c r="P82" s="4">
        <v>0.55800000000000005</v>
      </c>
      <c r="Q82" s="4"/>
      <c r="R82" s="4">
        <v>0.64900000000000002</v>
      </c>
      <c r="S82" s="4">
        <v>0.85</v>
      </c>
      <c r="T82" s="4">
        <v>0.65400000000000003</v>
      </c>
      <c r="U82" s="4">
        <v>0</v>
      </c>
      <c r="V82" s="4">
        <v>0.375</v>
      </c>
      <c r="W82" s="4">
        <v>0.27800000000000002</v>
      </c>
      <c r="X82" s="4"/>
      <c r="Y82" s="4">
        <v>0.67600000000000005</v>
      </c>
      <c r="Z82" s="4">
        <v>1</v>
      </c>
      <c r="AA82" s="4"/>
      <c r="AB82" s="4">
        <v>0.56899999999999995</v>
      </c>
      <c r="AC82" s="4">
        <v>0.29299999999999998</v>
      </c>
      <c r="AD82" s="10">
        <f t="shared" si="12"/>
        <v>0.856792</v>
      </c>
      <c r="AE82" s="9"/>
      <c r="AF82" s="9"/>
      <c r="AG82" s="12">
        <f t="shared" si="13"/>
        <v>85.6</v>
      </c>
      <c r="AH82" s="12">
        <f t="shared" si="13"/>
        <v>56.899999999999991</v>
      </c>
      <c r="AI82" s="12">
        <f t="shared" si="13"/>
        <v>52.400000000000006</v>
      </c>
      <c r="AJ82" s="12">
        <f t="shared" si="13"/>
        <v>72.3</v>
      </c>
      <c r="AK82" s="12"/>
      <c r="AL82" s="12">
        <f t="shared" si="8"/>
        <v>17.599999999999998</v>
      </c>
      <c r="AM82" s="12">
        <f t="shared" si="8"/>
        <v>35.299999999999997</v>
      </c>
      <c r="AN82" s="12">
        <f t="shared" si="8"/>
        <v>34.799999999999997</v>
      </c>
      <c r="AO82" s="12">
        <f t="shared" si="8"/>
        <v>15.4</v>
      </c>
      <c r="AP82" s="12">
        <f t="shared" si="9"/>
        <v>73.400000000000006</v>
      </c>
      <c r="AQ82" s="12">
        <f t="shared" si="9"/>
        <v>82.3</v>
      </c>
      <c r="AR82" s="12"/>
      <c r="AS82" s="12">
        <f t="shared" si="10"/>
        <v>97.2</v>
      </c>
      <c r="AT82" s="12">
        <f t="shared" si="10"/>
        <v>95.5</v>
      </c>
      <c r="AU82" s="12">
        <f t="shared" si="10"/>
        <v>98.3</v>
      </c>
      <c r="AV82" s="12">
        <f t="shared" si="10"/>
        <v>0</v>
      </c>
      <c r="AW82" s="12">
        <f t="shared" si="11"/>
        <v>58.5</v>
      </c>
      <c r="AX82" s="12">
        <f t="shared" si="11"/>
        <v>26.5</v>
      </c>
      <c r="AY82" s="12"/>
      <c r="AZ82" s="12">
        <f t="shared" si="14"/>
        <v>38.700000000000003</v>
      </c>
      <c r="BA82" s="12">
        <f t="shared" si="15"/>
        <v>33.799999999999997</v>
      </c>
      <c r="BB82" s="12"/>
      <c r="BC82" s="12">
        <f t="shared" si="16"/>
        <v>98.3</v>
      </c>
      <c r="BD82" s="12">
        <f t="shared" si="17"/>
        <v>38.1</v>
      </c>
      <c r="BE82" s="12">
        <f t="shared" si="18"/>
        <v>19.399999999999991</v>
      </c>
    </row>
    <row r="83" spans="1:57" ht="15.75" customHeight="1">
      <c r="A83" s="1" t="s">
        <v>236</v>
      </c>
      <c r="B83" s="3" t="s">
        <v>131</v>
      </c>
      <c r="C83" s="4" t="s">
        <v>8</v>
      </c>
      <c r="D83" s="4">
        <v>34</v>
      </c>
      <c r="E83" s="4">
        <v>690</v>
      </c>
      <c r="F83" s="4">
        <v>34</v>
      </c>
      <c r="G83" s="4">
        <v>690</v>
      </c>
      <c r="H83" s="4">
        <v>0.432</v>
      </c>
      <c r="I83" s="4">
        <v>16.2</v>
      </c>
      <c r="J83" s="4"/>
      <c r="K83" s="4">
        <v>0.46899999999999997</v>
      </c>
      <c r="L83" s="4">
        <v>0.21199999999999999</v>
      </c>
      <c r="M83" s="4">
        <v>0.13600000000000001</v>
      </c>
      <c r="N83" s="4">
        <v>6.5000000000000002E-2</v>
      </c>
      <c r="O83" s="4">
        <v>5.5E-2</v>
      </c>
      <c r="P83" s="4">
        <v>0.53100000000000003</v>
      </c>
      <c r="Q83" s="4"/>
      <c r="R83" s="4">
        <v>0.54200000000000004</v>
      </c>
      <c r="S83" s="4">
        <v>0.72799999999999998</v>
      </c>
      <c r="T83" s="4">
        <v>0.48099999999999998</v>
      </c>
      <c r="U83" s="4">
        <v>0.28000000000000003</v>
      </c>
      <c r="V83" s="4">
        <v>0.28599999999999998</v>
      </c>
      <c r="W83" s="4">
        <v>0.33500000000000002</v>
      </c>
      <c r="X83" s="4"/>
      <c r="Y83" s="4">
        <v>0.61899999999999999</v>
      </c>
      <c r="Z83" s="4">
        <v>0.83799999999999997</v>
      </c>
      <c r="AA83" s="4"/>
      <c r="AB83" s="4">
        <v>0.16700000000000001</v>
      </c>
      <c r="AC83" s="4">
        <v>0.23499999999999999</v>
      </c>
      <c r="AD83" s="10">
        <f t="shared" si="12"/>
        <v>0.73528899999999997</v>
      </c>
      <c r="AE83" s="9"/>
      <c r="AF83" s="9"/>
      <c r="AG83" s="12">
        <f t="shared" si="13"/>
        <v>43.6</v>
      </c>
      <c r="AH83" s="12">
        <f t="shared" si="13"/>
        <v>56.3</v>
      </c>
      <c r="AI83" s="12">
        <f t="shared" si="13"/>
        <v>44.1</v>
      </c>
      <c r="AJ83" s="12">
        <f t="shared" si="13"/>
        <v>70.099999999999994</v>
      </c>
      <c r="AK83" s="12"/>
      <c r="AL83" s="12">
        <f t="shared" si="8"/>
        <v>22</v>
      </c>
      <c r="AM83" s="12">
        <f t="shared" si="8"/>
        <v>56.3</v>
      </c>
      <c r="AN83" s="12">
        <f t="shared" si="8"/>
        <v>12.1</v>
      </c>
      <c r="AO83" s="12">
        <f t="shared" ref="AO83:AQ142" si="19">(PERCENTRANK(N$4:N$298,N83))*100</f>
        <v>49.1</v>
      </c>
      <c r="AP83" s="12">
        <f t="shared" si="9"/>
        <v>65.7</v>
      </c>
      <c r="AQ83" s="12">
        <f t="shared" si="9"/>
        <v>77.3</v>
      </c>
      <c r="AR83" s="12"/>
      <c r="AS83" s="12">
        <f t="shared" si="10"/>
        <v>66.2</v>
      </c>
      <c r="AT83" s="12">
        <f t="shared" si="10"/>
        <v>70.099999999999994</v>
      </c>
      <c r="AU83" s="12">
        <f t="shared" si="10"/>
        <v>65.100000000000009</v>
      </c>
      <c r="AV83" s="12">
        <f t="shared" ref="AV83:AX142" si="20">(PERCENTRANK(U$4:U$298,U83))*100</f>
        <v>33.700000000000003</v>
      </c>
      <c r="AW83" s="12">
        <f t="shared" si="11"/>
        <v>41.4</v>
      </c>
      <c r="AX83" s="12">
        <f t="shared" si="11"/>
        <v>54.1</v>
      </c>
      <c r="AY83" s="12"/>
      <c r="AZ83" s="12">
        <f t="shared" si="14"/>
        <v>48.699999999999996</v>
      </c>
      <c r="BA83" s="12">
        <f t="shared" si="15"/>
        <v>71.900000000000006</v>
      </c>
      <c r="BB83" s="12"/>
      <c r="BC83" s="12">
        <f t="shared" si="16"/>
        <v>39.200000000000003</v>
      </c>
      <c r="BD83" s="12">
        <f t="shared" si="17"/>
        <v>22</v>
      </c>
      <c r="BE83" s="12">
        <f t="shared" si="18"/>
        <v>49.2</v>
      </c>
    </row>
    <row r="84" spans="1:57" ht="15.75" customHeight="1">
      <c r="A84" s="1" t="s">
        <v>257</v>
      </c>
      <c r="B84" s="3" t="s">
        <v>161</v>
      </c>
      <c r="C84" s="4" t="s">
        <v>85</v>
      </c>
      <c r="D84" s="4">
        <v>29</v>
      </c>
      <c r="E84" s="4">
        <v>688</v>
      </c>
      <c r="F84" s="4">
        <v>29</v>
      </c>
      <c r="G84" s="4">
        <v>688</v>
      </c>
      <c r="H84" s="4">
        <v>0.437</v>
      </c>
      <c r="I84" s="4">
        <v>10.1</v>
      </c>
      <c r="J84" s="4"/>
      <c r="K84" s="4">
        <v>0.77500000000000002</v>
      </c>
      <c r="L84" s="4">
        <v>0.318</v>
      </c>
      <c r="M84" s="4">
        <v>0.33400000000000002</v>
      </c>
      <c r="N84" s="4">
        <v>0.05</v>
      </c>
      <c r="O84" s="4">
        <v>7.2999999999999995E-2</v>
      </c>
      <c r="P84" s="4">
        <v>0.22500000000000001</v>
      </c>
      <c r="Q84" s="4"/>
      <c r="R84" s="4">
        <v>0.47899999999999998</v>
      </c>
      <c r="S84" s="4">
        <v>0.56299999999999994</v>
      </c>
      <c r="T84" s="4">
        <v>0.47499999999999998</v>
      </c>
      <c r="U84" s="4">
        <v>0.26700000000000002</v>
      </c>
      <c r="V84" s="4">
        <v>0.27300000000000002</v>
      </c>
      <c r="W84" s="4">
        <v>0.29399999999999998</v>
      </c>
      <c r="X84" s="4"/>
      <c r="Y84" s="4">
        <v>0.80400000000000005</v>
      </c>
      <c r="Z84" s="4">
        <v>0.95</v>
      </c>
      <c r="AA84" s="4"/>
      <c r="AB84" s="4">
        <v>0.17599999999999999</v>
      </c>
      <c r="AC84" s="4">
        <v>0.25</v>
      </c>
      <c r="AD84" s="10">
        <f t="shared" si="12"/>
        <v>0.83685000000000009</v>
      </c>
      <c r="AE84" s="9"/>
      <c r="AF84" s="9"/>
      <c r="AG84" s="12">
        <f t="shared" si="13"/>
        <v>29.799999999999997</v>
      </c>
      <c r="AH84" s="12">
        <f t="shared" si="13"/>
        <v>55.800000000000004</v>
      </c>
      <c r="AI84" s="12">
        <f t="shared" si="13"/>
        <v>49.7</v>
      </c>
      <c r="AJ84" s="12">
        <f t="shared" si="13"/>
        <v>20.9</v>
      </c>
      <c r="AK84" s="12"/>
      <c r="AL84" s="12">
        <f t="shared" ref="AL84:AN142" si="21">(PERCENTRANK(K$4:K$298,K84))*100</f>
        <v>81.2</v>
      </c>
      <c r="AM84" s="12">
        <f t="shared" si="21"/>
        <v>80.100000000000009</v>
      </c>
      <c r="AN84" s="12">
        <f t="shared" si="21"/>
        <v>76.2</v>
      </c>
      <c r="AO84" s="12">
        <f t="shared" si="19"/>
        <v>37</v>
      </c>
      <c r="AP84" s="12">
        <f t="shared" si="19"/>
        <v>77.3</v>
      </c>
      <c r="AQ84" s="12">
        <f t="shared" si="19"/>
        <v>18.7</v>
      </c>
      <c r="AR84" s="12"/>
      <c r="AS84" s="12">
        <f t="shared" ref="AS84:AU142" si="22">(PERCENTRANK(R$4:R$298,R84))*100</f>
        <v>34.799999999999997</v>
      </c>
      <c r="AT84" s="12">
        <f t="shared" si="22"/>
        <v>14.299999999999999</v>
      </c>
      <c r="AU84" s="12">
        <f t="shared" si="22"/>
        <v>63.5</v>
      </c>
      <c r="AV84" s="12">
        <f t="shared" si="20"/>
        <v>29.799999999999997</v>
      </c>
      <c r="AW84" s="12">
        <f t="shared" si="20"/>
        <v>39.700000000000003</v>
      </c>
      <c r="AX84" s="12">
        <f t="shared" si="20"/>
        <v>33.700000000000003</v>
      </c>
      <c r="AY84" s="12"/>
      <c r="AZ84" s="12">
        <f t="shared" si="14"/>
        <v>13.900000000000006</v>
      </c>
      <c r="BA84" s="12">
        <f t="shared" si="15"/>
        <v>46.5</v>
      </c>
      <c r="BB84" s="12"/>
      <c r="BC84" s="12">
        <f t="shared" si="16"/>
        <v>45.300000000000004</v>
      </c>
      <c r="BD84" s="12">
        <f t="shared" si="17"/>
        <v>23.200000000000003</v>
      </c>
      <c r="BE84" s="12">
        <f t="shared" si="18"/>
        <v>26</v>
      </c>
    </row>
    <row r="85" spans="1:57" ht="15.75" customHeight="1">
      <c r="A85" s="1" t="s">
        <v>167</v>
      </c>
      <c r="B85" s="3" t="s">
        <v>131</v>
      </c>
      <c r="C85" s="4" t="s">
        <v>8</v>
      </c>
      <c r="D85" s="4">
        <v>36</v>
      </c>
      <c r="E85" s="4">
        <v>687</v>
      </c>
      <c r="F85" s="4">
        <v>36</v>
      </c>
      <c r="G85" s="4">
        <v>687</v>
      </c>
      <c r="H85" s="4">
        <v>0.41699999999999998</v>
      </c>
      <c r="I85" s="4">
        <v>11.2</v>
      </c>
      <c r="J85" s="4"/>
      <c r="K85" s="4">
        <v>0.68899999999999995</v>
      </c>
      <c r="L85" s="4">
        <v>0.30599999999999999</v>
      </c>
      <c r="M85" s="4">
        <v>0.29599999999999999</v>
      </c>
      <c r="N85" s="4">
        <v>7.2999999999999995E-2</v>
      </c>
      <c r="O85" s="4">
        <v>1.4999999999999999E-2</v>
      </c>
      <c r="P85" s="4">
        <v>0.311</v>
      </c>
      <c r="Q85" s="4"/>
      <c r="R85" s="4">
        <v>0.49299999999999999</v>
      </c>
      <c r="S85" s="4">
        <v>0.61899999999999999</v>
      </c>
      <c r="T85" s="4">
        <v>0.377</v>
      </c>
      <c r="U85" s="4">
        <v>0.4</v>
      </c>
      <c r="V85" s="4">
        <v>0.66700000000000004</v>
      </c>
      <c r="W85" s="4">
        <v>0.25</v>
      </c>
      <c r="X85" s="4"/>
      <c r="Y85" s="4">
        <v>0.64300000000000002</v>
      </c>
      <c r="Z85" s="4">
        <v>0.93799999999999994</v>
      </c>
      <c r="AA85" s="4"/>
      <c r="AB85" s="4">
        <v>0.25</v>
      </c>
      <c r="AC85" s="4">
        <v>0.25</v>
      </c>
      <c r="AD85" s="10">
        <f t="shared" si="12"/>
        <v>0.73474499999999998</v>
      </c>
      <c r="AE85" s="9"/>
      <c r="AF85" s="9"/>
      <c r="AG85" s="12">
        <f t="shared" si="13"/>
        <v>47.5</v>
      </c>
      <c r="AH85" s="12">
        <f t="shared" si="13"/>
        <v>55.2</v>
      </c>
      <c r="AI85" s="12">
        <f t="shared" si="13"/>
        <v>37</v>
      </c>
      <c r="AJ85" s="12">
        <f t="shared" si="13"/>
        <v>25.900000000000002</v>
      </c>
      <c r="AK85" s="12"/>
      <c r="AL85" s="12">
        <f t="shared" si="21"/>
        <v>67.900000000000006</v>
      </c>
      <c r="AM85" s="12">
        <f t="shared" si="21"/>
        <v>78.400000000000006</v>
      </c>
      <c r="AN85" s="12">
        <f t="shared" si="21"/>
        <v>65.100000000000009</v>
      </c>
      <c r="AO85" s="12">
        <f t="shared" si="19"/>
        <v>54.1</v>
      </c>
      <c r="AP85" s="12">
        <f t="shared" si="19"/>
        <v>18.2</v>
      </c>
      <c r="AQ85" s="12">
        <f t="shared" si="19"/>
        <v>31.4</v>
      </c>
      <c r="AR85" s="12"/>
      <c r="AS85" s="12">
        <f t="shared" si="22"/>
        <v>40.300000000000004</v>
      </c>
      <c r="AT85" s="12">
        <f t="shared" si="22"/>
        <v>31.4</v>
      </c>
      <c r="AU85" s="12">
        <f t="shared" si="22"/>
        <v>23.200000000000003</v>
      </c>
      <c r="AV85" s="12">
        <f t="shared" si="20"/>
        <v>57.999999999999993</v>
      </c>
      <c r="AW85" s="12">
        <f t="shared" si="20"/>
        <v>95.5</v>
      </c>
      <c r="AX85" s="12">
        <f t="shared" si="20"/>
        <v>17.599999999999998</v>
      </c>
      <c r="AY85" s="12"/>
      <c r="AZ85" s="12">
        <f t="shared" si="14"/>
        <v>47</v>
      </c>
      <c r="BA85" s="12">
        <f t="shared" si="15"/>
        <v>50.3</v>
      </c>
      <c r="BB85" s="12"/>
      <c r="BC85" s="12">
        <f t="shared" si="16"/>
        <v>67.900000000000006</v>
      </c>
      <c r="BD85" s="12">
        <f t="shared" si="17"/>
        <v>23.200000000000003</v>
      </c>
      <c r="BE85" s="12">
        <f t="shared" si="18"/>
        <v>49.8</v>
      </c>
    </row>
    <row r="86" spans="1:57" ht="15.75" customHeight="1">
      <c r="A86" s="1" t="s">
        <v>220</v>
      </c>
      <c r="B86" s="3" t="s">
        <v>99</v>
      </c>
      <c r="C86" s="4" t="s">
        <v>85</v>
      </c>
      <c r="D86" s="4">
        <v>38</v>
      </c>
      <c r="E86" s="4">
        <v>678</v>
      </c>
      <c r="F86" s="4">
        <v>38</v>
      </c>
      <c r="G86" s="4">
        <v>678</v>
      </c>
      <c r="H86" s="4">
        <v>0.48599999999999999</v>
      </c>
      <c r="I86" s="4">
        <v>13</v>
      </c>
      <c r="J86" s="4"/>
      <c r="K86" s="4">
        <v>0.57799999999999996</v>
      </c>
      <c r="L86" s="4">
        <v>0.24299999999999999</v>
      </c>
      <c r="M86" s="4">
        <v>0.30099999999999999</v>
      </c>
      <c r="N86" s="4">
        <v>1.7000000000000001E-2</v>
      </c>
      <c r="O86" s="4">
        <v>1.7000000000000001E-2</v>
      </c>
      <c r="P86" s="4">
        <v>0.42199999999999999</v>
      </c>
      <c r="Q86" s="4"/>
      <c r="R86" s="4">
        <v>0.59</v>
      </c>
      <c r="S86" s="4">
        <v>0.73799999999999999</v>
      </c>
      <c r="T86" s="4">
        <v>0.48099999999999998</v>
      </c>
      <c r="U86" s="4">
        <v>0.33300000000000002</v>
      </c>
      <c r="V86" s="4">
        <v>0.66700000000000004</v>
      </c>
      <c r="W86" s="4">
        <v>0.34200000000000003</v>
      </c>
      <c r="X86" s="4"/>
      <c r="Y86" s="4">
        <v>0.89800000000000002</v>
      </c>
      <c r="Z86" s="4">
        <v>0.92</v>
      </c>
      <c r="AA86" s="4"/>
      <c r="AB86" s="4">
        <v>0.192</v>
      </c>
      <c r="AC86" s="4">
        <v>0.35699999999999998</v>
      </c>
      <c r="AD86" s="10">
        <f t="shared" si="12"/>
        <v>0.90728399999999998</v>
      </c>
      <c r="AE86" s="9"/>
      <c r="AF86" s="9"/>
      <c r="AG86" s="12">
        <f t="shared" si="13"/>
        <v>59.599999999999994</v>
      </c>
      <c r="AH86" s="12">
        <f t="shared" si="13"/>
        <v>54.6</v>
      </c>
      <c r="AI86" s="12">
        <f t="shared" si="13"/>
        <v>74</v>
      </c>
      <c r="AJ86" s="12">
        <f t="shared" si="13"/>
        <v>41.4</v>
      </c>
      <c r="AK86" s="12"/>
      <c r="AL86" s="12">
        <f t="shared" si="21"/>
        <v>45.300000000000004</v>
      </c>
      <c r="AM86" s="12">
        <f t="shared" si="21"/>
        <v>65.7</v>
      </c>
      <c r="AN86" s="12">
        <f t="shared" si="21"/>
        <v>66.8</v>
      </c>
      <c r="AO86" s="12">
        <f t="shared" si="19"/>
        <v>9.9</v>
      </c>
      <c r="AP86" s="12">
        <f t="shared" si="19"/>
        <v>20.9</v>
      </c>
      <c r="AQ86" s="12">
        <f t="shared" si="19"/>
        <v>54.6</v>
      </c>
      <c r="AR86" s="12"/>
      <c r="AS86" s="12">
        <f t="shared" si="22"/>
        <v>88.3</v>
      </c>
      <c r="AT86" s="12">
        <f t="shared" si="22"/>
        <v>73.400000000000006</v>
      </c>
      <c r="AU86" s="12">
        <f t="shared" si="22"/>
        <v>65.100000000000009</v>
      </c>
      <c r="AV86" s="12">
        <f t="shared" si="20"/>
        <v>42.5</v>
      </c>
      <c r="AW86" s="12">
        <f t="shared" si="20"/>
        <v>95.5</v>
      </c>
      <c r="AX86" s="12">
        <f t="shared" si="20"/>
        <v>57.4</v>
      </c>
      <c r="AY86" s="12"/>
      <c r="AZ86" s="12">
        <f t="shared" si="14"/>
        <v>2.2999999999999972</v>
      </c>
      <c r="BA86" s="12">
        <f t="shared" si="15"/>
        <v>58.1</v>
      </c>
      <c r="BB86" s="12"/>
      <c r="BC86" s="12">
        <f t="shared" si="16"/>
        <v>54.1</v>
      </c>
      <c r="BD86" s="12">
        <f t="shared" si="17"/>
        <v>51.300000000000004</v>
      </c>
      <c r="BE86" s="12">
        <f t="shared" si="18"/>
        <v>8.8999999999999915</v>
      </c>
    </row>
    <row r="87" spans="1:57" ht="15.75" customHeight="1">
      <c r="A87" s="1" t="s">
        <v>209</v>
      </c>
      <c r="B87" s="3" t="s">
        <v>131</v>
      </c>
      <c r="C87" s="4" t="s">
        <v>183</v>
      </c>
      <c r="D87" s="4">
        <v>41</v>
      </c>
      <c r="E87" s="4">
        <v>676</v>
      </c>
      <c r="F87" s="4">
        <v>41</v>
      </c>
      <c r="G87" s="4">
        <v>676</v>
      </c>
      <c r="H87" s="4">
        <v>0.46100000000000002</v>
      </c>
      <c r="I87" s="4">
        <v>4.5</v>
      </c>
      <c r="J87" s="4"/>
      <c r="K87" s="4">
        <v>1</v>
      </c>
      <c r="L87" s="4">
        <v>0.46700000000000003</v>
      </c>
      <c r="M87" s="4">
        <v>0.433</v>
      </c>
      <c r="N87" s="4">
        <v>7.1999999999999995E-2</v>
      </c>
      <c r="O87" s="4">
        <v>2.8000000000000001E-2</v>
      </c>
      <c r="P87" s="4">
        <v>0</v>
      </c>
      <c r="Q87" s="4"/>
      <c r="R87" s="4">
        <v>0.46100000000000002</v>
      </c>
      <c r="S87" s="4">
        <v>0.53600000000000003</v>
      </c>
      <c r="T87" s="4">
        <v>0.42299999999999999</v>
      </c>
      <c r="U87" s="4">
        <v>0.308</v>
      </c>
      <c r="V87" s="4">
        <v>0.2</v>
      </c>
      <c r="W87" s="4">
        <v>0</v>
      </c>
      <c r="X87" s="4"/>
      <c r="Y87" s="4">
        <v>0.80700000000000005</v>
      </c>
      <c r="Z87" s="4">
        <v>0</v>
      </c>
      <c r="AA87" s="4"/>
      <c r="AB87" s="4">
        <v>0</v>
      </c>
      <c r="AC87" s="4">
        <v>0</v>
      </c>
      <c r="AD87" s="10">
        <f t="shared" si="12"/>
        <v>0.80700000000000005</v>
      </c>
      <c r="AE87" s="9"/>
      <c r="AF87" s="9"/>
      <c r="AG87" s="12">
        <f t="shared" si="13"/>
        <v>85.6</v>
      </c>
      <c r="AH87" s="12">
        <f t="shared" si="13"/>
        <v>54.1</v>
      </c>
      <c r="AI87" s="12">
        <f t="shared" si="13"/>
        <v>63.5</v>
      </c>
      <c r="AJ87" s="12">
        <f t="shared" si="13"/>
        <v>2.7</v>
      </c>
      <c r="AK87" s="12"/>
      <c r="AL87" s="12">
        <f t="shared" si="21"/>
        <v>97.7</v>
      </c>
      <c r="AM87" s="12">
        <f t="shared" si="21"/>
        <v>93.300000000000011</v>
      </c>
      <c r="AN87" s="12">
        <f t="shared" si="21"/>
        <v>93.300000000000011</v>
      </c>
      <c r="AO87" s="12">
        <f t="shared" si="19"/>
        <v>53.5</v>
      </c>
      <c r="AP87" s="12">
        <f t="shared" si="19"/>
        <v>35.9</v>
      </c>
      <c r="AQ87" s="12">
        <f t="shared" si="19"/>
        <v>0</v>
      </c>
      <c r="AR87" s="12"/>
      <c r="AS87" s="12">
        <f t="shared" si="22"/>
        <v>23.7</v>
      </c>
      <c r="AT87" s="12">
        <f t="shared" si="22"/>
        <v>11</v>
      </c>
      <c r="AU87" s="12">
        <f t="shared" si="22"/>
        <v>41.9</v>
      </c>
      <c r="AV87" s="12">
        <f t="shared" si="20"/>
        <v>37.5</v>
      </c>
      <c r="AW87" s="12">
        <f t="shared" si="20"/>
        <v>27.6</v>
      </c>
      <c r="AX87" s="12">
        <f t="shared" si="20"/>
        <v>0</v>
      </c>
      <c r="AY87" s="12"/>
      <c r="AZ87" s="12">
        <f t="shared" si="14"/>
        <v>13.299999999999997</v>
      </c>
      <c r="BA87" s="12">
        <f t="shared" si="15"/>
        <v>100</v>
      </c>
      <c r="BB87" s="12"/>
      <c r="BC87" s="12">
        <f t="shared" si="16"/>
        <v>0</v>
      </c>
      <c r="BD87" s="12">
        <f t="shared" si="17"/>
        <v>0</v>
      </c>
      <c r="BE87" s="12">
        <f t="shared" si="18"/>
        <v>32.599999999999994</v>
      </c>
    </row>
    <row r="88" spans="1:57" ht="15.75" customHeight="1">
      <c r="A88" s="1" t="s">
        <v>247</v>
      </c>
      <c r="B88" s="3" t="s">
        <v>91</v>
      </c>
      <c r="C88" s="4" t="s">
        <v>85</v>
      </c>
      <c r="D88" s="4">
        <v>35</v>
      </c>
      <c r="E88" s="4">
        <v>670</v>
      </c>
      <c r="F88" s="4">
        <v>35</v>
      </c>
      <c r="G88" s="4">
        <v>670</v>
      </c>
      <c r="H88" s="4">
        <v>0.39700000000000002</v>
      </c>
      <c r="I88" s="4">
        <v>18.100000000000001</v>
      </c>
      <c r="J88" s="4"/>
      <c r="K88" s="4">
        <v>0.498</v>
      </c>
      <c r="L88" s="4">
        <v>2.8000000000000001E-2</v>
      </c>
      <c r="M88" s="4">
        <v>0.185</v>
      </c>
      <c r="N88" s="4">
        <v>0.16700000000000001</v>
      </c>
      <c r="O88" s="4">
        <v>0.11799999999999999</v>
      </c>
      <c r="P88" s="4">
        <v>0.502</v>
      </c>
      <c r="Q88" s="4"/>
      <c r="R88" s="4">
        <v>0.46899999999999997</v>
      </c>
      <c r="S88" s="4">
        <v>0.375</v>
      </c>
      <c r="T88" s="4">
        <v>0.49099999999999999</v>
      </c>
      <c r="U88" s="4">
        <v>0.47899999999999998</v>
      </c>
      <c r="V88" s="4">
        <v>0.441</v>
      </c>
      <c r="W88" s="4">
        <v>0.32600000000000001</v>
      </c>
      <c r="X88" s="4"/>
      <c r="Y88" s="4">
        <v>0.52200000000000002</v>
      </c>
      <c r="Z88" s="4">
        <v>0.83</v>
      </c>
      <c r="AA88" s="4"/>
      <c r="AB88" s="4">
        <v>0.13200000000000001</v>
      </c>
      <c r="AC88" s="4">
        <v>0.26300000000000001</v>
      </c>
      <c r="AD88" s="10">
        <f t="shared" si="12"/>
        <v>0.676616</v>
      </c>
      <c r="AE88" s="9"/>
      <c r="AF88" s="9"/>
      <c r="AG88" s="12">
        <f t="shared" si="13"/>
        <v>44.7</v>
      </c>
      <c r="AH88" s="12">
        <f t="shared" si="13"/>
        <v>53.5</v>
      </c>
      <c r="AI88" s="12">
        <f t="shared" si="13"/>
        <v>27</v>
      </c>
      <c r="AJ88" s="12">
        <f t="shared" si="13"/>
        <v>84.5</v>
      </c>
      <c r="AK88" s="12"/>
      <c r="AL88" s="12">
        <f t="shared" si="21"/>
        <v>29.799999999999997</v>
      </c>
      <c r="AM88" s="12">
        <f t="shared" si="21"/>
        <v>1.0999999999999999</v>
      </c>
      <c r="AN88" s="12">
        <f t="shared" si="21"/>
        <v>27</v>
      </c>
      <c r="AO88" s="12">
        <f t="shared" si="19"/>
        <v>91.100000000000009</v>
      </c>
      <c r="AP88" s="12">
        <f t="shared" si="19"/>
        <v>91.7</v>
      </c>
      <c r="AQ88" s="12">
        <f t="shared" si="19"/>
        <v>70.099999999999994</v>
      </c>
      <c r="AR88" s="12"/>
      <c r="AS88" s="12">
        <f t="shared" si="22"/>
        <v>27</v>
      </c>
      <c r="AT88" s="12">
        <f t="shared" si="22"/>
        <v>3.3000000000000003</v>
      </c>
      <c r="AU88" s="12">
        <f t="shared" si="22"/>
        <v>71.2</v>
      </c>
      <c r="AV88" s="12">
        <f t="shared" si="20"/>
        <v>78.400000000000006</v>
      </c>
      <c r="AW88" s="12">
        <f t="shared" si="20"/>
        <v>75.599999999999994</v>
      </c>
      <c r="AX88" s="12">
        <f t="shared" si="20"/>
        <v>47.5</v>
      </c>
      <c r="AY88" s="12"/>
      <c r="AZ88" s="12">
        <f t="shared" si="14"/>
        <v>64.099999999999994</v>
      </c>
      <c r="BA88" s="12">
        <f t="shared" si="15"/>
        <v>73</v>
      </c>
      <c r="BB88" s="12"/>
      <c r="BC88" s="12">
        <f t="shared" si="16"/>
        <v>25.4</v>
      </c>
      <c r="BD88" s="12">
        <f t="shared" si="17"/>
        <v>32</v>
      </c>
      <c r="BE88" s="12">
        <f t="shared" si="18"/>
        <v>63.6</v>
      </c>
    </row>
    <row r="89" spans="1:57" ht="15.75" customHeight="1">
      <c r="A89" s="1" t="s">
        <v>199</v>
      </c>
      <c r="B89" s="3" t="s">
        <v>161</v>
      </c>
      <c r="C89" s="4" t="s">
        <v>8</v>
      </c>
      <c r="D89" s="4">
        <v>25</v>
      </c>
      <c r="E89" s="4">
        <v>668</v>
      </c>
      <c r="F89" s="4">
        <v>25</v>
      </c>
      <c r="G89" s="4">
        <v>668</v>
      </c>
      <c r="H89" s="4">
        <v>0.47299999999999998</v>
      </c>
      <c r="I89" s="4">
        <v>11.4</v>
      </c>
      <c r="J89" s="4"/>
      <c r="K89" s="4">
        <v>0.71899999999999997</v>
      </c>
      <c r="L89" s="4">
        <v>0.33900000000000002</v>
      </c>
      <c r="M89" s="4">
        <v>0.22800000000000001</v>
      </c>
      <c r="N89" s="4">
        <v>0.08</v>
      </c>
      <c r="O89" s="4">
        <v>7.0999999999999994E-2</v>
      </c>
      <c r="P89" s="4">
        <v>0.28100000000000003</v>
      </c>
      <c r="Q89" s="4"/>
      <c r="R89" s="4">
        <v>0.52200000000000002</v>
      </c>
      <c r="S89" s="4">
        <v>0.75</v>
      </c>
      <c r="T89" s="4">
        <v>0.27500000000000002</v>
      </c>
      <c r="U89" s="4">
        <v>0.27800000000000002</v>
      </c>
      <c r="V89" s="4">
        <v>0.5</v>
      </c>
      <c r="W89" s="4">
        <v>0.34899999999999998</v>
      </c>
      <c r="X89" s="4"/>
      <c r="Y89" s="4">
        <v>0.40500000000000003</v>
      </c>
      <c r="Z89" s="4">
        <v>0.63600000000000001</v>
      </c>
      <c r="AA89" s="4"/>
      <c r="AB89" s="4">
        <v>0.127</v>
      </c>
      <c r="AC89" s="4">
        <v>0.5</v>
      </c>
      <c r="AD89" s="10">
        <f t="shared" si="12"/>
        <v>0.46991099999999997</v>
      </c>
      <c r="AE89" s="9"/>
      <c r="AF89" s="9"/>
      <c r="AG89" s="12">
        <f t="shared" si="13"/>
        <v>22</v>
      </c>
      <c r="AH89" s="12">
        <f t="shared" si="13"/>
        <v>53</v>
      </c>
      <c r="AI89" s="12">
        <f t="shared" si="13"/>
        <v>70.099999999999994</v>
      </c>
      <c r="AJ89" s="12">
        <f t="shared" si="13"/>
        <v>26.5</v>
      </c>
      <c r="AK89" s="12"/>
      <c r="AL89" s="12">
        <f t="shared" si="21"/>
        <v>72.899999999999991</v>
      </c>
      <c r="AM89" s="12">
        <f t="shared" si="21"/>
        <v>83.399999999999991</v>
      </c>
      <c r="AN89" s="12">
        <f t="shared" si="21"/>
        <v>41.4</v>
      </c>
      <c r="AO89" s="12">
        <f t="shared" si="19"/>
        <v>60.199999999999996</v>
      </c>
      <c r="AP89" s="12">
        <f t="shared" si="19"/>
        <v>76.7</v>
      </c>
      <c r="AQ89" s="12">
        <f t="shared" si="19"/>
        <v>27</v>
      </c>
      <c r="AR89" s="12"/>
      <c r="AS89" s="12">
        <f t="shared" si="22"/>
        <v>55.2</v>
      </c>
      <c r="AT89" s="12">
        <f t="shared" si="22"/>
        <v>77.3</v>
      </c>
      <c r="AU89" s="12">
        <f t="shared" si="22"/>
        <v>4.3999999999999995</v>
      </c>
      <c r="AV89" s="12">
        <f t="shared" si="20"/>
        <v>32.5</v>
      </c>
      <c r="AW89" s="12">
        <f t="shared" si="20"/>
        <v>80.100000000000009</v>
      </c>
      <c r="AX89" s="12">
        <f t="shared" si="20"/>
        <v>60.699999999999996</v>
      </c>
      <c r="AY89" s="12"/>
      <c r="AZ89" s="12">
        <f t="shared" si="14"/>
        <v>82.9</v>
      </c>
      <c r="BA89" s="12">
        <f t="shared" si="15"/>
        <v>90.1</v>
      </c>
      <c r="BB89" s="12"/>
      <c r="BC89" s="12">
        <f t="shared" si="16"/>
        <v>22.6</v>
      </c>
      <c r="BD89" s="12">
        <f t="shared" si="17"/>
        <v>79</v>
      </c>
      <c r="BE89" s="12">
        <f t="shared" si="18"/>
        <v>91.8</v>
      </c>
    </row>
    <row r="90" spans="1:57" ht="15.75" customHeight="1">
      <c r="A90" s="1" t="s">
        <v>235</v>
      </c>
      <c r="B90" s="3" t="s">
        <v>91</v>
      </c>
      <c r="C90" s="4" t="s">
        <v>8</v>
      </c>
      <c r="D90" s="4">
        <v>39</v>
      </c>
      <c r="E90" s="4">
        <v>655</v>
      </c>
      <c r="F90" s="4">
        <v>39</v>
      </c>
      <c r="G90" s="4">
        <v>655</v>
      </c>
      <c r="H90" s="4">
        <v>0.46200000000000002</v>
      </c>
      <c r="I90" s="4">
        <v>11.9</v>
      </c>
      <c r="J90" s="4"/>
      <c r="K90" s="4">
        <v>0.66800000000000004</v>
      </c>
      <c r="L90" s="4">
        <v>0.20899999999999999</v>
      </c>
      <c r="M90" s="4">
        <v>0.379</v>
      </c>
      <c r="N90" s="4">
        <v>5.8999999999999997E-2</v>
      </c>
      <c r="O90" s="4">
        <v>0.02</v>
      </c>
      <c r="P90" s="4">
        <v>0.33200000000000002</v>
      </c>
      <c r="Q90" s="4"/>
      <c r="R90" s="4">
        <v>0.55000000000000004</v>
      </c>
      <c r="S90" s="4">
        <v>0.67900000000000005</v>
      </c>
      <c r="T90" s="4">
        <v>0.5</v>
      </c>
      <c r="U90" s="4">
        <v>0.46700000000000003</v>
      </c>
      <c r="V90" s="4">
        <v>0.4</v>
      </c>
      <c r="W90" s="4">
        <v>0.28599999999999998</v>
      </c>
      <c r="X90" s="4"/>
      <c r="Y90" s="4">
        <v>0.45200000000000001</v>
      </c>
      <c r="Z90" s="4">
        <v>0.66700000000000004</v>
      </c>
      <c r="AA90" s="4"/>
      <c r="AB90" s="4">
        <v>9.5000000000000001E-2</v>
      </c>
      <c r="AC90" s="4">
        <v>0.5</v>
      </c>
      <c r="AD90" s="10">
        <f t="shared" si="12"/>
        <v>0.52338000000000007</v>
      </c>
      <c r="AE90" s="9"/>
      <c r="AF90" s="9"/>
      <c r="AG90" s="12">
        <f t="shared" si="13"/>
        <v>64.600000000000009</v>
      </c>
      <c r="AH90" s="12">
        <f t="shared" si="13"/>
        <v>52.400000000000006</v>
      </c>
      <c r="AI90" s="12">
        <f t="shared" si="13"/>
        <v>64.600000000000009</v>
      </c>
      <c r="AJ90" s="12">
        <f t="shared" si="13"/>
        <v>30.3</v>
      </c>
      <c r="AK90" s="12"/>
      <c r="AL90" s="12">
        <f t="shared" si="21"/>
        <v>65.7</v>
      </c>
      <c r="AM90" s="12">
        <f t="shared" si="21"/>
        <v>55.2</v>
      </c>
      <c r="AN90" s="12">
        <f t="shared" si="21"/>
        <v>83.899999999999991</v>
      </c>
      <c r="AO90" s="12">
        <f t="shared" si="19"/>
        <v>43</v>
      </c>
      <c r="AP90" s="12">
        <f t="shared" si="19"/>
        <v>26.5</v>
      </c>
      <c r="AQ90" s="12">
        <f t="shared" si="19"/>
        <v>34.200000000000003</v>
      </c>
      <c r="AR90" s="12"/>
      <c r="AS90" s="12">
        <f t="shared" si="22"/>
        <v>71.2</v>
      </c>
      <c r="AT90" s="12">
        <f t="shared" si="22"/>
        <v>53</v>
      </c>
      <c r="AU90" s="12">
        <f t="shared" si="22"/>
        <v>74</v>
      </c>
      <c r="AV90" s="12">
        <f t="shared" si="20"/>
        <v>76.7</v>
      </c>
      <c r="AW90" s="12">
        <f t="shared" si="20"/>
        <v>62.9</v>
      </c>
      <c r="AX90" s="12">
        <f t="shared" si="20"/>
        <v>30.3</v>
      </c>
      <c r="AY90" s="12"/>
      <c r="AZ90" s="12">
        <f t="shared" si="14"/>
        <v>72.400000000000006</v>
      </c>
      <c r="BA90" s="12">
        <f t="shared" si="15"/>
        <v>88.4</v>
      </c>
      <c r="BB90" s="12"/>
      <c r="BC90" s="12">
        <f t="shared" si="16"/>
        <v>15.4</v>
      </c>
      <c r="BD90" s="12">
        <f t="shared" si="17"/>
        <v>79</v>
      </c>
      <c r="BE90" s="12">
        <f t="shared" si="18"/>
        <v>89</v>
      </c>
    </row>
    <row r="91" spans="1:57" ht="15.75" customHeight="1">
      <c r="A91" s="1" t="s">
        <v>146</v>
      </c>
      <c r="B91" s="3" t="s">
        <v>232</v>
      </c>
      <c r="C91" s="4" t="s">
        <v>8</v>
      </c>
      <c r="D91" s="4">
        <v>26</v>
      </c>
      <c r="E91" s="4">
        <v>642</v>
      </c>
      <c r="F91" s="4">
        <v>26</v>
      </c>
      <c r="G91" s="4">
        <v>642</v>
      </c>
      <c r="H91" s="4">
        <v>0.502</v>
      </c>
      <c r="I91" s="4">
        <v>12.8</v>
      </c>
      <c r="J91" s="4"/>
      <c r="K91" s="4">
        <v>0.58099999999999996</v>
      </c>
      <c r="L91" s="4">
        <v>0.20899999999999999</v>
      </c>
      <c r="M91" s="4">
        <v>0.33</v>
      </c>
      <c r="N91" s="4">
        <v>4.2000000000000003E-2</v>
      </c>
      <c r="O91" s="4">
        <v>0</v>
      </c>
      <c r="P91" s="4">
        <v>0.41899999999999998</v>
      </c>
      <c r="Q91" s="4"/>
      <c r="R91" s="4">
        <v>0.57599999999999996</v>
      </c>
      <c r="S91" s="4">
        <v>0.66700000000000004</v>
      </c>
      <c r="T91" s="4">
        <v>0.53500000000000003</v>
      </c>
      <c r="U91" s="4">
        <v>0.44400000000000001</v>
      </c>
      <c r="V91" s="4">
        <v>0</v>
      </c>
      <c r="W91" s="4">
        <v>0.4</v>
      </c>
      <c r="X91" s="4"/>
      <c r="Y91" s="4">
        <v>0.56899999999999995</v>
      </c>
      <c r="Z91" s="4">
        <v>0.88900000000000001</v>
      </c>
      <c r="AA91" s="4"/>
      <c r="AB91" s="4">
        <v>0.4</v>
      </c>
      <c r="AC91" s="4">
        <v>0.5</v>
      </c>
      <c r="AD91" s="10">
        <f t="shared" si="12"/>
        <v>0.70307999999999993</v>
      </c>
      <c r="AE91" s="9"/>
      <c r="AF91" s="9"/>
      <c r="AG91" s="12">
        <f t="shared" si="13"/>
        <v>23.200000000000003</v>
      </c>
      <c r="AH91" s="12">
        <f t="shared" si="13"/>
        <v>51.9</v>
      </c>
      <c r="AI91" s="12">
        <f t="shared" si="13"/>
        <v>80.600000000000009</v>
      </c>
      <c r="AJ91" s="12">
        <f t="shared" si="13"/>
        <v>39.200000000000003</v>
      </c>
      <c r="AK91" s="12"/>
      <c r="AL91" s="12">
        <f t="shared" si="21"/>
        <v>46.400000000000006</v>
      </c>
      <c r="AM91" s="12">
        <f t="shared" si="21"/>
        <v>55.2</v>
      </c>
      <c r="AN91" s="12">
        <f t="shared" si="21"/>
        <v>75.099999999999994</v>
      </c>
      <c r="AO91" s="12">
        <f t="shared" si="19"/>
        <v>31.4</v>
      </c>
      <c r="AP91" s="12">
        <f t="shared" si="19"/>
        <v>0</v>
      </c>
      <c r="AQ91" s="12">
        <f t="shared" si="19"/>
        <v>53.5</v>
      </c>
      <c r="AR91" s="12"/>
      <c r="AS91" s="12">
        <f t="shared" si="22"/>
        <v>83.899999999999991</v>
      </c>
      <c r="AT91" s="12">
        <f t="shared" si="22"/>
        <v>46.9</v>
      </c>
      <c r="AU91" s="12">
        <f t="shared" si="22"/>
        <v>85</v>
      </c>
      <c r="AV91" s="12">
        <f t="shared" si="20"/>
        <v>71.8</v>
      </c>
      <c r="AW91" s="12">
        <f t="shared" si="20"/>
        <v>0</v>
      </c>
      <c r="AX91" s="12">
        <f t="shared" si="20"/>
        <v>86.1</v>
      </c>
      <c r="AY91" s="12"/>
      <c r="AZ91" s="12">
        <f t="shared" si="14"/>
        <v>58.6</v>
      </c>
      <c r="BA91" s="12">
        <f t="shared" si="15"/>
        <v>63.6</v>
      </c>
      <c r="BB91" s="12"/>
      <c r="BC91" s="12">
        <f t="shared" si="16"/>
        <v>88.3</v>
      </c>
      <c r="BD91" s="12">
        <f t="shared" si="17"/>
        <v>79</v>
      </c>
      <c r="BE91" s="12">
        <f t="shared" si="18"/>
        <v>57.5</v>
      </c>
    </row>
    <row r="92" spans="1:57" ht="15.75" customHeight="1">
      <c r="A92" s="1" t="s">
        <v>141</v>
      </c>
      <c r="B92" s="3" t="s">
        <v>114</v>
      </c>
      <c r="C92" s="4" t="s">
        <v>88</v>
      </c>
      <c r="D92" s="4">
        <v>41</v>
      </c>
      <c r="E92" s="4">
        <v>627</v>
      </c>
      <c r="F92" s="4">
        <v>41</v>
      </c>
      <c r="G92" s="4">
        <v>627</v>
      </c>
      <c r="H92" s="4">
        <v>0.45</v>
      </c>
      <c r="I92" s="4">
        <v>16.5</v>
      </c>
      <c r="J92" s="4"/>
      <c r="K92" s="4">
        <v>0.44</v>
      </c>
      <c r="L92" s="4">
        <v>0.16</v>
      </c>
      <c r="M92" s="4">
        <v>0.19</v>
      </c>
      <c r="N92" s="4">
        <v>0.05</v>
      </c>
      <c r="O92" s="4">
        <v>0.04</v>
      </c>
      <c r="P92" s="4">
        <v>0.56000000000000005</v>
      </c>
      <c r="Q92" s="4"/>
      <c r="R92" s="4">
        <v>0.52300000000000002</v>
      </c>
      <c r="S92" s="4">
        <v>0.68799999999999994</v>
      </c>
      <c r="T92" s="4">
        <v>0.42099999999999999</v>
      </c>
      <c r="U92" s="4">
        <v>0.4</v>
      </c>
      <c r="V92" s="4">
        <v>0.5</v>
      </c>
      <c r="W92" s="4">
        <v>0.39300000000000002</v>
      </c>
      <c r="X92" s="4"/>
      <c r="Y92" s="4">
        <v>0.82599999999999996</v>
      </c>
      <c r="Z92" s="4">
        <v>1</v>
      </c>
      <c r="AA92" s="4"/>
      <c r="AB92" s="4">
        <v>0.125</v>
      </c>
      <c r="AC92" s="4">
        <v>0.42899999999999999</v>
      </c>
      <c r="AD92" s="10">
        <f t="shared" si="12"/>
        <v>0.92344000000000004</v>
      </c>
      <c r="AE92" s="9"/>
      <c r="AF92" s="9"/>
      <c r="AG92" s="12">
        <f t="shared" si="13"/>
        <v>85.6</v>
      </c>
      <c r="AH92" s="12">
        <f t="shared" si="13"/>
        <v>51.300000000000004</v>
      </c>
      <c r="AI92" s="12">
        <f t="shared" si="13"/>
        <v>57.4</v>
      </c>
      <c r="AJ92" s="12">
        <f t="shared" si="13"/>
        <v>74</v>
      </c>
      <c r="AK92" s="12"/>
      <c r="AL92" s="12">
        <f t="shared" si="21"/>
        <v>17.100000000000001</v>
      </c>
      <c r="AM92" s="12">
        <f t="shared" si="21"/>
        <v>37</v>
      </c>
      <c r="AN92" s="12">
        <f t="shared" si="21"/>
        <v>29.2</v>
      </c>
      <c r="AO92" s="12">
        <f t="shared" si="19"/>
        <v>37</v>
      </c>
      <c r="AP92" s="12">
        <f t="shared" si="19"/>
        <v>51.300000000000004</v>
      </c>
      <c r="AQ92" s="12">
        <f t="shared" si="19"/>
        <v>82.8</v>
      </c>
      <c r="AR92" s="12"/>
      <c r="AS92" s="12">
        <f t="shared" si="22"/>
        <v>55.800000000000004</v>
      </c>
      <c r="AT92" s="12">
        <f t="shared" si="22"/>
        <v>56.3</v>
      </c>
      <c r="AU92" s="12">
        <f t="shared" si="22"/>
        <v>41.4</v>
      </c>
      <c r="AV92" s="12">
        <f t="shared" si="20"/>
        <v>57.999999999999993</v>
      </c>
      <c r="AW92" s="12">
        <f t="shared" si="20"/>
        <v>80.100000000000009</v>
      </c>
      <c r="AX92" s="12">
        <f t="shared" si="20"/>
        <v>81.2</v>
      </c>
      <c r="AY92" s="12"/>
      <c r="AZ92" s="12">
        <f t="shared" si="14"/>
        <v>10</v>
      </c>
      <c r="BA92" s="12">
        <f t="shared" si="15"/>
        <v>33.799999999999997</v>
      </c>
      <c r="BB92" s="12"/>
      <c r="BC92" s="12">
        <f t="shared" si="16"/>
        <v>22</v>
      </c>
      <c r="BD92" s="12">
        <f t="shared" si="17"/>
        <v>68.5</v>
      </c>
      <c r="BE92" s="12">
        <f t="shared" si="18"/>
        <v>4.5</v>
      </c>
    </row>
    <row r="93" spans="1:57" ht="15.75" customHeight="1">
      <c r="A93" s="1" t="s">
        <v>179</v>
      </c>
      <c r="B93" s="3" t="s">
        <v>114</v>
      </c>
      <c r="C93" s="4" t="s">
        <v>8</v>
      </c>
      <c r="D93" s="4">
        <v>41</v>
      </c>
      <c r="E93" s="4">
        <v>616</v>
      </c>
      <c r="F93" s="4">
        <v>41</v>
      </c>
      <c r="G93" s="4">
        <v>616</v>
      </c>
      <c r="H93" s="4">
        <v>0.34699999999999998</v>
      </c>
      <c r="I93" s="4">
        <v>15</v>
      </c>
      <c r="J93" s="4"/>
      <c r="K93" s="4">
        <v>0.61799999999999999</v>
      </c>
      <c r="L93" s="4">
        <v>0.10199999999999999</v>
      </c>
      <c r="M93" s="4">
        <v>0.33700000000000002</v>
      </c>
      <c r="N93" s="4">
        <v>0.105</v>
      </c>
      <c r="O93" s="4">
        <v>7.3999999999999996E-2</v>
      </c>
      <c r="P93" s="4">
        <v>0.38200000000000001</v>
      </c>
      <c r="Q93" s="4"/>
      <c r="R93" s="4">
        <v>0.38100000000000001</v>
      </c>
      <c r="S93" s="4">
        <v>0.55200000000000005</v>
      </c>
      <c r="T93" s="4">
        <v>0.40600000000000003</v>
      </c>
      <c r="U93" s="4">
        <v>0.26700000000000002</v>
      </c>
      <c r="V93" s="4">
        <v>0.19</v>
      </c>
      <c r="W93" s="4">
        <v>0.29399999999999998</v>
      </c>
      <c r="X93" s="4"/>
      <c r="Y93" s="4">
        <v>0.44800000000000001</v>
      </c>
      <c r="Z93" s="4">
        <v>0.90600000000000003</v>
      </c>
      <c r="AA93" s="4"/>
      <c r="AB93" s="4">
        <v>0.183</v>
      </c>
      <c r="AC93" s="4">
        <v>0.25</v>
      </c>
      <c r="AD93" s="10">
        <f t="shared" si="12"/>
        <v>0.62295600000000007</v>
      </c>
      <c r="AE93" s="9"/>
      <c r="AF93" s="9"/>
      <c r="AG93" s="12">
        <f t="shared" si="13"/>
        <v>85.6</v>
      </c>
      <c r="AH93" s="12">
        <f t="shared" si="13"/>
        <v>50.8</v>
      </c>
      <c r="AI93" s="12">
        <f t="shared" si="13"/>
        <v>8.2000000000000011</v>
      </c>
      <c r="AJ93" s="12">
        <f t="shared" si="13"/>
        <v>57.4</v>
      </c>
      <c r="AK93" s="12"/>
      <c r="AL93" s="12">
        <f t="shared" si="21"/>
        <v>55.800000000000004</v>
      </c>
      <c r="AM93" s="12">
        <f t="shared" si="21"/>
        <v>16</v>
      </c>
      <c r="AN93" s="12">
        <f t="shared" si="21"/>
        <v>77.3</v>
      </c>
      <c r="AO93" s="12">
        <f t="shared" si="19"/>
        <v>73.400000000000006</v>
      </c>
      <c r="AP93" s="12">
        <f t="shared" si="19"/>
        <v>78.400000000000006</v>
      </c>
      <c r="AQ93" s="12">
        <f t="shared" si="19"/>
        <v>44.1</v>
      </c>
      <c r="AR93" s="12"/>
      <c r="AS93" s="12">
        <f t="shared" si="22"/>
        <v>6.6000000000000005</v>
      </c>
      <c r="AT93" s="12">
        <f t="shared" si="22"/>
        <v>12.7</v>
      </c>
      <c r="AU93" s="12">
        <f t="shared" si="22"/>
        <v>36.4</v>
      </c>
      <c r="AV93" s="12">
        <f t="shared" si="20"/>
        <v>29.799999999999997</v>
      </c>
      <c r="AW93" s="12">
        <f t="shared" si="20"/>
        <v>26.5</v>
      </c>
      <c r="AX93" s="12">
        <f t="shared" si="20"/>
        <v>33.700000000000003</v>
      </c>
      <c r="AY93" s="12"/>
      <c r="AZ93" s="12">
        <f t="shared" si="14"/>
        <v>73.5</v>
      </c>
      <c r="BA93" s="12">
        <f t="shared" si="15"/>
        <v>59.699999999999996</v>
      </c>
      <c r="BB93" s="12"/>
      <c r="BC93" s="12">
        <f t="shared" si="16"/>
        <v>49.7</v>
      </c>
      <c r="BD93" s="12">
        <f t="shared" si="17"/>
        <v>23.200000000000003</v>
      </c>
      <c r="BE93" s="12">
        <f t="shared" si="18"/>
        <v>74.099999999999994</v>
      </c>
    </row>
    <row r="94" spans="1:57" ht="15.75" customHeight="1">
      <c r="A94" s="1" t="s">
        <v>193</v>
      </c>
      <c r="B94" s="3" t="s">
        <v>91</v>
      </c>
      <c r="C94" s="4" t="s">
        <v>8</v>
      </c>
      <c r="D94" s="4">
        <v>41</v>
      </c>
      <c r="E94" s="4">
        <v>615</v>
      </c>
      <c r="F94" s="4">
        <v>41</v>
      </c>
      <c r="G94" s="4">
        <v>615</v>
      </c>
      <c r="H94" s="4">
        <v>0.53500000000000003</v>
      </c>
      <c r="I94" s="4">
        <v>12.4</v>
      </c>
      <c r="J94" s="4"/>
      <c r="K94" s="4">
        <v>0.70699999999999996</v>
      </c>
      <c r="L94" s="4">
        <v>0.16700000000000001</v>
      </c>
      <c r="M94" s="4">
        <v>0.39100000000000001</v>
      </c>
      <c r="N94" s="4">
        <v>9.8000000000000004E-2</v>
      </c>
      <c r="O94" s="4">
        <v>5.0999999999999997E-2</v>
      </c>
      <c r="P94" s="4">
        <v>0.29299999999999998</v>
      </c>
      <c r="Q94" s="4"/>
      <c r="R94" s="4">
        <v>0.57899999999999996</v>
      </c>
      <c r="S94" s="4">
        <v>0.75</v>
      </c>
      <c r="T94" s="4">
        <v>0.5</v>
      </c>
      <c r="U94" s="4">
        <v>0.57099999999999995</v>
      </c>
      <c r="V94" s="4">
        <v>0.63600000000000001</v>
      </c>
      <c r="W94" s="4">
        <v>0.42899999999999999</v>
      </c>
      <c r="X94" s="4"/>
      <c r="Y94" s="4">
        <v>0.443</v>
      </c>
      <c r="Z94" s="4">
        <v>0.96299999999999997</v>
      </c>
      <c r="AA94" s="4"/>
      <c r="AB94" s="4">
        <v>0.19</v>
      </c>
      <c r="AC94" s="4">
        <v>0.58299999999999996</v>
      </c>
      <c r="AD94" s="10">
        <f t="shared" si="12"/>
        <v>0.59536</v>
      </c>
      <c r="AE94" s="9"/>
      <c r="AF94" s="9"/>
      <c r="AG94" s="12">
        <f t="shared" si="13"/>
        <v>85.6</v>
      </c>
      <c r="AH94" s="12">
        <f t="shared" si="13"/>
        <v>50.2</v>
      </c>
      <c r="AI94" s="12">
        <f t="shared" si="13"/>
        <v>89.5</v>
      </c>
      <c r="AJ94" s="12">
        <f t="shared" si="13"/>
        <v>34.200000000000003</v>
      </c>
      <c r="AK94" s="12"/>
      <c r="AL94" s="12">
        <f t="shared" si="21"/>
        <v>70.099999999999994</v>
      </c>
      <c r="AM94" s="12">
        <f t="shared" si="21"/>
        <v>41.4</v>
      </c>
      <c r="AN94" s="12">
        <f t="shared" si="21"/>
        <v>86.7</v>
      </c>
      <c r="AO94" s="12">
        <f t="shared" si="19"/>
        <v>71.8</v>
      </c>
      <c r="AP94" s="12">
        <f t="shared" si="19"/>
        <v>61.3</v>
      </c>
      <c r="AQ94" s="12">
        <f t="shared" si="19"/>
        <v>29.2</v>
      </c>
      <c r="AR94" s="12"/>
      <c r="AS94" s="12">
        <f t="shared" si="22"/>
        <v>85.6</v>
      </c>
      <c r="AT94" s="12">
        <f t="shared" si="22"/>
        <v>77.3</v>
      </c>
      <c r="AU94" s="12">
        <f t="shared" si="22"/>
        <v>74</v>
      </c>
      <c r="AV94" s="12">
        <f t="shared" si="20"/>
        <v>90.600000000000009</v>
      </c>
      <c r="AW94" s="12">
        <f t="shared" si="20"/>
        <v>94.399999999999991</v>
      </c>
      <c r="AX94" s="12">
        <f t="shared" si="20"/>
        <v>92.2</v>
      </c>
      <c r="AY94" s="12"/>
      <c r="AZ94" s="12">
        <f t="shared" si="14"/>
        <v>76.8</v>
      </c>
      <c r="BA94" s="12">
        <f t="shared" si="15"/>
        <v>40.400000000000006</v>
      </c>
      <c r="BB94" s="12"/>
      <c r="BC94" s="12">
        <f t="shared" si="16"/>
        <v>51.9</v>
      </c>
      <c r="BD94" s="12">
        <f t="shared" si="17"/>
        <v>88.3</v>
      </c>
      <c r="BE94" s="12">
        <f t="shared" si="18"/>
        <v>78</v>
      </c>
    </row>
    <row r="95" spans="1:57" ht="15.75" customHeight="1">
      <c r="A95" s="1" t="s">
        <v>186</v>
      </c>
      <c r="B95" s="3" t="s">
        <v>114</v>
      </c>
      <c r="C95" s="4" t="s">
        <v>85</v>
      </c>
      <c r="D95" s="4">
        <v>35</v>
      </c>
      <c r="E95" s="4">
        <v>609</v>
      </c>
      <c r="F95" s="4">
        <v>35</v>
      </c>
      <c r="G95" s="4">
        <v>609</v>
      </c>
      <c r="H95" s="4">
        <v>0.374</v>
      </c>
      <c r="I95" s="4">
        <v>12.5</v>
      </c>
      <c r="J95" s="4"/>
      <c r="K95" s="4">
        <v>0.66100000000000003</v>
      </c>
      <c r="L95" s="4">
        <v>0.17</v>
      </c>
      <c r="M95" s="4">
        <v>0.34499999999999997</v>
      </c>
      <c r="N95" s="4">
        <v>0.105</v>
      </c>
      <c r="O95" s="4">
        <v>4.1000000000000002E-2</v>
      </c>
      <c r="P95" s="4">
        <v>0.33900000000000002</v>
      </c>
      <c r="Q95" s="4"/>
      <c r="R95" s="4">
        <v>0.45100000000000001</v>
      </c>
      <c r="S95" s="4">
        <v>0.58599999999999997</v>
      </c>
      <c r="T95" s="4">
        <v>0.39</v>
      </c>
      <c r="U95" s="4">
        <v>0.44400000000000001</v>
      </c>
      <c r="V95" s="4">
        <v>0.42899999999999999</v>
      </c>
      <c r="W95" s="4">
        <v>0.224</v>
      </c>
      <c r="X95" s="4"/>
      <c r="Y95" s="4">
        <v>0.58799999999999997</v>
      </c>
      <c r="Z95" s="4">
        <v>0.92300000000000004</v>
      </c>
      <c r="AA95" s="4"/>
      <c r="AB95" s="4">
        <v>0.29299999999999998</v>
      </c>
      <c r="AC95" s="4">
        <v>5.8999999999999997E-2</v>
      </c>
      <c r="AD95" s="10">
        <f t="shared" si="12"/>
        <v>0.70156499999999999</v>
      </c>
      <c r="AE95" s="9"/>
      <c r="AF95" s="9"/>
      <c r="AG95" s="12">
        <f t="shared" si="13"/>
        <v>44.7</v>
      </c>
      <c r="AH95" s="12">
        <f t="shared" si="13"/>
        <v>49.7</v>
      </c>
      <c r="AI95" s="12">
        <f t="shared" si="13"/>
        <v>18.2</v>
      </c>
      <c r="AJ95" s="12">
        <f t="shared" si="13"/>
        <v>35.9</v>
      </c>
      <c r="AK95" s="12"/>
      <c r="AL95" s="12">
        <f t="shared" si="21"/>
        <v>64.600000000000009</v>
      </c>
      <c r="AM95" s="12">
        <f t="shared" si="21"/>
        <v>42.5</v>
      </c>
      <c r="AN95" s="12">
        <f t="shared" si="21"/>
        <v>78.400000000000006</v>
      </c>
      <c r="AO95" s="12">
        <f t="shared" si="19"/>
        <v>73.400000000000006</v>
      </c>
      <c r="AP95" s="12">
        <f t="shared" si="19"/>
        <v>53</v>
      </c>
      <c r="AQ95" s="12">
        <f t="shared" si="19"/>
        <v>35.299999999999997</v>
      </c>
      <c r="AR95" s="12"/>
      <c r="AS95" s="12">
        <f t="shared" si="22"/>
        <v>19.3</v>
      </c>
      <c r="AT95" s="12">
        <f t="shared" si="22"/>
        <v>21.5</v>
      </c>
      <c r="AU95" s="12">
        <f t="shared" si="22"/>
        <v>28.7</v>
      </c>
      <c r="AV95" s="12">
        <f t="shared" si="20"/>
        <v>71.8</v>
      </c>
      <c r="AW95" s="12">
        <f t="shared" si="20"/>
        <v>73.400000000000006</v>
      </c>
      <c r="AX95" s="12">
        <f t="shared" si="20"/>
        <v>13.8</v>
      </c>
      <c r="AY95" s="12"/>
      <c r="AZ95" s="12">
        <f t="shared" si="14"/>
        <v>54.699999999999996</v>
      </c>
      <c r="BA95" s="12">
        <f t="shared" si="15"/>
        <v>57</v>
      </c>
      <c r="BB95" s="12"/>
      <c r="BC95" s="12">
        <f t="shared" si="16"/>
        <v>76.2</v>
      </c>
      <c r="BD95" s="12">
        <f t="shared" si="17"/>
        <v>10.4</v>
      </c>
      <c r="BE95" s="12">
        <f t="shared" si="18"/>
        <v>58.6</v>
      </c>
    </row>
    <row r="96" spans="1:57" ht="15.75" customHeight="1">
      <c r="A96" s="1" t="s">
        <v>123</v>
      </c>
      <c r="B96" s="3" t="s">
        <v>240</v>
      </c>
      <c r="C96" s="4" t="s">
        <v>85</v>
      </c>
      <c r="D96" s="4">
        <v>27</v>
      </c>
      <c r="E96" s="4">
        <v>599</v>
      </c>
      <c r="F96" s="4">
        <v>27</v>
      </c>
      <c r="G96" s="4">
        <v>599</v>
      </c>
      <c r="H96" s="4">
        <v>0.42199999999999999</v>
      </c>
      <c r="I96" s="4">
        <v>11.6</v>
      </c>
      <c r="J96" s="4"/>
      <c r="K96" s="4">
        <v>0.68899999999999995</v>
      </c>
      <c r="L96" s="4">
        <v>0.31900000000000001</v>
      </c>
      <c r="M96" s="4">
        <v>0.24099999999999999</v>
      </c>
      <c r="N96" s="4">
        <v>5.1999999999999998E-2</v>
      </c>
      <c r="O96" s="4">
        <v>7.8E-2</v>
      </c>
      <c r="P96" s="4">
        <v>0.311</v>
      </c>
      <c r="Q96" s="4"/>
      <c r="R96" s="4">
        <v>0.48899999999999999</v>
      </c>
      <c r="S96" s="4">
        <v>0.64</v>
      </c>
      <c r="T96" s="4">
        <v>0.33800000000000002</v>
      </c>
      <c r="U96" s="4">
        <v>0.214</v>
      </c>
      <c r="V96" s="4">
        <v>0.52400000000000002</v>
      </c>
      <c r="W96" s="4">
        <v>0.27400000000000002</v>
      </c>
      <c r="X96" s="4"/>
      <c r="Y96" s="4">
        <v>0.51600000000000001</v>
      </c>
      <c r="Z96" s="4">
        <v>0.95699999999999996</v>
      </c>
      <c r="AA96" s="4"/>
      <c r="AB96" s="4">
        <v>9.5000000000000001E-2</v>
      </c>
      <c r="AC96" s="4">
        <v>0</v>
      </c>
      <c r="AD96" s="10">
        <f t="shared" si="12"/>
        <v>0.65315100000000004</v>
      </c>
      <c r="AE96" s="9"/>
      <c r="AF96" s="9"/>
      <c r="AG96" s="12">
        <f t="shared" si="13"/>
        <v>24.8</v>
      </c>
      <c r="AH96" s="12">
        <f t="shared" si="13"/>
        <v>49.1</v>
      </c>
      <c r="AI96" s="12">
        <f t="shared" si="13"/>
        <v>40.300000000000004</v>
      </c>
      <c r="AJ96" s="12">
        <f t="shared" si="13"/>
        <v>28.1</v>
      </c>
      <c r="AK96" s="12"/>
      <c r="AL96" s="12">
        <f t="shared" si="21"/>
        <v>67.900000000000006</v>
      </c>
      <c r="AM96" s="12">
        <f t="shared" si="21"/>
        <v>80.600000000000009</v>
      </c>
      <c r="AN96" s="12">
        <f t="shared" si="21"/>
        <v>47.5</v>
      </c>
      <c r="AO96" s="12">
        <f t="shared" si="19"/>
        <v>38.1</v>
      </c>
      <c r="AP96" s="12">
        <f t="shared" si="19"/>
        <v>81.2</v>
      </c>
      <c r="AQ96" s="12">
        <f t="shared" si="19"/>
        <v>31.4</v>
      </c>
      <c r="AR96" s="12"/>
      <c r="AS96" s="12">
        <f t="shared" si="22"/>
        <v>39.200000000000003</v>
      </c>
      <c r="AT96" s="12">
        <f t="shared" si="22"/>
        <v>37.5</v>
      </c>
      <c r="AU96" s="12">
        <f t="shared" si="22"/>
        <v>16.5</v>
      </c>
      <c r="AV96" s="12">
        <f t="shared" si="20"/>
        <v>25.4</v>
      </c>
      <c r="AW96" s="12">
        <f t="shared" si="20"/>
        <v>90</v>
      </c>
      <c r="AX96" s="12">
        <f t="shared" si="20"/>
        <v>25.4</v>
      </c>
      <c r="AY96" s="12"/>
      <c r="AZ96" s="12">
        <f t="shared" si="14"/>
        <v>64.7</v>
      </c>
      <c r="BA96" s="12">
        <f t="shared" si="15"/>
        <v>43.100000000000009</v>
      </c>
      <c r="BB96" s="12"/>
      <c r="BC96" s="12">
        <f t="shared" si="16"/>
        <v>15.4</v>
      </c>
      <c r="BD96" s="12">
        <f t="shared" si="17"/>
        <v>0</v>
      </c>
      <c r="BE96" s="12">
        <f t="shared" si="18"/>
        <v>68.599999999999994</v>
      </c>
    </row>
    <row r="97" spans="1:57" ht="15.75" customHeight="1">
      <c r="A97" s="1" t="s">
        <v>215</v>
      </c>
      <c r="B97" s="3" t="s">
        <v>137</v>
      </c>
      <c r="C97" s="4" t="s">
        <v>85</v>
      </c>
      <c r="D97" s="4">
        <v>31</v>
      </c>
      <c r="E97" s="4">
        <v>595</v>
      </c>
      <c r="F97" s="4">
        <v>31</v>
      </c>
      <c r="G97" s="4">
        <v>595</v>
      </c>
      <c r="H97" s="4">
        <v>0.46400000000000002</v>
      </c>
      <c r="I97" s="4">
        <v>13</v>
      </c>
      <c r="J97" s="4"/>
      <c r="K97" s="4">
        <v>0.59499999999999997</v>
      </c>
      <c r="L97" s="4">
        <v>0.214</v>
      </c>
      <c r="M97" s="4">
        <v>0.29499999999999998</v>
      </c>
      <c r="N97" s="4">
        <v>7.2999999999999995E-2</v>
      </c>
      <c r="O97" s="4">
        <v>1.4E-2</v>
      </c>
      <c r="P97" s="4">
        <v>0.40500000000000003</v>
      </c>
      <c r="Q97" s="4"/>
      <c r="R97" s="4">
        <v>0.56499999999999995</v>
      </c>
      <c r="S97" s="4">
        <v>0.63800000000000001</v>
      </c>
      <c r="T97" s="4">
        <v>0.56899999999999995</v>
      </c>
      <c r="U97" s="4">
        <v>0.375</v>
      </c>
      <c r="V97" s="4">
        <v>0.33300000000000002</v>
      </c>
      <c r="W97" s="4">
        <v>0.315</v>
      </c>
      <c r="X97" s="4"/>
      <c r="Y97" s="4">
        <v>0.73</v>
      </c>
      <c r="Z97" s="4">
        <v>1</v>
      </c>
      <c r="AA97" s="4"/>
      <c r="AB97" s="4">
        <v>0.30299999999999999</v>
      </c>
      <c r="AC97" s="4">
        <v>0.33300000000000002</v>
      </c>
      <c r="AD97" s="10">
        <f t="shared" si="12"/>
        <v>0.83935000000000004</v>
      </c>
      <c r="AE97" s="9"/>
      <c r="AF97" s="9"/>
      <c r="AG97" s="12">
        <f t="shared" si="13"/>
        <v>34.799999999999997</v>
      </c>
      <c r="AH97" s="12">
        <f t="shared" si="13"/>
        <v>48.6</v>
      </c>
      <c r="AI97" s="12">
        <f t="shared" si="13"/>
        <v>66.2</v>
      </c>
      <c r="AJ97" s="12">
        <f t="shared" si="13"/>
        <v>41.4</v>
      </c>
      <c r="AK97" s="12"/>
      <c r="AL97" s="12">
        <f t="shared" si="21"/>
        <v>50.2</v>
      </c>
      <c r="AM97" s="12">
        <f t="shared" si="21"/>
        <v>56.899999999999991</v>
      </c>
      <c r="AN97" s="12">
        <f t="shared" si="21"/>
        <v>64.600000000000009</v>
      </c>
      <c r="AO97" s="12">
        <f t="shared" si="19"/>
        <v>54.1</v>
      </c>
      <c r="AP97" s="12">
        <f t="shared" si="19"/>
        <v>16</v>
      </c>
      <c r="AQ97" s="12">
        <f t="shared" si="19"/>
        <v>49.7</v>
      </c>
      <c r="AR97" s="12"/>
      <c r="AS97" s="12">
        <f t="shared" si="22"/>
        <v>79</v>
      </c>
      <c r="AT97" s="12">
        <f t="shared" si="22"/>
        <v>36.4</v>
      </c>
      <c r="AU97" s="12">
        <f t="shared" si="22"/>
        <v>92.800000000000011</v>
      </c>
      <c r="AV97" s="12">
        <f t="shared" si="20"/>
        <v>52.400000000000006</v>
      </c>
      <c r="AW97" s="12">
        <f t="shared" si="20"/>
        <v>45.800000000000004</v>
      </c>
      <c r="AX97" s="12">
        <f t="shared" si="20"/>
        <v>43</v>
      </c>
      <c r="AY97" s="12"/>
      <c r="AZ97" s="12">
        <f t="shared" si="14"/>
        <v>26.599999999999994</v>
      </c>
      <c r="BA97" s="12">
        <f t="shared" si="15"/>
        <v>33.799999999999997</v>
      </c>
      <c r="BB97" s="12"/>
      <c r="BC97" s="12">
        <f t="shared" si="16"/>
        <v>77.900000000000006</v>
      </c>
      <c r="BD97" s="12">
        <f t="shared" si="17"/>
        <v>43</v>
      </c>
      <c r="BE97" s="12">
        <f t="shared" si="18"/>
        <v>24.900000000000006</v>
      </c>
    </row>
    <row r="98" spans="1:57" ht="15.75" customHeight="1">
      <c r="A98" s="1" t="s">
        <v>252</v>
      </c>
      <c r="B98" s="3" t="s">
        <v>240</v>
      </c>
      <c r="C98" s="4" t="s">
        <v>8</v>
      </c>
      <c r="D98" s="4">
        <v>27</v>
      </c>
      <c r="E98" s="4">
        <v>594</v>
      </c>
      <c r="F98" s="4">
        <v>27</v>
      </c>
      <c r="G98" s="4">
        <v>594</v>
      </c>
      <c r="H98" s="4">
        <v>0.41699999999999998</v>
      </c>
      <c r="I98" s="4">
        <v>16.3</v>
      </c>
      <c r="J98" s="4"/>
      <c r="K98" s="4">
        <v>0.58299999999999996</v>
      </c>
      <c r="L98" s="4">
        <v>0.13700000000000001</v>
      </c>
      <c r="M98" s="4">
        <v>0.17299999999999999</v>
      </c>
      <c r="N98" s="4">
        <v>9.5000000000000001E-2</v>
      </c>
      <c r="O98" s="4">
        <v>0.17899999999999999</v>
      </c>
      <c r="P98" s="4">
        <v>0.41699999999999998</v>
      </c>
      <c r="Q98" s="4"/>
      <c r="R98" s="4">
        <v>0.439</v>
      </c>
      <c r="S98" s="4">
        <v>0.73899999999999999</v>
      </c>
      <c r="T98" s="4">
        <v>0.27600000000000002</v>
      </c>
      <c r="U98" s="4">
        <v>0.438</v>
      </c>
      <c r="V98" s="4">
        <v>0.36699999999999999</v>
      </c>
      <c r="W98" s="4">
        <v>0.38600000000000001</v>
      </c>
      <c r="X98" s="4"/>
      <c r="Y98" s="4">
        <v>0.72099999999999997</v>
      </c>
      <c r="Z98" s="4">
        <v>0.77800000000000002</v>
      </c>
      <c r="AA98" s="4"/>
      <c r="AB98" s="4">
        <v>0.157</v>
      </c>
      <c r="AC98" s="4">
        <v>0.54500000000000004</v>
      </c>
      <c r="AD98" s="10">
        <f t="shared" si="12"/>
        <v>0.74476900000000001</v>
      </c>
      <c r="AE98" s="9"/>
      <c r="AF98" s="9"/>
      <c r="AG98" s="12">
        <f t="shared" si="13"/>
        <v>24.8</v>
      </c>
      <c r="AH98" s="12">
        <f t="shared" si="13"/>
        <v>48</v>
      </c>
      <c r="AI98" s="12">
        <f t="shared" si="13"/>
        <v>37</v>
      </c>
      <c r="AJ98" s="12">
        <f t="shared" si="13"/>
        <v>71.8</v>
      </c>
      <c r="AK98" s="12"/>
      <c r="AL98" s="12">
        <f t="shared" si="21"/>
        <v>46.9</v>
      </c>
      <c r="AM98" s="12">
        <f t="shared" si="21"/>
        <v>30.3</v>
      </c>
      <c r="AN98" s="12">
        <f t="shared" si="21"/>
        <v>23.7</v>
      </c>
      <c r="AO98" s="12">
        <f t="shared" si="19"/>
        <v>71.2</v>
      </c>
      <c r="AP98" s="12">
        <f t="shared" si="19"/>
        <v>99.4</v>
      </c>
      <c r="AQ98" s="12">
        <f t="shared" si="19"/>
        <v>52.400000000000006</v>
      </c>
      <c r="AR98" s="12"/>
      <c r="AS98" s="12">
        <f t="shared" si="22"/>
        <v>17.599999999999998</v>
      </c>
      <c r="AT98" s="12">
        <f t="shared" si="22"/>
        <v>74</v>
      </c>
      <c r="AU98" s="12">
        <f t="shared" si="22"/>
        <v>5.5</v>
      </c>
      <c r="AV98" s="12">
        <f t="shared" si="20"/>
        <v>69</v>
      </c>
      <c r="AW98" s="12">
        <f t="shared" si="20"/>
        <v>57.4</v>
      </c>
      <c r="AX98" s="12">
        <f t="shared" si="20"/>
        <v>77.3</v>
      </c>
      <c r="AY98" s="12"/>
      <c r="AZ98" s="12">
        <f t="shared" si="14"/>
        <v>27.700000000000003</v>
      </c>
      <c r="BA98" s="12">
        <f t="shared" si="15"/>
        <v>78</v>
      </c>
      <c r="BB98" s="12"/>
      <c r="BC98" s="12">
        <f t="shared" si="16"/>
        <v>35.9</v>
      </c>
      <c r="BD98" s="12">
        <f t="shared" si="17"/>
        <v>86.1</v>
      </c>
      <c r="BE98" s="12">
        <f t="shared" si="18"/>
        <v>45.9</v>
      </c>
    </row>
    <row r="99" spans="1:57" ht="15.75" customHeight="1">
      <c r="A99" s="1" t="s">
        <v>237</v>
      </c>
      <c r="B99" s="4" t="s">
        <v>240</v>
      </c>
      <c r="C99" s="4" t="s">
        <v>8</v>
      </c>
      <c r="D99" s="4">
        <v>39</v>
      </c>
      <c r="E99" s="4">
        <v>589</v>
      </c>
      <c r="F99" s="4">
        <v>39</v>
      </c>
      <c r="G99" s="4">
        <v>589</v>
      </c>
      <c r="H99" s="4">
        <v>0.38100000000000001</v>
      </c>
      <c r="I99" s="4">
        <v>16.8</v>
      </c>
      <c r="J99" s="4"/>
      <c r="K99" s="4">
        <v>0.497</v>
      </c>
      <c r="L99" s="4">
        <v>0.127</v>
      </c>
      <c r="M99" s="4">
        <v>0.17699999999999999</v>
      </c>
      <c r="N99" s="4">
        <v>0.13800000000000001</v>
      </c>
      <c r="O99" s="4">
        <v>5.5E-2</v>
      </c>
      <c r="P99" s="4">
        <v>0.503</v>
      </c>
      <c r="Q99" s="4"/>
      <c r="R99" s="4">
        <v>0.4</v>
      </c>
      <c r="S99" s="4">
        <v>0.47799999999999998</v>
      </c>
      <c r="T99" s="4">
        <v>0.40600000000000003</v>
      </c>
      <c r="U99" s="4">
        <v>0.36</v>
      </c>
      <c r="V99" s="4">
        <v>0.3</v>
      </c>
      <c r="W99" s="4">
        <v>0.36299999999999999</v>
      </c>
      <c r="X99" s="4"/>
      <c r="Y99" s="4">
        <v>0.44400000000000001</v>
      </c>
      <c r="Z99" s="4">
        <v>0.93899999999999995</v>
      </c>
      <c r="AA99" s="4"/>
      <c r="AB99" s="4">
        <v>0.253</v>
      </c>
      <c r="AC99" s="4">
        <v>0.34799999999999998</v>
      </c>
      <c r="AD99" s="10">
        <f t="shared" si="12"/>
        <v>0.69298499999999996</v>
      </c>
      <c r="AE99" s="9"/>
      <c r="AF99" s="9"/>
      <c r="AG99" s="12">
        <f t="shared" si="13"/>
        <v>64.600000000000009</v>
      </c>
      <c r="AH99" s="12">
        <f t="shared" si="13"/>
        <v>47.5</v>
      </c>
      <c r="AI99" s="12">
        <f t="shared" si="13"/>
        <v>20.399999999999999</v>
      </c>
      <c r="AJ99" s="12">
        <f t="shared" si="13"/>
        <v>77.3</v>
      </c>
      <c r="AK99" s="12"/>
      <c r="AL99" s="12">
        <f t="shared" si="21"/>
        <v>28.7</v>
      </c>
      <c r="AM99" s="12">
        <f t="shared" si="21"/>
        <v>25.900000000000002</v>
      </c>
      <c r="AN99" s="12">
        <f t="shared" si="21"/>
        <v>24.8</v>
      </c>
      <c r="AO99" s="12">
        <f t="shared" si="19"/>
        <v>85</v>
      </c>
      <c r="AP99" s="12">
        <f t="shared" si="19"/>
        <v>65.7</v>
      </c>
      <c r="AQ99" s="12">
        <f t="shared" si="19"/>
        <v>70.7</v>
      </c>
      <c r="AR99" s="12"/>
      <c r="AS99" s="12">
        <f t="shared" si="22"/>
        <v>9.9</v>
      </c>
      <c r="AT99" s="12">
        <f t="shared" si="22"/>
        <v>7.1</v>
      </c>
      <c r="AU99" s="12">
        <f t="shared" si="22"/>
        <v>36.4</v>
      </c>
      <c r="AV99" s="12">
        <f t="shared" si="20"/>
        <v>50.8</v>
      </c>
      <c r="AW99" s="12">
        <f t="shared" si="20"/>
        <v>43</v>
      </c>
      <c r="AX99" s="12">
        <f t="shared" si="20"/>
        <v>65.7</v>
      </c>
      <c r="AY99" s="12"/>
      <c r="AZ99" s="12">
        <f t="shared" si="14"/>
        <v>76.3</v>
      </c>
      <c r="BA99" s="12">
        <f t="shared" si="15"/>
        <v>48.699999999999996</v>
      </c>
      <c r="BB99" s="12"/>
      <c r="BC99" s="12">
        <f t="shared" si="16"/>
        <v>69.599999999999994</v>
      </c>
      <c r="BD99" s="12">
        <f t="shared" si="17"/>
        <v>49.1</v>
      </c>
      <c r="BE99" s="12">
        <f t="shared" si="18"/>
        <v>60.3</v>
      </c>
    </row>
    <row r="100" spans="1:57" ht="15.75" customHeight="1">
      <c r="A100" s="1" t="s">
        <v>108</v>
      </c>
      <c r="B100" s="3" t="s">
        <v>84</v>
      </c>
      <c r="C100" s="4" t="s">
        <v>8</v>
      </c>
      <c r="D100" s="4">
        <v>39</v>
      </c>
      <c r="E100" s="4">
        <v>582</v>
      </c>
      <c r="F100" s="4">
        <v>39</v>
      </c>
      <c r="G100" s="4">
        <v>582</v>
      </c>
      <c r="H100" s="4">
        <v>0.497</v>
      </c>
      <c r="I100" s="4">
        <v>9.1999999999999993</v>
      </c>
      <c r="J100" s="4"/>
      <c r="K100" s="4">
        <v>0.72899999999999998</v>
      </c>
      <c r="L100" s="4">
        <v>0.374</v>
      </c>
      <c r="M100" s="4">
        <v>0.32300000000000001</v>
      </c>
      <c r="N100" s="4">
        <v>1.9E-2</v>
      </c>
      <c r="O100" s="4">
        <v>1.2999999999999999E-2</v>
      </c>
      <c r="P100" s="4">
        <v>0.27100000000000002</v>
      </c>
      <c r="Q100" s="4"/>
      <c r="R100" s="4">
        <v>0.59299999999999997</v>
      </c>
      <c r="S100" s="4">
        <v>0.75900000000000001</v>
      </c>
      <c r="T100" s="4">
        <v>0.42</v>
      </c>
      <c r="U100" s="4">
        <v>0.66700000000000004</v>
      </c>
      <c r="V100" s="4">
        <v>0</v>
      </c>
      <c r="W100" s="4">
        <v>0.23799999999999999</v>
      </c>
      <c r="X100" s="4"/>
      <c r="Y100" s="4">
        <v>0.67200000000000004</v>
      </c>
      <c r="Z100" s="4">
        <v>0.9</v>
      </c>
      <c r="AA100" s="4"/>
      <c r="AB100" s="4">
        <v>0.45200000000000001</v>
      </c>
      <c r="AC100" s="4">
        <v>0.316</v>
      </c>
      <c r="AD100" s="10">
        <f t="shared" si="12"/>
        <v>0.733788</v>
      </c>
      <c r="AE100" s="9"/>
      <c r="AF100" s="9"/>
      <c r="AG100" s="12">
        <f t="shared" si="13"/>
        <v>64.600000000000009</v>
      </c>
      <c r="AH100" s="12">
        <f t="shared" si="13"/>
        <v>46.9</v>
      </c>
      <c r="AI100" s="12">
        <f t="shared" si="13"/>
        <v>79</v>
      </c>
      <c r="AJ100" s="12">
        <f t="shared" si="13"/>
        <v>16.5</v>
      </c>
      <c r="AK100" s="12"/>
      <c r="AL100" s="12">
        <f t="shared" si="21"/>
        <v>74.5</v>
      </c>
      <c r="AM100" s="12">
        <f t="shared" si="21"/>
        <v>87.2</v>
      </c>
      <c r="AN100" s="12">
        <f t="shared" si="21"/>
        <v>72.3</v>
      </c>
      <c r="AO100" s="12">
        <f t="shared" si="19"/>
        <v>11.600000000000001</v>
      </c>
      <c r="AP100" s="12">
        <f t="shared" si="19"/>
        <v>14.299999999999999</v>
      </c>
      <c r="AQ100" s="12">
        <f t="shared" si="19"/>
        <v>25.4</v>
      </c>
      <c r="AR100" s="12"/>
      <c r="AS100" s="12">
        <f t="shared" si="22"/>
        <v>89.5</v>
      </c>
      <c r="AT100" s="12">
        <f t="shared" si="22"/>
        <v>83.899999999999991</v>
      </c>
      <c r="AU100" s="12">
        <f t="shared" si="22"/>
        <v>40.300000000000004</v>
      </c>
      <c r="AV100" s="12">
        <f t="shared" si="20"/>
        <v>96.1</v>
      </c>
      <c r="AW100" s="12">
        <f t="shared" si="20"/>
        <v>0</v>
      </c>
      <c r="AX100" s="12">
        <f t="shared" si="20"/>
        <v>15.4</v>
      </c>
      <c r="AY100" s="12"/>
      <c r="AZ100" s="12">
        <f t="shared" si="14"/>
        <v>40.400000000000006</v>
      </c>
      <c r="BA100" s="12">
        <f t="shared" si="15"/>
        <v>62.5</v>
      </c>
      <c r="BB100" s="12"/>
      <c r="BC100" s="12">
        <f t="shared" si="16"/>
        <v>93.899999999999991</v>
      </c>
      <c r="BD100" s="12">
        <f t="shared" si="17"/>
        <v>42.5</v>
      </c>
      <c r="BE100" s="12">
        <f t="shared" si="18"/>
        <v>50.3</v>
      </c>
    </row>
    <row r="101" spans="1:57" ht="15.75" customHeight="1">
      <c r="A101" s="1" t="s">
        <v>180</v>
      </c>
      <c r="B101" s="3" t="s">
        <v>161</v>
      </c>
      <c r="C101" s="4" t="s">
        <v>85</v>
      </c>
      <c r="D101" s="4">
        <v>24</v>
      </c>
      <c r="E101" s="4">
        <v>573</v>
      </c>
      <c r="F101" s="4">
        <v>24</v>
      </c>
      <c r="G101" s="4">
        <v>573</v>
      </c>
      <c r="H101" s="4">
        <v>0.52700000000000002</v>
      </c>
      <c r="I101" s="4">
        <v>9.4</v>
      </c>
      <c r="J101" s="4"/>
      <c r="K101" s="4">
        <v>0.751</v>
      </c>
      <c r="L101" s="4">
        <v>0.40500000000000003</v>
      </c>
      <c r="M101" s="4">
        <v>0.26800000000000002</v>
      </c>
      <c r="N101" s="4">
        <v>4.3999999999999997E-2</v>
      </c>
      <c r="O101" s="4">
        <v>3.4000000000000002E-2</v>
      </c>
      <c r="P101" s="4">
        <v>0.249</v>
      </c>
      <c r="Q101" s="4"/>
      <c r="R101" s="4">
        <v>0.57099999999999995</v>
      </c>
      <c r="S101" s="4">
        <v>0.63900000000000001</v>
      </c>
      <c r="T101" s="4">
        <v>0.47299999999999998</v>
      </c>
      <c r="U101" s="4">
        <v>0.55600000000000005</v>
      </c>
      <c r="V101" s="4">
        <v>0.57099999999999995</v>
      </c>
      <c r="W101" s="4">
        <v>0.39200000000000002</v>
      </c>
      <c r="X101" s="4"/>
      <c r="Y101" s="4">
        <v>0.67</v>
      </c>
      <c r="Z101" s="4">
        <v>0.95</v>
      </c>
      <c r="AA101" s="4"/>
      <c r="AB101" s="4">
        <v>0.33300000000000002</v>
      </c>
      <c r="AC101" s="4">
        <v>0.35299999999999998</v>
      </c>
      <c r="AD101" s="10">
        <f t="shared" si="12"/>
        <v>0.73971999999999993</v>
      </c>
      <c r="AE101" s="9"/>
      <c r="AF101" s="9"/>
      <c r="AG101" s="12">
        <f t="shared" si="13"/>
        <v>19.8</v>
      </c>
      <c r="AH101" s="12">
        <f t="shared" si="13"/>
        <v>46.400000000000006</v>
      </c>
      <c r="AI101" s="12">
        <f t="shared" si="13"/>
        <v>87.2</v>
      </c>
      <c r="AJ101" s="12">
        <f t="shared" si="13"/>
        <v>17.599999999999998</v>
      </c>
      <c r="AK101" s="12"/>
      <c r="AL101" s="12">
        <f t="shared" si="21"/>
        <v>78.400000000000006</v>
      </c>
      <c r="AM101" s="12">
        <f t="shared" si="21"/>
        <v>90.600000000000009</v>
      </c>
      <c r="AN101" s="12">
        <f t="shared" si="21"/>
        <v>55.800000000000004</v>
      </c>
      <c r="AO101" s="12">
        <f t="shared" si="19"/>
        <v>33.1</v>
      </c>
      <c r="AP101" s="12">
        <f t="shared" si="19"/>
        <v>44.7</v>
      </c>
      <c r="AQ101" s="12">
        <f t="shared" si="19"/>
        <v>21.5</v>
      </c>
      <c r="AR101" s="12"/>
      <c r="AS101" s="12">
        <f t="shared" si="22"/>
        <v>82.3</v>
      </c>
      <c r="AT101" s="12">
        <f t="shared" si="22"/>
        <v>37</v>
      </c>
      <c r="AU101" s="12">
        <f t="shared" si="22"/>
        <v>61.3</v>
      </c>
      <c r="AV101" s="12">
        <f t="shared" si="20"/>
        <v>89.5</v>
      </c>
      <c r="AW101" s="12">
        <f t="shared" si="20"/>
        <v>91.7</v>
      </c>
      <c r="AX101" s="12">
        <f t="shared" si="20"/>
        <v>80.600000000000009</v>
      </c>
      <c r="AY101" s="12"/>
      <c r="AZ101" s="12">
        <f t="shared" si="14"/>
        <v>40.900000000000006</v>
      </c>
      <c r="BA101" s="12">
        <f t="shared" si="15"/>
        <v>46.5</v>
      </c>
      <c r="BB101" s="12"/>
      <c r="BC101" s="12">
        <f t="shared" si="16"/>
        <v>81.699999999999989</v>
      </c>
      <c r="BD101" s="12">
        <f t="shared" si="17"/>
        <v>49.7</v>
      </c>
      <c r="BE101" s="12">
        <f t="shared" si="18"/>
        <v>47.599999999999994</v>
      </c>
    </row>
    <row r="102" spans="1:57" ht="15.75" customHeight="1">
      <c r="A102" s="1" t="s">
        <v>134</v>
      </c>
      <c r="B102" s="3" t="s">
        <v>99</v>
      </c>
      <c r="C102" s="4" t="s">
        <v>85</v>
      </c>
      <c r="D102" s="4">
        <v>32</v>
      </c>
      <c r="E102" s="4">
        <v>572</v>
      </c>
      <c r="F102" s="4">
        <v>32</v>
      </c>
      <c r="G102" s="4">
        <v>572</v>
      </c>
      <c r="H102" s="4">
        <v>0.45700000000000002</v>
      </c>
      <c r="I102" s="4">
        <v>13.5</v>
      </c>
      <c r="J102" s="4"/>
      <c r="K102" s="4">
        <v>0.57899999999999996</v>
      </c>
      <c r="L102" s="4">
        <v>0.29299999999999998</v>
      </c>
      <c r="M102" s="4">
        <v>0.21299999999999999</v>
      </c>
      <c r="N102" s="4">
        <v>4.9000000000000002E-2</v>
      </c>
      <c r="O102" s="4">
        <v>2.4E-2</v>
      </c>
      <c r="P102" s="4">
        <v>0.42099999999999999</v>
      </c>
      <c r="Q102" s="4"/>
      <c r="R102" s="4">
        <v>0.6</v>
      </c>
      <c r="S102" s="4">
        <v>0.72899999999999998</v>
      </c>
      <c r="T102" s="4">
        <v>0.45700000000000002</v>
      </c>
      <c r="U102" s="4">
        <v>0.625</v>
      </c>
      <c r="V102" s="4">
        <v>0.25</v>
      </c>
      <c r="W102" s="4">
        <v>0.26100000000000001</v>
      </c>
      <c r="X102" s="4"/>
      <c r="Y102" s="4">
        <v>0.89500000000000002</v>
      </c>
      <c r="Z102" s="4">
        <v>1</v>
      </c>
      <c r="AA102" s="4"/>
      <c r="AB102" s="4">
        <v>0.13</v>
      </c>
      <c r="AC102" s="4">
        <v>0.111</v>
      </c>
      <c r="AD102" s="10">
        <f t="shared" si="12"/>
        <v>0.93920500000000007</v>
      </c>
      <c r="AE102" s="9"/>
      <c r="AF102" s="9"/>
      <c r="AG102" s="12">
        <f t="shared" si="13"/>
        <v>35.299999999999997</v>
      </c>
      <c r="AH102" s="12">
        <f t="shared" si="13"/>
        <v>45.800000000000004</v>
      </c>
      <c r="AI102" s="12">
        <f t="shared" si="13"/>
        <v>60.199999999999996</v>
      </c>
      <c r="AJ102" s="12">
        <f t="shared" si="13"/>
        <v>45.300000000000004</v>
      </c>
      <c r="AK102" s="12"/>
      <c r="AL102" s="12">
        <f t="shared" si="21"/>
        <v>45.800000000000004</v>
      </c>
      <c r="AM102" s="12">
        <f t="shared" si="21"/>
        <v>76.2</v>
      </c>
      <c r="AN102" s="12">
        <f t="shared" si="21"/>
        <v>37.5</v>
      </c>
      <c r="AO102" s="12">
        <f t="shared" si="19"/>
        <v>36.4</v>
      </c>
      <c r="AP102" s="12">
        <f t="shared" si="19"/>
        <v>32.5</v>
      </c>
      <c r="AQ102" s="12">
        <f t="shared" si="19"/>
        <v>54.1</v>
      </c>
      <c r="AR102" s="12"/>
      <c r="AS102" s="12">
        <f t="shared" si="22"/>
        <v>91.7</v>
      </c>
      <c r="AT102" s="12">
        <f t="shared" si="22"/>
        <v>70.7</v>
      </c>
      <c r="AU102" s="12">
        <f t="shared" si="22"/>
        <v>54.6</v>
      </c>
      <c r="AV102" s="12">
        <f t="shared" si="20"/>
        <v>93.899999999999991</v>
      </c>
      <c r="AW102" s="12">
        <f t="shared" si="20"/>
        <v>32</v>
      </c>
      <c r="AX102" s="12">
        <f t="shared" si="20"/>
        <v>21.5</v>
      </c>
      <c r="AY102" s="12"/>
      <c r="AZ102" s="12">
        <f t="shared" si="14"/>
        <v>2.7999999999999972</v>
      </c>
      <c r="BA102" s="12">
        <f t="shared" si="15"/>
        <v>33.799999999999997</v>
      </c>
      <c r="BB102" s="12"/>
      <c r="BC102" s="12">
        <f t="shared" si="16"/>
        <v>23.7</v>
      </c>
      <c r="BD102" s="12">
        <f t="shared" si="17"/>
        <v>12.7</v>
      </c>
      <c r="BE102" s="12">
        <f t="shared" si="18"/>
        <v>2.7999999999999972</v>
      </c>
    </row>
    <row r="103" spans="1:57" ht="15.75" customHeight="1">
      <c r="A103" s="1" t="s">
        <v>210</v>
      </c>
      <c r="B103" s="3" t="s">
        <v>96</v>
      </c>
      <c r="C103" s="4" t="s">
        <v>8</v>
      </c>
      <c r="D103" s="4">
        <v>41</v>
      </c>
      <c r="E103" s="4">
        <v>571</v>
      </c>
      <c r="F103" s="4">
        <v>41</v>
      </c>
      <c r="G103" s="4">
        <v>571</v>
      </c>
      <c r="H103" s="4">
        <v>0.373</v>
      </c>
      <c r="I103" s="4">
        <v>16.5</v>
      </c>
      <c r="J103" s="4"/>
      <c r="K103" s="4">
        <v>0.497</v>
      </c>
      <c r="L103" s="4">
        <v>0.16300000000000001</v>
      </c>
      <c r="M103" s="4">
        <v>0.15</v>
      </c>
      <c r="N103" s="4">
        <v>8.5000000000000006E-2</v>
      </c>
      <c r="O103" s="4">
        <v>9.8000000000000004E-2</v>
      </c>
      <c r="P103" s="4">
        <v>0.503</v>
      </c>
      <c r="Q103" s="4"/>
      <c r="R103" s="4">
        <v>0.36799999999999999</v>
      </c>
      <c r="S103" s="4">
        <v>0.48</v>
      </c>
      <c r="T103" s="4">
        <v>0.30399999999999999</v>
      </c>
      <c r="U103" s="4">
        <v>0.308</v>
      </c>
      <c r="V103" s="4">
        <v>0.33300000000000002</v>
      </c>
      <c r="W103" s="4">
        <v>0.377</v>
      </c>
      <c r="X103" s="4"/>
      <c r="Y103" s="4">
        <v>0.60699999999999998</v>
      </c>
      <c r="Z103" s="4">
        <v>0.93100000000000005</v>
      </c>
      <c r="AA103" s="4"/>
      <c r="AB103" s="4">
        <v>0.247</v>
      </c>
      <c r="AC103" s="4">
        <v>0.36799999999999999</v>
      </c>
      <c r="AD103" s="10">
        <f t="shared" si="12"/>
        <v>0.76997199999999999</v>
      </c>
      <c r="AE103" s="9"/>
      <c r="AF103" s="9"/>
      <c r="AG103" s="12">
        <f t="shared" si="13"/>
        <v>85.6</v>
      </c>
      <c r="AH103" s="12">
        <f t="shared" si="13"/>
        <v>45.300000000000004</v>
      </c>
      <c r="AI103" s="12">
        <f t="shared" si="13"/>
        <v>17.599999999999998</v>
      </c>
      <c r="AJ103" s="12">
        <f t="shared" si="13"/>
        <v>74</v>
      </c>
      <c r="AK103" s="12"/>
      <c r="AL103" s="12">
        <f t="shared" si="21"/>
        <v>28.7</v>
      </c>
      <c r="AM103" s="12">
        <f t="shared" si="21"/>
        <v>39.700000000000003</v>
      </c>
      <c r="AN103" s="12">
        <f t="shared" si="21"/>
        <v>16.5</v>
      </c>
      <c r="AO103" s="12">
        <f t="shared" si="19"/>
        <v>62.4</v>
      </c>
      <c r="AP103" s="12">
        <f t="shared" si="19"/>
        <v>87.2</v>
      </c>
      <c r="AQ103" s="12">
        <f t="shared" si="19"/>
        <v>70.7</v>
      </c>
      <c r="AR103" s="12"/>
      <c r="AS103" s="12">
        <f t="shared" si="22"/>
        <v>3.8</v>
      </c>
      <c r="AT103" s="12">
        <f t="shared" si="22"/>
        <v>7.7</v>
      </c>
      <c r="AU103" s="12">
        <f t="shared" si="22"/>
        <v>9.3000000000000007</v>
      </c>
      <c r="AV103" s="12">
        <f t="shared" si="20"/>
        <v>37.5</v>
      </c>
      <c r="AW103" s="12">
        <f t="shared" si="20"/>
        <v>45.800000000000004</v>
      </c>
      <c r="AX103" s="12">
        <f t="shared" si="20"/>
        <v>72.3</v>
      </c>
      <c r="AY103" s="12"/>
      <c r="AZ103" s="12">
        <f t="shared" si="14"/>
        <v>51.4</v>
      </c>
      <c r="BA103" s="12">
        <f t="shared" si="15"/>
        <v>53.599999999999994</v>
      </c>
      <c r="BB103" s="12"/>
      <c r="BC103" s="12">
        <f t="shared" si="16"/>
        <v>66.8</v>
      </c>
      <c r="BD103" s="12">
        <f t="shared" si="17"/>
        <v>54.1</v>
      </c>
      <c r="BE103" s="12">
        <f t="shared" si="18"/>
        <v>41.5</v>
      </c>
    </row>
    <row r="104" spans="1:57" ht="15.75" customHeight="1">
      <c r="A104" s="1" t="s">
        <v>162</v>
      </c>
      <c r="B104" s="3" t="s">
        <v>84</v>
      </c>
      <c r="C104" s="4" t="s">
        <v>88</v>
      </c>
      <c r="D104" s="4">
        <v>41</v>
      </c>
      <c r="E104" s="4">
        <v>565</v>
      </c>
      <c r="F104" s="4">
        <v>41</v>
      </c>
      <c r="G104" s="4">
        <v>565</v>
      </c>
      <c r="H104" s="4">
        <v>0.505</v>
      </c>
      <c r="I104" s="4">
        <v>14.1</v>
      </c>
      <c r="J104" s="4"/>
      <c r="K104" s="4">
        <v>0.54700000000000004</v>
      </c>
      <c r="L104" s="4">
        <v>0.219</v>
      </c>
      <c r="M104" s="4">
        <v>0.24</v>
      </c>
      <c r="N104" s="4">
        <v>6.8000000000000005E-2</v>
      </c>
      <c r="O104" s="4">
        <v>2.1000000000000001E-2</v>
      </c>
      <c r="P104" s="4">
        <v>0.45300000000000001</v>
      </c>
      <c r="Q104" s="4"/>
      <c r="R104" s="4">
        <v>0.59</v>
      </c>
      <c r="S104" s="4">
        <v>0.78600000000000003</v>
      </c>
      <c r="T104" s="4">
        <v>0.52200000000000002</v>
      </c>
      <c r="U104" s="4">
        <v>0.308</v>
      </c>
      <c r="V104" s="4">
        <v>0.25</v>
      </c>
      <c r="W104" s="4">
        <v>0.40200000000000002</v>
      </c>
      <c r="X104" s="4"/>
      <c r="Y104" s="4">
        <v>0.67700000000000005</v>
      </c>
      <c r="Z104" s="4">
        <v>1</v>
      </c>
      <c r="AA104" s="4"/>
      <c r="AB104" s="4">
        <v>0.17199999999999999</v>
      </c>
      <c r="AC104" s="4">
        <v>0.33300000000000002</v>
      </c>
      <c r="AD104" s="10">
        <f t="shared" si="12"/>
        <v>0.82331900000000013</v>
      </c>
      <c r="AE104" s="9"/>
      <c r="AF104" s="9"/>
      <c r="AG104" s="12">
        <f t="shared" si="13"/>
        <v>85.6</v>
      </c>
      <c r="AH104" s="12">
        <f t="shared" si="13"/>
        <v>44.7</v>
      </c>
      <c r="AI104" s="12">
        <f t="shared" si="13"/>
        <v>81.2</v>
      </c>
      <c r="AJ104" s="12">
        <f t="shared" si="13"/>
        <v>50.8</v>
      </c>
      <c r="AK104" s="12"/>
      <c r="AL104" s="12">
        <f t="shared" si="21"/>
        <v>39.700000000000003</v>
      </c>
      <c r="AM104" s="12">
        <f t="shared" si="21"/>
        <v>57.999999999999993</v>
      </c>
      <c r="AN104" s="12">
        <f t="shared" si="21"/>
        <v>46.9</v>
      </c>
      <c r="AO104" s="12">
        <f t="shared" si="19"/>
        <v>51.9</v>
      </c>
      <c r="AP104" s="12">
        <f t="shared" si="19"/>
        <v>28.7</v>
      </c>
      <c r="AQ104" s="12">
        <f t="shared" si="19"/>
        <v>59.599999999999994</v>
      </c>
      <c r="AR104" s="12"/>
      <c r="AS104" s="12">
        <f t="shared" si="22"/>
        <v>88.3</v>
      </c>
      <c r="AT104" s="12">
        <f t="shared" si="22"/>
        <v>88.3</v>
      </c>
      <c r="AU104" s="12">
        <f t="shared" si="22"/>
        <v>80.600000000000009</v>
      </c>
      <c r="AV104" s="12">
        <f t="shared" si="20"/>
        <v>37.5</v>
      </c>
      <c r="AW104" s="12">
        <f t="shared" si="20"/>
        <v>32</v>
      </c>
      <c r="AX104" s="12">
        <f t="shared" si="20"/>
        <v>88.3</v>
      </c>
      <c r="AY104" s="12"/>
      <c r="AZ104" s="12">
        <f t="shared" si="14"/>
        <v>38.200000000000003</v>
      </c>
      <c r="BA104" s="12">
        <f t="shared" si="15"/>
        <v>33.799999999999997</v>
      </c>
      <c r="BB104" s="12"/>
      <c r="BC104" s="12">
        <f t="shared" si="16"/>
        <v>42.5</v>
      </c>
      <c r="BD104" s="12">
        <f t="shared" si="17"/>
        <v>43</v>
      </c>
      <c r="BE104" s="12">
        <f t="shared" si="18"/>
        <v>27.700000000000003</v>
      </c>
    </row>
    <row r="105" spans="1:57" ht="15.75" customHeight="1">
      <c r="A105" s="1" t="s">
        <v>203</v>
      </c>
      <c r="B105" s="3" t="s">
        <v>232</v>
      </c>
      <c r="C105" s="4" t="s">
        <v>119</v>
      </c>
      <c r="D105" s="4">
        <v>37</v>
      </c>
      <c r="E105" s="4">
        <v>563</v>
      </c>
      <c r="F105" s="4">
        <v>37</v>
      </c>
      <c r="G105" s="4">
        <v>563</v>
      </c>
      <c r="H105" s="4">
        <v>0.438</v>
      </c>
      <c r="I105" s="4">
        <v>14.5</v>
      </c>
      <c r="J105" s="4"/>
      <c r="K105" s="4">
        <v>0.503</v>
      </c>
      <c r="L105" s="4">
        <v>0.157</v>
      </c>
      <c r="M105" s="4">
        <v>0.32400000000000001</v>
      </c>
      <c r="N105" s="4">
        <v>1.0999999999999999E-2</v>
      </c>
      <c r="O105" s="4">
        <v>1.0999999999999999E-2</v>
      </c>
      <c r="P105" s="4">
        <v>0.497</v>
      </c>
      <c r="Q105" s="4"/>
      <c r="R105" s="4">
        <v>0.51600000000000001</v>
      </c>
      <c r="S105" s="4">
        <v>0.621</v>
      </c>
      <c r="T105" s="4">
        <v>0.46700000000000003</v>
      </c>
      <c r="U105" s="4">
        <v>0.5</v>
      </c>
      <c r="V105" s="4">
        <v>0.5</v>
      </c>
      <c r="W105" s="4">
        <v>0.35899999999999999</v>
      </c>
      <c r="X105" s="4"/>
      <c r="Y105" s="4">
        <v>0.81299999999999994</v>
      </c>
      <c r="Z105" s="4">
        <v>1</v>
      </c>
      <c r="AA105" s="4"/>
      <c r="AB105" s="4">
        <v>0.20699999999999999</v>
      </c>
      <c r="AC105" s="4">
        <v>0.26300000000000001</v>
      </c>
      <c r="AD105" s="10">
        <f t="shared" si="12"/>
        <v>0.90593900000000005</v>
      </c>
      <c r="AE105" s="9"/>
      <c r="AF105" s="9"/>
      <c r="AG105" s="12">
        <f t="shared" si="13"/>
        <v>51.300000000000004</v>
      </c>
      <c r="AH105" s="12">
        <f t="shared" si="13"/>
        <v>44.1</v>
      </c>
      <c r="AI105" s="12">
        <f t="shared" si="13"/>
        <v>50.2</v>
      </c>
      <c r="AJ105" s="12">
        <f t="shared" si="13"/>
        <v>54.1</v>
      </c>
      <c r="AK105" s="12"/>
      <c r="AL105" s="12">
        <f t="shared" si="21"/>
        <v>31.4</v>
      </c>
      <c r="AM105" s="12">
        <f t="shared" si="21"/>
        <v>35.9</v>
      </c>
      <c r="AN105" s="12">
        <f t="shared" si="21"/>
        <v>72.899999999999991</v>
      </c>
      <c r="AO105" s="12">
        <f t="shared" si="19"/>
        <v>6.6000000000000005</v>
      </c>
      <c r="AP105" s="12">
        <f t="shared" si="19"/>
        <v>12.1</v>
      </c>
      <c r="AQ105" s="12">
        <f t="shared" si="19"/>
        <v>68.5</v>
      </c>
      <c r="AR105" s="12"/>
      <c r="AS105" s="12">
        <f t="shared" si="22"/>
        <v>50.2</v>
      </c>
      <c r="AT105" s="12">
        <f t="shared" si="22"/>
        <v>32</v>
      </c>
      <c r="AU105" s="12">
        <f t="shared" si="22"/>
        <v>57.999999999999993</v>
      </c>
      <c r="AV105" s="12">
        <f t="shared" si="20"/>
        <v>81.2</v>
      </c>
      <c r="AW105" s="12">
        <f t="shared" si="20"/>
        <v>80.100000000000009</v>
      </c>
      <c r="AX105" s="12">
        <f t="shared" si="20"/>
        <v>64.600000000000009</v>
      </c>
      <c r="AY105" s="12"/>
      <c r="AZ105" s="12">
        <f t="shared" si="14"/>
        <v>12.200000000000003</v>
      </c>
      <c r="BA105" s="12">
        <f t="shared" si="15"/>
        <v>33.799999999999997</v>
      </c>
      <c r="BB105" s="12"/>
      <c r="BC105" s="12">
        <f t="shared" si="16"/>
        <v>59.099999999999994</v>
      </c>
      <c r="BD105" s="12">
        <f t="shared" si="17"/>
        <v>32</v>
      </c>
      <c r="BE105" s="12">
        <f t="shared" si="18"/>
        <v>10</v>
      </c>
    </row>
    <row r="106" spans="1:57" ht="15.75" customHeight="1">
      <c r="A106" s="1" t="s">
        <v>147</v>
      </c>
      <c r="B106" s="3" t="s">
        <v>131</v>
      </c>
      <c r="C106" s="4" t="s">
        <v>8</v>
      </c>
      <c r="D106" s="4">
        <v>19</v>
      </c>
      <c r="E106" s="4">
        <v>553</v>
      </c>
      <c r="F106" s="4">
        <v>19</v>
      </c>
      <c r="G106" s="4">
        <v>553</v>
      </c>
      <c r="H106" s="4">
        <v>0.39200000000000002</v>
      </c>
      <c r="I106" s="4">
        <v>12.7</v>
      </c>
      <c r="J106" s="4"/>
      <c r="K106" s="4">
        <v>0.69399999999999995</v>
      </c>
      <c r="L106" s="4">
        <v>0.20699999999999999</v>
      </c>
      <c r="M106" s="4">
        <v>0.23899999999999999</v>
      </c>
      <c r="N106" s="4">
        <v>0.16700000000000001</v>
      </c>
      <c r="O106" s="4">
        <v>8.1000000000000003E-2</v>
      </c>
      <c r="P106" s="4">
        <v>0.30599999999999999</v>
      </c>
      <c r="Q106" s="4"/>
      <c r="R106" s="4">
        <v>0.39600000000000002</v>
      </c>
      <c r="S106" s="4">
        <v>0.41299999999999998</v>
      </c>
      <c r="T106" s="4">
        <v>0.39600000000000002</v>
      </c>
      <c r="U106" s="4">
        <v>0.378</v>
      </c>
      <c r="V106" s="4">
        <v>0.38900000000000001</v>
      </c>
      <c r="W106" s="4">
        <v>0.38200000000000001</v>
      </c>
      <c r="X106" s="4"/>
      <c r="Y106" s="4">
        <v>0.41</v>
      </c>
      <c r="Z106" s="4">
        <v>0.80800000000000005</v>
      </c>
      <c r="AA106" s="4"/>
      <c r="AB106" s="4">
        <v>0.14699999999999999</v>
      </c>
      <c r="AC106" s="4">
        <v>0.4</v>
      </c>
      <c r="AD106" s="10">
        <f t="shared" si="12"/>
        <v>0.53178799999999993</v>
      </c>
      <c r="AE106" s="9"/>
      <c r="AF106" s="9"/>
      <c r="AG106" s="12">
        <f t="shared" si="13"/>
        <v>14.899999999999999</v>
      </c>
      <c r="AH106" s="12">
        <f t="shared" si="13"/>
        <v>43.6</v>
      </c>
      <c r="AI106" s="12">
        <f t="shared" si="13"/>
        <v>23.7</v>
      </c>
      <c r="AJ106" s="12">
        <f t="shared" si="13"/>
        <v>38.1</v>
      </c>
      <c r="AK106" s="12"/>
      <c r="AL106" s="12">
        <f t="shared" si="21"/>
        <v>69</v>
      </c>
      <c r="AM106" s="12">
        <f t="shared" si="21"/>
        <v>54.6</v>
      </c>
      <c r="AN106" s="12">
        <f t="shared" si="21"/>
        <v>46.400000000000006</v>
      </c>
      <c r="AO106" s="12">
        <f t="shared" si="19"/>
        <v>91.100000000000009</v>
      </c>
      <c r="AP106" s="12">
        <f t="shared" si="19"/>
        <v>81.699999999999989</v>
      </c>
      <c r="AQ106" s="12">
        <f t="shared" si="19"/>
        <v>30.9</v>
      </c>
      <c r="AR106" s="12"/>
      <c r="AS106" s="12">
        <f t="shared" si="22"/>
        <v>9.3000000000000007</v>
      </c>
      <c r="AT106" s="12">
        <f t="shared" si="22"/>
        <v>5.5</v>
      </c>
      <c r="AU106" s="12">
        <f t="shared" si="22"/>
        <v>31.4</v>
      </c>
      <c r="AV106" s="12">
        <f t="shared" si="20"/>
        <v>54.1</v>
      </c>
      <c r="AW106" s="12">
        <f t="shared" si="20"/>
        <v>61.8</v>
      </c>
      <c r="AX106" s="12">
        <f t="shared" si="20"/>
        <v>74.5</v>
      </c>
      <c r="AY106" s="12"/>
      <c r="AZ106" s="12">
        <f t="shared" si="14"/>
        <v>81.8</v>
      </c>
      <c r="BA106" s="12">
        <f t="shared" si="15"/>
        <v>75.2</v>
      </c>
      <c r="BB106" s="12"/>
      <c r="BC106" s="12">
        <f t="shared" si="16"/>
        <v>28.7</v>
      </c>
      <c r="BD106" s="12">
        <f t="shared" si="17"/>
        <v>62.9</v>
      </c>
      <c r="BE106" s="12">
        <f t="shared" si="18"/>
        <v>87.3</v>
      </c>
    </row>
    <row r="107" spans="1:57" ht="15.75" customHeight="1">
      <c r="A107" s="1" t="s">
        <v>196</v>
      </c>
      <c r="B107" s="3" t="s">
        <v>99</v>
      </c>
      <c r="C107" s="4" t="s">
        <v>85</v>
      </c>
      <c r="D107" s="4">
        <v>38</v>
      </c>
      <c r="E107" s="4">
        <v>550</v>
      </c>
      <c r="F107" s="4">
        <v>38</v>
      </c>
      <c r="G107" s="4">
        <v>550</v>
      </c>
      <c r="H107" s="4">
        <v>0.48199999999999998</v>
      </c>
      <c r="I107" s="4">
        <v>13.7</v>
      </c>
      <c r="J107" s="4"/>
      <c r="K107" s="4">
        <v>0.623</v>
      </c>
      <c r="L107" s="4">
        <v>0.17599999999999999</v>
      </c>
      <c r="M107" s="4">
        <v>0.27100000000000002</v>
      </c>
      <c r="N107" s="4">
        <v>0.13100000000000001</v>
      </c>
      <c r="O107" s="4">
        <v>4.4999999999999998E-2</v>
      </c>
      <c r="P107" s="4">
        <v>0.377</v>
      </c>
      <c r="Q107" s="4"/>
      <c r="R107" s="4">
        <v>0.53200000000000003</v>
      </c>
      <c r="S107" s="4">
        <v>0.68600000000000005</v>
      </c>
      <c r="T107" s="4">
        <v>0.51900000000000002</v>
      </c>
      <c r="U107" s="4">
        <v>0.38500000000000001</v>
      </c>
      <c r="V107" s="4">
        <v>0.44400000000000001</v>
      </c>
      <c r="W107" s="4">
        <v>0.4</v>
      </c>
      <c r="X107" s="4"/>
      <c r="Y107" s="4">
        <v>0.71199999999999997</v>
      </c>
      <c r="Z107" s="4">
        <v>1</v>
      </c>
      <c r="AA107" s="4"/>
      <c r="AB107" s="4">
        <v>0.14699999999999999</v>
      </c>
      <c r="AC107" s="4">
        <v>0.54500000000000004</v>
      </c>
      <c r="AD107" s="10">
        <f t="shared" si="12"/>
        <v>0.82057599999999997</v>
      </c>
      <c r="AE107" s="9"/>
      <c r="AF107" s="9"/>
      <c r="AG107" s="12">
        <f t="shared" si="13"/>
        <v>59.599999999999994</v>
      </c>
      <c r="AH107" s="12">
        <f t="shared" si="13"/>
        <v>43</v>
      </c>
      <c r="AI107" s="12">
        <f t="shared" si="13"/>
        <v>73.400000000000006</v>
      </c>
      <c r="AJ107" s="12">
        <f t="shared" si="13"/>
        <v>48</v>
      </c>
      <c r="AK107" s="12"/>
      <c r="AL107" s="12">
        <f t="shared" si="21"/>
        <v>56.3</v>
      </c>
      <c r="AM107" s="12">
        <f t="shared" si="21"/>
        <v>43</v>
      </c>
      <c r="AN107" s="12">
        <f t="shared" si="21"/>
        <v>57.4</v>
      </c>
      <c r="AO107" s="12">
        <f t="shared" si="19"/>
        <v>82.8</v>
      </c>
      <c r="AP107" s="12">
        <f t="shared" si="19"/>
        <v>56.899999999999991</v>
      </c>
      <c r="AQ107" s="12">
        <f t="shared" si="19"/>
        <v>43</v>
      </c>
      <c r="AR107" s="12"/>
      <c r="AS107" s="12">
        <f t="shared" si="22"/>
        <v>61.3</v>
      </c>
      <c r="AT107" s="12">
        <f t="shared" si="22"/>
        <v>55.800000000000004</v>
      </c>
      <c r="AU107" s="12">
        <f t="shared" si="22"/>
        <v>80.100000000000009</v>
      </c>
      <c r="AV107" s="12">
        <f t="shared" si="20"/>
        <v>55.2</v>
      </c>
      <c r="AW107" s="12">
        <f t="shared" si="20"/>
        <v>76.2</v>
      </c>
      <c r="AX107" s="12">
        <f t="shared" si="20"/>
        <v>86.1</v>
      </c>
      <c r="AY107" s="12"/>
      <c r="AZ107" s="12">
        <f t="shared" si="14"/>
        <v>32.099999999999994</v>
      </c>
      <c r="BA107" s="12">
        <f t="shared" si="15"/>
        <v>33.799999999999997</v>
      </c>
      <c r="BB107" s="12"/>
      <c r="BC107" s="12">
        <f t="shared" si="16"/>
        <v>28.7</v>
      </c>
      <c r="BD107" s="12">
        <f t="shared" si="17"/>
        <v>86.1</v>
      </c>
      <c r="BE107" s="12">
        <f t="shared" si="18"/>
        <v>29.299999999999997</v>
      </c>
    </row>
    <row r="108" spans="1:57" ht="15.75" customHeight="1">
      <c r="A108" s="1" t="s">
        <v>231</v>
      </c>
      <c r="B108" s="3" t="s">
        <v>107</v>
      </c>
      <c r="C108" s="4" t="s">
        <v>85</v>
      </c>
      <c r="D108" s="4">
        <v>27</v>
      </c>
      <c r="E108" s="4">
        <v>544</v>
      </c>
      <c r="F108" s="4">
        <v>27</v>
      </c>
      <c r="G108" s="4">
        <v>544</v>
      </c>
      <c r="H108" s="4">
        <v>0.53200000000000003</v>
      </c>
      <c r="I108" s="4">
        <v>8.5</v>
      </c>
      <c r="J108" s="4"/>
      <c r="K108" s="4">
        <v>0.93500000000000005</v>
      </c>
      <c r="L108" s="4">
        <v>0.315</v>
      </c>
      <c r="M108" s="4">
        <v>0.31900000000000001</v>
      </c>
      <c r="N108" s="4">
        <v>0.153</v>
      </c>
      <c r="O108" s="4">
        <v>0.14799999999999999</v>
      </c>
      <c r="P108" s="4">
        <v>6.5000000000000002E-2</v>
      </c>
      <c r="Q108" s="4"/>
      <c r="R108" s="4">
        <v>0.54</v>
      </c>
      <c r="S108" s="4">
        <v>0.64700000000000002</v>
      </c>
      <c r="T108" s="4">
        <v>0.46400000000000002</v>
      </c>
      <c r="U108" s="4">
        <v>0.48499999999999999</v>
      </c>
      <c r="V108" s="4">
        <v>0.53100000000000003</v>
      </c>
      <c r="W108" s="4">
        <v>0.42899999999999999</v>
      </c>
      <c r="X108" s="4"/>
      <c r="Y108" s="4">
        <v>0.70599999999999996</v>
      </c>
      <c r="Z108" s="4">
        <v>1</v>
      </c>
      <c r="AA108" s="4"/>
      <c r="AB108" s="4">
        <v>7.0999999999999994E-2</v>
      </c>
      <c r="AC108" s="4">
        <v>1</v>
      </c>
      <c r="AD108" s="10">
        <f t="shared" si="12"/>
        <v>0.72510999999999992</v>
      </c>
      <c r="AE108" s="9"/>
      <c r="AF108" s="9"/>
      <c r="AG108" s="12">
        <f t="shared" si="13"/>
        <v>24.8</v>
      </c>
      <c r="AH108" s="12">
        <f t="shared" si="13"/>
        <v>41.9</v>
      </c>
      <c r="AI108" s="12">
        <f t="shared" si="13"/>
        <v>88.9</v>
      </c>
      <c r="AJ108" s="12">
        <f t="shared" si="13"/>
        <v>14.899999999999999</v>
      </c>
      <c r="AK108" s="12"/>
      <c r="AL108" s="12">
        <f t="shared" si="21"/>
        <v>91.100000000000009</v>
      </c>
      <c r="AM108" s="12">
        <f t="shared" si="21"/>
        <v>79.5</v>
      </c>
      <c r="AN108" s="12">
        <f t="shared" si="21"/>
        <v>71.2</v>
      </c>
      <c r="AO108" s="12">
        <f t="shared" si="19"/>
        <v>88.9</v>
      </c>
      <c r="AP108" s="12">
        <f t="shared" si="19"/>
        <v>98.3</v>
      </c>
      <c r="AQ108" s="12">
        <f t="shared" si="19"/>
        <v>8.7999999999999989</v>
      </c>
      <c r="AR108" s="12"/>
      <c r="AS108" s="12">
        <f t="shared" si="22"/>
        <v>65.7</v>
      </c>
      <c r="AT108" s="12">
        <f t="shared" si="22"/>
        <v>39.700000000000003</v>
      </c>
      <c r="AU108" s="12">
        <f t="shared" si="22"/>
        <v>56.3</v>
      </c>
      <c r="AV108" s="12">
        <f t="shared" si="20"/>
        <v>79</v>
      </c>
      <c r="AW108" s="12">
        <f t="shared" si="20"/>
        <v>90.600000000000009</v>
      </c>
      <c r="AX108" s="12">
        <f t="shared" si="20"/>
        <v>92.2</v>
      </c>
      <c r="AY108" s="12"/>
      <c r="AZ108" s="12">
        <f t="shared" si="14"/>
        <v>33.200000000000003</v>
      </c>
      <c r="BA108" s="12">
        <f t="shared" si="15"/>
        <v>33.799999999999997</v>
      </c>
      <c r="BB108" s="12"/>
      <c r="BC108" s="12">
        <f t="shared" si="16"/>
        <v>9.9</v>
      </c>
      <c r="BD108" s="12">
        <f t="shared" si="17"/>
        <v>97.2</v>
      </c>
      <c r="BE108" s="12">
        <f t="shared" si="18"/>
        <v>52</v>
      </c>
    </row>
    <row r="109" spans="1:57" ht="15.75" customHeight="1">
      <c r="A109" s="1" t="s">
        <v>228</v>
      </c>
      <c r="B109" s="4" t="s">
        <v>161</v>
      </c>
      <c r="C109" s="4" t="s">
        <v>8</v>
      </c>
      <c r="D109" s="4">
        <v>40</v>
      </c>
      <c r="E109" s="4">
        <v>544</v>
      </c>
      <c r="F109" s="4">
        <v>40</v>
      </c>
      <c r="G109" s="4">
        <v>544</v>
      </c>
      <c r="H109" s="4">
        <v>0.35199999999999998</v>
      </c>
      <c r="I109" s="4">
        <v>20.399999999999999</v>
      </c>
      <c r="J109" s="4"/>
      <c r="K109" s="4">
        <v>0.27500000000000002</v>
      </c>
      <c r="L109" s="4">
        <v>7.6999999999999999E-2</v>
      </c>
      <c r="M109" s="4">
        <v>7.6999999999999999E-2</v>
      </c>
      <c r="N109" s="4">
        <v>7.0999999999999994E-2</v>
      </c>
      <c r="O109" s="4">
        <v>4.9000000000000002E-2</v>
      </c>
      <c r="P109" s="4">
        <v>0.72499999999999998</v>
      </c>
      <c r="Q109" s="4"/>
      <c r="R109" s="4">
        <v>0.4</v>
      </c>
      <c r="S109" s="4">
        <v>0.57099999999999995</v>
      </c>
      <c r="T109" s="4">
        <v>0.214</v>
      </c>
      <c r="U109" s="4">
        <v>0.23100000000000001</v>
      </c>
      <c r="V109" s="4">
        <v>0.66700000000000004</v>
      </c>
      <c r="W109" s="4">
        <v>0.33300000000000002</v>
      </c>
      <c r="X109" s="4"/>
      <c r="Y109" s="4">
        <v>0.8</v>
      </c>
      <c r="Z109" s="4">
        <v>0.93200000000000005</v>
      </c>
      <c r="AA109" s="4"/>
      <c r="AB109" s="4">
        <v>0.23499999999999999</v>
      </c>
      <c r="AC109" s="4">
        <v>0.38700000000000001</v>
      </c>
      <c r="AD109" s="10">
        <f t="shared" si="12"/>
        <v>0.89569999999999994</v>
      </c>
      <c r="AE109" s="9"/>
      <c r="AF109" s="9"/>
      <c r="AG109" s="12">
        <f t="shared" si="13"/>
        <v>72.899999999999991</v>
      </c>
      <c r="AH109" s="12">
        <f t="shared" si="13"/>
        <v>41.9</v>
      </c>
      <c r="AI109" s="12">
        <f t="shared" si="13"/>
        <v>9.3000000000000007</v>
      </c>
      <c r="AJ109" s="12">
        <f t="shared" si="13"/>
        <v>95.5</v>
      </c>
      <c r="AK109" s="12"/>
      <c r="AL109" s="12">
        <f t="shared" si="21"/>
        <v>3.8</v>
      </c>
      <c r="AM109" s="12">
        <f t="shared" si="21"/>
        <v>8.2000000000000011</v>
      </c>
      <c r="AN109" s="12">
        <f t="shared" si="21"/>
        <v>1.6</v>
      </c>
      <c r="AO109" s="12">
        <f t="shared" si="19"/>
        <v>53</v>
      </c>
      <c r="AP109" s="12">
        <f t="shared" si="19"/>
        <v>60.699999999999996</v>
      </c>
      <c r="AQ109" s="12">
        <f t="shared" si="19"/>
        <v>95.5</v>
      </c>
      <c r="AR109" s="12"/>
      <c r="AS109" s="12">
        <f t="shared" si="22"/>
        <v>9.9</v>
      </c>
      <c r="AT109" s="12">
        <f t="shared" si="22"/>
        <v>16</v>
      </c>
      <c r="AU109" s="12">
        <f t="shared" si="22"/>
        <v>1.6</v>
      </c>
      <c r="AV109" s="12">
        <f t="shared" si="20"/>
        <v>26.5</v>
      </c>
      <c r="AW109" s="12">
        <f t="shared" si="20"/>
        <v>95.5</v>
      </c>
      <c r="AX109" s="12">
        <f t="shared" si="20"/>
        <v>50.2</v>
      </c>
      <c r="AY109" s="12"/>
      <c r="AZ109" s="12">
        <f t="shared" si="14"/>
        <v>15</v>
      </c>
      <c r="BA109" s="12">
        <f t="shared" si="15"/>
        <v>53.1</v>
      </c>
      <c r="BB109" s="12"/>
      <c r="BC109" s="12">
        <f t="shared" si="16"/>
        <v>65.100000000000009</v>
      </c>
      <c r="BD109" s="12">
        <f t="shared" si="17"/>
        <v>59.599999999999994</v>
      </c>
      <c r="BE109" s="12">
        <f t="shared" si="18"/>
        <v>10.5</v>
      </c>
    </row>
    <row r="110" spans="1:57" ht="15.75" customHeight="1">
      <c r="A110" s="1" t="s">
        <v>225</v>
      </c>
      <c r="B110" s="3" t="s">
        <v>93</v>
      </c>
      <c r="C110" s="4" t="s">
        <v>85</v>
      </c>
      <c r="D110" s="4">
        <v>33</v>
      </c>
      <c r="E110" s="4">
        <v>543</v>
      </c>
      <c r="F110" s="4">
        <v>33</v>
      </c>
      <c r="G110" s="4">
        <v>543</v>
      </c>
      <c r="H110" s="4">
        <v>0.377</v>
      </c>
      <c r="I110" s="4">
        <v>15.6</v>
      </c>
      <c r="J110" s="4"/>
      <c r="K110" s="4">
        <v>0.50800000000000001</v>
      </c>
      <c r="L110" s="4">
        <v>0.13800000000000001</v>
      </c>
      <c r="M110" s="4">
        <v>0.254</v>
      </c>
      <c r="N110" s="4">
        <v>0.108</v>
      </c>
      <c r="O110" s="4">
        <v>8.0000000000000002E-3</v>
      </c>
      <c r="P110" s="4">
        <v>0.49199999999999999</v>
      </c>
      <c r="Q110" s="4"/>
      <c r="R110" s="4">
        <v>0.45500000000000002</v>
      </c>
      <c r="S110" s="4">
        <v>0.55600000000000005</v>
      </c>
      <c r="T110" s="4">
        <v>0.48499999999999999</v>
      </c>
      <c r="U110" s="4">
        <v>0.28599999999999998</v>
      </c>
      <c r="V110" s="4">
        <v>0</v>
      </c>
      <c r="W110" s="4">
        <v>0.29699999999999999</v>
      </c>
      <c r="X110" s="4"/>
      <c r="Y110" s="4">
        <v>0.433</v>
      </c>
      <c r="Z110" s="4">
        <v>1</v>
      </c>
      <c r="AA110" s="4"/>
      <c r="AB110" s="4">
        <v>0.14099999999999999</v>
      </c>
      <c r="AC110" s="4">
        <v>0.44400000000000001</v>
      </c>
      <c r="AD110" s="10">
        <f t="shared" si="12"/>
        <v>0.71196400000000004</v>
      </c>
      <c r="AE110" s="9"/>
      <c r="AF110" s="9"/>
      <c r="AG110" s="12">
        <f t="shared" si="13"/>
        <v>39.700000000000003</v>
      </c>
      <c r="AH110" s="12">
        <f t="shared" si="13"/>
        <v>41.4</v>
      </c>
      <c r="AI110" s="12">
        <f t="shared" si="13"/>
        <v>19.3</v>
      </c>
      <c r="AJ110" s="12">
        <f t="shared" si="13"/>
        <v>61.8</v>
      </c>
      <c r="AK110" s="12"/>
      <c r="AL110" s="12">
        <f t="shared" si="21"/>
        <v>33.700000000000003</v>
      </c>
      <c r="AM110" s="12">
        <f t="shared" si="21"/>
        <v>30.9</v>
      </c>
      <c r="AN110" s="12">
        <f t="shared" si="21"/>
        <v>51.300000000000004</v>
      </c>
      <c r="AO110" s="12">
        <f t="shared" si="19"/>
        <v>74.5</v>
      </c>
      <c r="AP110" s="12">
        <f t="shared" si="19"/>
        <v>9.9</v>
      </c>
      <c r="AQ110" s="12">
        <f t="shared" si="19"/>
        <v>66.2</v>
      </c>
      <c r="AR110" s="12"/>
      <c r="AS110" s="12">
        <f t="shared" si="22"/>
        <v>20.399999999999999</v>
      </c>
      <c r="AT110" s="12">
        <f t="shared" si="22"/>
        <v>13.200000000000001</v>
      </c>
      <c r="AU110" s="12">
        <f t="shared" si="22"/>
        <v>67.900000000000006</v>
      </c>
      <c r="AV110" s="12">
        <f t="shared" si="20"/>
        <v>34.200000000000003</v>
      </c>
      <c r="AW110" s="12">
        <f t="shared" si="20"/>
        <v>0</v>
      </c>
      <c r="AX110" s="12">
        <f t="shared" si="20"/>
        <v>34.799999999999997</v>
      </c>
      <c r="AY110" s="12"/>
      <c r="AZ110" s="12">
        <f t="shared" si="14"/>
        <v>78.5</v>
      </c>
      <c r="BA110" s="12">
        <f t="shared" si="15"/>
        <v>33.799999999999997</v>
      </c>
      <c r="BB110" s="12"/>
      <c r="BC110" s="12">
        <f t="shared" si="16"/>
        <v>28.1</v>
      </c>
      <c r="BD110" s="12">
        <f t="shared" si="17"/>
        <v>72.3</v>
      </c>
      <c r="BE110" s="12">
        <f t="shared" si="18"/>
        <v>55.9</v>
      </c>
    </row>
    <row r="111" spans="1:57" ht="15.75" customHeight="1">
      <c r="A111" s="1" t="s">
        <v>243</v>
      </c>
      <c r="B111" s="3" t="s">
        <v>128</v>
      </c>
      <c r="C111" s="4" t="s">
        <v>8</v>
      </c>
      <c r="D111" s="4">
        <v>41</v>
      </c>
      <c r="E111" s="4">
        <v>532</v>
      </c>
      <c r="F111" s="4">
        <v>41</v>
      </c>
      <c r="G111" s="4">
        <v>532</v>
      </c>
      <c r="H111" s="4">
        <v>0.41299999999999998</v>
      </c>
      <c r="I111" s="4">
        <v>12.3</v>
      </c>
      <c r="J111" s="4"/>
      <c r="K111" s="4">
        <v>0.623</v>
      </c>
      <c r="L111" s="4">
        <v>0.28100000000000003</v>
      </c>
      <c r="M111" s="4">
        <v>0.25700000000000001</v>
      </c>
      <c r="N111" s="4">
        <v>7.8E-2</v>
      </c>
      <c r="O111" s="4">
        <v>6.0000000000000001E-3</v>
      </c>
      <c r="P111" s="4">
        <v>0.377</v>
      </c>
      <c r="Q111" s="4"/>
      <c r="R111" s="4">
        <v>0.48099999999999998</v>
      </c>
      <c r="S111" s="4">
        <v>0.59599999999999997</v>
      </c>
      <c r="T111" s="4">
        <v>0.372</v>
      </c>
      <c r="U111" s="4">
        <v>0.46200000000000002</v>
      </c>
      <c r="V111" s="4">
        <v>0</v>
      </c>
      <c r="W111" s="4">
        <v>0.30199999999999999</v>
      </c>
      <c r="X111" s="4"/>
      <c r="Y111" s="4">
        <v>0.54</v>
      </c>
      <c r="Z111" s="4">
        <v>1</v>
      </c>
      <c r="AA111" s="4"/>
      <c r="AB111" s="4">
        <v>0.17499999999999999</v>
      </c>
      <c r="AC111" s="4">
        <v>0.27300000000000002</v>
      </c>
      <c r="AD111" s="10">
        <f t="shared" si="12"/>
        <v>0.71341999999999994</v>
      </c>
      <c r="AE111" s="9"/>
      <c r="AF111" s="9"/>
      <c r="AG111" s="12">
        <f t="shared" si="13"/>
        <v>85.6</v>
      </c>
      <c r="AH111" s="12">
        <f t="shared" si="13"/>
        <v>40.799999999999997</v>
      </c>
      <c r="AI111" s="12">
        <f t="shared" si="13"/>
        <v>35.9</v>
      </c>
      <c r="AJ111" s="12">
        <f t="shared" si="13"/>
        <v>33.1</v>
      </c>
      <c r="AK111" s="12"/>
      <c r="AL111" s="12">
        <f t="shared" si="21"/>
        <v>56.3</v>
      </c>
      <c r="AM111" s="12">
        <f t="shared" si="21"/>
        <v>74.5</v>
      </c>
      <c r="AN111" s="12">
        <f t="shared" si="21"/>
        <v>51.9</v>
      </c>
      <c r="AO111" s="12">
        <f t="shared" si="19"/>
        <v>57.4</v>
      </c>
      <c r="AP111" s="12">
        <f t="shared" si="19"/>
        <v>7.7</v>
      </c>
      <c r="AQ111" s="12">
        <f t="shared" si="19"/>
        <v>43</v>
      </c>
      <c r="AR111" s="12"/>
      <c r="AS111" s="12">
        <f t="shared" si="22"/>
        <v>37</v>
      </c>
      <c r="AT111" s="12">
        <f t="shared" si="22"/>
        <v>24.8</v>
      </c>
      <c r="AU111" s="12">
        <f t="shared" si="22"/>
        <v>22.6</v>
      </c>
      <c r="AV111" s="12">
        <f t="shared" si="20"/>
        <v>74.5</v>
      </c>
      <c r="AW111" s="12">
        <f t="shared" si="20"/>
        <v>0</v>
      </c>
      <c r="AX111" s="12">
        <f t="shared" si="20"/>
        <v>37</v>
      </c>
      <c r="AY111" s="12"/>
      <c r="AZ111" s="12">
        <f t="shared" si="14"/>
        <v>62.5</v>
      </c>
      <c r="BA111" s="12">
        <f t="shared" si="15"/>
        <v>33.799999999999997</v>
      </c>
      <c r="BB111" s="12"/>
      <c r="BC111" s="12">
        <f t="shared" si="16"/>
        <v>44.1</v>
      </c>
      <c r="BD111" s="12">
        <f t="shared" si="17"/>
        <v>33.1</v>
      </c>
      <c r="BE111" s="12">
        <f t="shared" si="18"/>
        <v>54.199999999999996</v>
      </c>
    </row>
    <row r="112" spans="1:57" ht="15.75" customHeight="1">
      <c r="A112" s="1" t="s">
        <v>248</v>
      </c>
      <c r="B112" s="3" t="s">
        <v>84</v>
      </c>
      <c r="C112" s="4" t="s">
        <v>85</v>
      </c>
      <c r="D112" s="4">
        <v>18</v>
      </c>
      <c r="E112" s="4">
        <v>531</v>
      </c>
      <c r="F112" s="4">
        <v>18</v>
      </c>
      <c r="G112" s="4">
        <v>531</v>
      </c>
      <c r="H112" s="4">
        <v>0.44600000000000001</v>
      </c>
      <c r="I112" s="4">
        <v>16.2</v>
      </c>
      <c r="J112" s="4"/>
      <c r="K112" s="4">
        <v>0.41499999999999998</v>
      </c>
      <c r="L112" s="4">
        <v>0.14599999999999999</v>
      </c>
      <c r="M112" s="4">
        <v>0.23100000000000001</v>
      </c>
      <c r="N112" s="4">
        <v>2.3E-2</v>
      </c>
      <c r="O112" s="4">
        <v>1.4999999999999999E-2</v>
      </c>
      <c r="P112" s="4">
        <v>0.58499999999999996</v>
      </c>
      <c r="Q112" s="4"/>
      <c r="R112" s="4">
        <v>0.46300000000000002</v>
      </c>
      <c r="S112" s="4">
        <v>0.57899999999999996</v>
      </c>
      <c r="T112" s="4">
        <v>0.433</v>
      </c>
      <c r="U112" s="4">
        <v>0</v>
      </c>
      <c r="V112" s="4">
        <v>0.5</v>
      </c>
      <c r="W112" s="4">
        <v>0.434</v>
      </c>
      <c r="X112" s="4"/>
      <c r="Y112" s="4">
        <v>0.68</v>
      </c>
      <c r="Z112" s="4">
        <v>1</v>
      </c>
      <c r="AA112" s="4"/>
      <c r="AB112" s="4">
        <v>0.47399999999999998</v>
      </c>
      <c r="AC112" s="4">
        <v>0.5</v>
      </c>
      <c r="AD112" s="10">
        <f t="shared" si="12"/>
        <v>0.86719999999999997</v>
      </c>
      <c r="AE112" s="9"/>
      <c r="AF112" s="9"/>
      <c r="AG112" s="12">
        <f t="shared" si="13"/>
        <v>12.7</v>
      </c>
      <c r="AH112" s="12">
        <f t="shared" si="13"/>
        <v>40.300000000000004</v>
      </c>
      <c r="AI112" s="12">
        <f t="shared" si="13"/>
        <v>55.2</v>
      </c>
      <c r="AJ112" s="12">
        <f t="shared" si="13"/>
        <v>70.099999999999994</v>
      </c>
      <c r="AK112" s="12"/>
      <c r="AL112" s="12">
        <f t="shared" si="21"/>
        <v>16.5</v>
      </c>
      <c r="AM112" s="12">
        <f t="shared" si="21"/>
        <v>34.200000000000003</v>
      </c>
      <c r="AN112" s="12">
        <f t="shared" si="21"/>
        <v>44.7</v>
      </c>
      <c r="AO112" s="12">
        <f t="shared" si="19"/>
        <v>15.4</v>
      </c>
      <c r="AP112" s="12">
        <f t="shared" si="19"/>
        <v>18.2</v>
      </c>
      <c r="AQ112" s="12">
        <f t="shared" si="19"/>
        <v>83.399999999999991</v>
      </c>
      <c r="AR112" s="12"/>
      <c r="AS112" s="12">
        <f t="shared" si="22"/>
        <v>24.8</v>
      </c>
      <c r="AT112" s="12">
        <f t="shared" si="22"/>
        <v>19.3</v>
      </c>
      <c r="AU112" s="12">
        <f t="shared" si="22"/>
        <v>46.400000000000006</v>
      </c>
      <c r="AV112" s="12">
        <f t="shared" si="20"/>
        <v>0</v>
      </c>
      <c r="AW112" s="12">
        <f t="shared" si="20"/>
        <v>80.100000000000009</v>
      </c>
      <c r="AX112" s="12">
        <f t="shared" si="20"/>
        <v>94.399999999999991</v>
      </c>
      <c r="AY112" s="12"/>
      <c r="AZ112" s="12">
        <f t="shared" si="14"/>
        <v>37.6</v>
      </c>
      <c r="BA112" s="12">
        <f t="shared" si="15"/>
        <v>33.799999999999997</v>
      </c>
      <c r="BB112" s="12"/>
      <c r="BC112" s="12">
        <f t="shared" si="16"/>
        <v>95.5</v>
      </c>
      <c r="BD112" s="12">
        <f t="shared" si="17"/>
        <v>79</v>
      </c>
      <c r="BE112" s="12">
        <f t="shared" si="18"/>
        <v>16.100000000000009</v>
      </c>
    </row>
    <row r="113" spans="1:57" ht="15.75" customHeight="1">
      <c r="A113" s="1" t="s">
        <v>262</v>
      </c>
      <c r="B113" s="3" t="s">
        <v>131</v>
      </c>
      <c r="C113" s="4" t="s">
        <v>8</v>
      </c>
      <c r="D113" s="4">
        <v>24</v>
      </c>
      <c r="E113" s="4">
        <v>528</v>
      </c>
      <c r="F113" s="4">
        <v>24</v>
      </c>
      <c r="G113" s="4">
        <v>528</v>
      </c>
      <c r="H113" s="4">
        <v>0.442</v>
      </c>
      <c r="I113" s="4">
        <v>13.6</v>
      </c>
      <c r="J113" s="4"/>
      <c r="K113" s="4">
        <v>0.66900000000000004</v>
      </c>
      <c r="L113" s="4">
        <v>0.27300000000000002</v>
      </c>
      <c r="M113" s="4">
        <v>0.157</v>
      </c>
      <c r="N113" s="4">
        <v>0.16300000000000001</v>
      </c>
      <c r="O113" s="4">
        <v>7.5999999999999998E-2</v>
      </c>
      <c r="P113" s="4">
        <v>0.33100000000000002</v>
      </c>
      <c r="Q113" s="4"/>
      <c r="R113" s="4">
        <v>0.47</v>
      </c>
      <c r="S113" s="4">
        <v>0.57399999999999995</v>
      </c>
      <c r="T113" s="4">
        <v>0.33300000000000002</v>
      </c>
      <c r="U113" s="4">
        <v>0.5</v>
      </c>
      <c r="V113" s="4">
        <v>0.308</v>
      </c>
      <c r="W113" s="4">
        <v>0.38600000000000001</v>
      </c>
      <c r="X113" s="4"/>
      <c r="Y113" s="4">
        <v>0.44400000000000001</v>
      </c>
      <c r="Z113" s="4">
        <v>0.77300000000000002</v>
      </c>
      <c r="AA113" s="4"/>
      <c r="AB113" s="4">
        <v>0.17499999999999999</v>
      </c>
      <c r="AC113" s="4">
        <v>0.2</v>
      </c>
      <c r="AD113" s="10">
        <f t="shared" si="12"/>
        <v>0.55289900000000003</v>
      </c>
      <c r="AE113" s="9"/>
      <c r="AF113" s="9"/>
      <c r="AG113" s="12">
        <f t="shared" si="13"/>
        <v>19.8</v>
      </c>
      <c r="AH113" s="12">
        <f t="shared" si="13"/>
        <v>39.700000000000003</v>
      </c>
      <c r="AI113" s="12">
        <f t="shared" si="13"/>
        <v>52.400000000000006</v>
      </c>
      <c r="AJ113" s="12">
        <f t="shared" si="13"/>
        <v>46.9</v>
      </c>
      <c r="AK113" s="12"/>
      <c r="AL113" s="12">
        <f t="shared" si="21"/>
        <v>66.2</v>
      </c>
      <c r="AM113" s="12">
        <f t="shared" si="21"/>
        <v>72.3</v>
      </c>
      <c r="AN113" s="12">
        <f t="shared" si="21"/>
        <v>19.8</v>
      </c>
      <c r="AO113" s="12">
        <f t="shared" si="19"/>
        <v>90.600000000000009</v>
      </c>
      <c r="AP113" s="12">
        <f t="shared" si="19"/>
        <v>80.600000000000009</v>
      </c>
      <c r="AQ113" s="12">
        <f t="shared" si="19"/>
        <v>33.700000000000003</v>
      </c>
      <c r="AR113" s="12"/>
      <c r="AS113" s="12">
        <f t="shared" si="22"/>
        <v>28.1</v>
      </c>
      <c r="AT113" s="12">
        <f t="shared" si="22"/>
        <v>18.2</v>
      </c>
      <c r="AU113" s="12">
        <f t="shared" si="22"/>
        <v>12.7</v>
      </c>
      <c r="AV113" s="12">
        <f t="shared" si="20"/>
        <v>81.2</v>
      </c>
      <c r="AW113" s="12">
        <f t="shared" si="20"/>
        <v>44.7</v>
      </c>
      <c r="AX113" s="12">
        <f t="shared" si="20"/>
        <v>77.3</v>
      </c>
      <c r="AY113" s="12"/>
      <c r="AZ113" s="12">
        <f t="shared" si="14"/>
        <v>76.3</v>
      </c>
      <c r="BA113" s="12">
        <f t="shared" si="15"/>
        <v>78.5</v>
      </c>
      <c r="BB113" s="12"/>
      <c r="BC113" s="12">
        <f t="shared" si="16"/>
        <v>44.1</v>
      </c>
      <c r="BD113" s="12">
        <f t="shared" si="17"/>
        <v>17.599999999999998</v>
      </c>
      <c r="BE113" s="12">
        <f t="shared" si="18"/>
        <v>81.8</v>
      </c>
    </row>
    <row r="114" spans="1:57" ht="15.75" customHeight="1">
      <c r="A114" s="1" t="s">
        <v>136</v>
      </c>
      <c r="B114" s="3" t="s">
        <v>240</v>
      </c>
      <c r="C114" s="4" t="s">
        <v>8</v>
      </c>
      <c r="D114" s="4">
        <v>17</v>
      </c>
      <c r="E114" s="4">
        <v>519</v>
      </c>
      <c r="F114" s="4">
        <v>17</v>
      </c>
      <c r="G114" s="4">
        <v>519</v>
      </c>
      <c r="H114" s="4">
        <v>0.51900000000000002</v>
      </c>
      <c r="I114" s="4">
        <v>14.7</v>
      </c>
      <c r="J114" s="4"/>
      <c r="K114" s="4">
        <v>0.56399999999999995</v>
      </c>
      <c r="L114" s="4">
        <v>0.16500000000000001</v>
      </c>
      <c r="M114" s="4">
        <v>0.26700000000000002</v>
      </c>
      <c r="N114" s="4">
        <v>9.0999999999999998E-2</v>
      </c>
      <c r="O114" s="4">
        <v>4.1000000000000002E-2</v>
      </c>
      <c r="P114" s="4">
        <v>0.436</v>
      </c>
      <c r="Q114" s="4"/>
      <c r="R114" s="4">
        <v>0.628</v>
      </c>
      <c r="S114" s="4">
        <v>0.82499999999999996</v>
      </c>
      <c r="T114" s="4">
        <v>0.49199999999999999</v>
      </c>
      <c r="U114" s="4">
        <v>0.63600000000000001</v>
      </c>
      <c r="V114" s="4">
        <v>0.7</v>
      </c>
      <c r="W114" s="4">
        <v>0.377</v>
      </c>
      <c r="X114" s="4"/>
      <c r="Y114" s="4">
        <v>0.38400000000000001</v>
      </c>
      <c r="Z114" s="4">
        <v>0.45</v>
      </c>
      <c r="AA114" s="4"/>
      <c r="AB114" s="4">
        <v>8.5000000000000006E-2</v>
      </c>
      <c r="AC114" s="4">
        <v>0.44400000000000001</v>
      </c>
      <c r="AD114" s="10">
        <f t="shared" si="12"/>
        <v>0.41277600000000003</v>
      </c>
      <c r="AE114" s="9"/>
      <c r="AF114" s="9"/>
      <c r="AG114" s="12">
        <f t="shared" si="13"/>
        <v>10.4</v>
      </c>
      <c r="AH114" s="12">
        <f t="shared" si="13"/>
        <v>39.200000000000003</v>
      </c>
      <c r="AI114" s="12">
        <f t="shared" si="13"/>
        <v>85</v>
      </c>
      <c r="AJ114" s="12">
        <f t="shared" si="13"/>
        <v>55.800000000000004</v>
      </c>
      <c r="AK114" s="12"/>
      <c r="AL114" s="12">
        <f t="shared" si="21"/>
        <v>41.9</v>
      </c>
      <c r="AM114" s="12">
        <f t="shared" si="21"/>
        <v>40.300000000000004</v>
      </c>
      <c r="AN114" s="12">
        <f t="shared" si="21"/>
        <v>54.6</v>
      </c>
      <c r="AO114" s="12">
        <f t="shared" si="19"/>
        <v>65.100000000000009</v>
      </c>
      <c r="AP114" s="12">
        <f t="shared" si="19"/>
        <v>53</v>
      </c>
      <c r="AQ114" s="12">
        <f t="shared" si="19"/>
        <v>57.4</v>
      </c>
      <c r="AR114" s="12"/>
      <c r="AS114" s="12">
        <f t="shared" si="22"/>
        <v>95.5</v>
      </c>
      <c r="AT114" s="12">
        <f t="shared" si="22"/>
        <v>93.300000000000011</v>
      </c>
      <c r="AU114" s="12">
        <f t="shared" si="22"/>
        <v>71.8</v>
      </c>
      <c r="AV114" s="12">
        <f t="shared" si="20"/>
        <v>94.399999999999991</v>
      </c>
      <c r="AW114" s="12">
        <f t="shared" si="20"/>
        <v>97.7</v>
      </c>
      <c r="AX114" s="12">
        <f t="shared" si="20"/>
        <v>72.3</v>
      </c>
      <c r="AY114" s="12"/>
      <c r="AZ114" s="12">
        <f t="shared" si="14"/>
        <v>83.5</v>
      </c>
      <c r="BA114" s="12">
        <f t="shared" si="15"/>
        <v>94.5</v>
      </c>
      <c r="BB114" s="12"/>
      <c r="BC114" s="12">
        <f t="shared" si="16"/>
        <v>12.1</v>
      </c>
      <c r="BD114" s="12">
        <f t="shared" si="17"/>
        <v>72.3</v>
      </c>
      <c r="BE114" s="12">
        <f t="shared" si="18"/>
        <v>94</v>
      </c>
    </row>
    <row r="115" spans="1:57" ht="15.75" customHeight="1">
      <c r="A115" s="1" t="s">
        <v>221</v>
      </c>
      <c r="B115" s="3" t="s">
        <v>157</v>
      </c>
      <c r="C115" s="4" t="s">
        <v>8</v>
      </c>
      <c r="D115" s="4">
        <v>36</v>
      </c>
      <c r="E115" s="4">
        <v>502</v>
      </c>
      <c r="F115" s="4">
        <v>36</v>
      </c>
      <c r="G115" s="4">
        <v>502</v>
      </c>
      <c r="H115" s="4">
        <v>0.434</v>
      </c>
      <c r="I115" s="4">
        <v>18.3</v>
      </c>
      <c r="J115" s="4"/>
      <c r="K115" s="4">
        <v>0.45900000000000002</v>
      </c>
      <c r="L115" s="4">
        <v>0.123</v>
      </c>
      <c r="M115" s="4">
        <v>0.156</v>
      </c>
      <c r="N115" s="4">
        <v>0.09</v>
      </c>
      <c r="O115" s="4">
        <v>0.09</v>
      </c>
      <c r="P115" s="4">
        <v>0.54100000000000004</v>
      </c>
      <c r="Q115" s="4"/>
      <c r="R115" s="4">
        <v>0.51800000000000002</v>
      </c>
      <c r="S115" s="4">
        <v>0.6</v>
      </c>
      <c r="T115" s="4">
        <v>0.52600000000000002</v>
      </c>
      <c r="U115" s="4">
        <v>0.63600000000000001</v>
      </c>
      <c r="V115" s="4">
        <v>0.27300000000000002</v>
      </c>
      <c r="W115" s="4">
        <v>0.36399999999999999</v>
      </c>
      <c r="X115" s="4"/>
      <c r="Y115" s="4">
        <v>0.34499999999999997</v>
      </c>
      <c r="Z115" s="4">
        <v>0.75</v>
      </c>
      <c r="AA115" s="4"/>
      <c r="AB115" s="4">
        <v>0.152</v>
      </c>
      <c r="AC115" s="4">
        <v>0.1</v>
      </c>
      <c r="AD115" s="10">
        <f t="shared" si="12"/>
        <v>0.56410500000000008</v>
      </c>
      <c r="AE115" s="9"/>
      <c r="AF115" s="9"/>
      <c r="AG115" s="12">
        <f t="shared" si="13"/>
        <v>47.5</v>
      </c>
      <c r="AH115" s="12">
        <f t="shared" si="13"/>
        <v>38.6</v>
      </c>
      <c r="AI115" s="12">
        <f t="shared" si="13"/>
        <v>46.400000000000006</v>
      </c>
      <c r="AJ115" s="12">
        <f t="shared" si="13"/>
        <v>86.7</v>
      </c>
      <c r="AK115" s="12"/>
      <c r="AL115" s="12">
        <f t="shared" si="21"/>
        <v>21.5</v>
      </c>
      <c r="AM115" s="12">
        <f t="shared" si="21"/>
        <v>24.3</v>
      </c>
      <c r="AN115" s="12">
        <f t="shared" si="21"/>
        <v>18.7</v>
      </c>
      <c r="AO115" s="12">
        <f t="shared" si="19"/>
        <v>64.600000000000009</v>
      </c>
      <c r="AP115" s="12">
        <f t="shared" si="19"/>
        <v>85.6</v>
      </c>
      <c r="AQ115" s="12">
        <f t="shared" si="19"/>
        <v>78.400000000000006</v>
      </c>
      <c r="AR115" s="12"/>
      <c r="AS115" s="12">
        <f t="shared" si="22"/>
        <v>53</v>
      </c>
      <c r="AT115" s="12">
        <f t="shared" si="22"/>
        <v>25.4</v>
      </c>
      <c r="AU115" s="12">
        <f t="shared" si="22"/>
        <v>83.399999999999991</v>
      </c>
      <c r="AV115" s="12">
        <f t="shared" si="20"/>
        <v>94.399999999999991</v>
      </c>
      <c r="AW115" s="12">
        <f t="shared" si="20"/>
        <v>39.700000000000003</v>
      </c>
      <c r="AX115" s="12">
        <f t="shared" si="20"/>
        <v>66.2</v>
      </c>
      <c r="AY115" s="12"/>
      <c r="AZ115" s="12">
        <f t="shared" si="14"/>
        <v>87.9</v>
      </c>
      <c r="BA115" s="12">
        <f t="shared" si="15"/>
        <v>81.8</v>
      </c>
      <c r="BB115" s="12"/>
      <c r="BC115" s="12">
        <f t="shared" si="16"/>
        <v>31.4</v>
      </c>
      <c r="BD115" s="12">
        <f t="shared" si="17"/>
        <v>12.1</v>
      </c>
      <c r="BE115" s="12">
        <f t="shared" si="18"/>
        <v>80.7</v>
      </c>
    </row>
    <row r="116" spans="1:57" ht="15.75" customHeight="1">
      <c r="A116" s="1" t="s">
        <v>160</v>
      </c>
      <c r="B116" s="4" t="s">
        <v>161</v>
      </c>
      <c r="C116" s="4" t="s">
        <v>8</v>
      </c>
      <c r="D116" s="4">
        <v>17</v>
      </c>
      <c r="E116" s="4">
        <v>500</v>
      </c>
      <c r="F116" s="4">
        <v>17</v>
      </c>
      <c r="G116" s="4">
        <v>500</v>
      </c>
      <c r="H116" s="4">
        <v>0.41799999999999998</v>
      </c>
      <c r="I116" s="4">
        <v>11.9</v>
      </c>
      <c r="J116" s="4"/>
      <c r="K116" s="4">
        <v>0.746</v>
      </c>
      <c r="L116" s="4">
        <v>0.26600000000000001</v>
      </c>
      <c r="M116" s="4">
        <v>0.23400000000000001</v>
      </c>
      <c r="N116" s="4">
        <v>0.123</v>
      </c>
      <c r="O116" s="4">
        <v>0.123</v>
      </c>
      <c r="P116" s="4">
        <v>0.254</v>
      </c>
      <c r="Q116" s="4"/>
      <c r="R116" s="4">
        <v>0.47299999999999998</v>
      </c>
      <c r="S116" s="4">
        <v>0.66200000000000003</v>
      </c>
      <c r="T116" s="4">
        <v>0.38600000000000001</v>
      </c>
      <c r="U116" s="4">
        <v>0.26700000000000002</v>
      </c>
      <c r="V116" s="4">
        <v>0.433</v>
      </c>
      <c r="W116" s="4">
        <v>0.25800000000000001</v>
      </c>
      <c r="X116" s="4"/>
      <c r="Y116" s="4">
        <v>0.314</v>
      </c>
      <c r="Z116" s="4">
        <v>0.68799999999999994</v>
      </c>
      <c r="AA116" s="4"/>
      <c r="AB116" s="4">
        <v>0.129</v>
      </c>
      <c r="AC116" s="4">
        <v>0.25</v>
      </c>
      <c r="AD116" s="10">
        <f t="shared" si="12"/>
        <v>0.40899600000000003</v>
      </c>
      <c r="AE116" s="9"/>
      <c r="AF116" s="9"/>
      <c r="AG116" s="12">
        <f t="shared" si="13"/>
        <v>10.4</v>
      </c>
      <c r="AH116" s="12">
        <f t="shared" si="13"/>
        <v>38.1</v>
      </c>
      <c r="AI116" s="12">
        <f t="shared" si="13"/>
        <v>38.6</v>
      </c>
      <c r="AJ116" s="12">
        <f t="shared" si="13"/>
        <v>30.3</v>
      </c>
      <c r="AK116" s="12"/>
      <c r="AL116" s="12">
        <f t="shared" si="21"/>
        <v>76.7</v>
      </c>
      <c r="AM116" s="12">
        <f t="shared" si="21"/>
        <v>70.7</v>
      </c>
      <c r="AN116" s="12">
        <f t="shared" si="21"/>
        <v>45.300000000000004</v>
      </c>
      <c r="AO116" s="12">
        <f t="shared" si="19"/>
        <v>81.2</v>
      </c>
      <c r="AP116" s="12">
        <f t="shared" si="19"/>
        <v>92.800000000000011</v>
      </c>
      <c r="AQ116" s="12">
        <f t="shared" si="19"/>
        <v>23.200000000000003</v>
      </c>
      <c r="AR116" s="12"/>
      <c r="AS116" s="12">
        <f t="shared" si="22"/>
        <v>29.2</v>
      </c>
      <c r="AT116" s="12">
        <f t="shared" si="22"/>
        <v>46.400000000000006</v>
      </c>
      <c r="AU116" s="12">
        <f t="shared" si="22"/>
        <v>26.5</v>
      </c>
      <c r="AV116" s="12">
        <f t="shared" si="20"/>
        <v>29.799999999999997</v>
      </c>
      <c r="AW116" s="12">
        <f t="shared" si="20"/>
        <v>75.099999999999994</v>
      </c>
      <c r="AX116" s="12">
        <f t="shared" si="20"/>
        <v>20.9</v>
      </c>
      <c r="AY116" s="12"/>
      <c r="AZ116" s="12">
        <f t="shared" si="14"/>
        <v>89</v>
      </c>
      <c r="BA116" s="12">
        <f t="shared" si="15"/>
        <v>86.8</v>
      </c>
      <c r="BB116" s="12"/>
      <c r="BC116" s="12">
        <f t="shared" si="16"/>
        <v>23.200000000000003</v>
      </c>
      <c r="BD116" s="12">
        <f t="shared" si="17"/>
        <v>23.200000000000003</v>
      </c>
      <c r="BE116" s="12">
        <f t="shared" si="18"/>
        <v>94.5</v>
      </c>
    </row>
    <row r="117" spans="1:57" ht="15.75" customHeight="1">
      <c r="A117" s="1" t="s">
        <v>187</v>
      </c>
      <c r="B117" s="3" t="s">
        <v>117</v>
      </c>
      <c r="C117" s="4" t="s">
        <v>119</v>
      </c>
      <c r="D117" s="4">
        <v>38</v>
      </c>
      <c r="E117" s="4">
        <v>498</v>
      </c>
      <c r="F117" s="4">
        <v>38</v>
      </c>
      <c r="G117" s="4">
        <v>498</v>
      </c>
      <c r="H117" s="4">
        <v>0.57699999999999996</v>
      </c>
      <c r="I117" s="4">
        <v>3.9</v>
      </c>
      <c r="J117" s="4"/>
      <c r="K117" s="4">
        <v>1</v>
      </c>
      <c r="L117" s="4">
        <v>0.48099999999999998</v>
      </c>
      <c r="M117" s="4">
        <v>0.442</v>
      </c>
      <c r="N117" s="4">
        <v>3.7999999999999999E-2</v>
      </c>
      <c r="O117" s="4">
        <v>3.7999999999999999E-2</v>
      </c>
      <c r="P117" s="4">
        <v>0</v>
      </c>
      <c r="Q117" s="4"/>
      <c r="R117" s="4">
        <v>0.57699999999999996</v>
      </c>
      <c r="S117" s="4">
        <v>0.72</v>
      </c>
      <c r="T117" s="4">
        <v>0.52200000000000002</v>
      </c>
      <c r="U117" s="4">
        <v>0</v>
      </c>
      <c r="V117" s="4">
        <v>0</v>
      </c>
      <c r="W117" s="4">
        <v>0</v>
      </c>
      <c r="X117" s="4"/>
      <c r="Y117" s="4">
        <v>0.96699999999999997</v>
      </c>
      <c r="Z117" s="4">
        <v>0</v>
      </c>
      <c r="AA117" s="4"/>
      <c r="AB117" s="4">
        <v>0</v>
      </c>
      <c r="AC117" s="4">
        <v>0</v>
      </c>
      <c r="AD117" s="10">
        <f t="shared" si="12"/>
        <v>0.96699999999999997</v>
      </c>
      <c r="AE117" s="9"/>
      <c r="AF117" s="9"/>
      <c r="AG117" s="12">
        <f t="shared" si="13"/>
        <v>59.599999999999994</v>
      </c>
      <c r="AH117" s="12">
        <f t="shared" si="13"/>
        <v>37.5</v>
      </c>
      <c r="AI117" s="12">
        <f t="shared" si="13"/>
        <v>96.1</v>
      </c>
      <c r="AJ117" s="12">
        <f t="shared" si="13"/>
        <v>1.0999999999999999</v>
      </c>
      <c r="AK117" s="12"/>
      <c r="AL117" s="12">
        <f t="shared" si="21"/>
        <v>97.7</v>
      </c>
      <c r="AM117" s="12">
        <f t="shared" si="21"/>
        <v>94.399999999999991</v>
      </c>
      <c r="AN117" s="12">
        <f t="shared" si="21"/>
        <v>94.399999999999991</v>
      </c>
      <c r="AO117" s="12">
        <f t="shared" si="19"/>
        <v>27.6</v>
      </c>
      <c r="AP117" s="12">
        <f t="shared" si="19"/>
        <v>48.6</v>
      </c>
      <c r="AQ117" s="12">
        <f t="shared" si="19"/>
        <v>0</v>
      </c>
      <c r="AR117" s="12"/>
      <c r="AS117" s="12">
        <f t="shared" si="22"/>
        <v>84.5</v>
      </c>
      <c r="AT117" s="12">
        <f t="shared" si="22"/>
        <v>67.400000000000006</v>
      </c>
      <c r="AU117" s="12">
        <f t="shared" si="22"/>
        <v>80.600000000000009</v>
      </c>
      <c r="AV117" s="12">
        <f t="shared" si="20"/>
        <v>0</v>
      </c>
      <c r="AW117" s="12">
        <f t="shared" si="20"/>
        <v>0</v>
      </c>
      <c r="AX117" s="12">
        <f t="shared" si="20"/>
        <v>0</v>
      </c>
      <c r="AY117" s="12"/>
      <c r="AZ117" s="12">
        <f t="shared" si="14"/>
        <v>0.59999999999999432</v>
      </c>
      <c r="BA117" s="12">
        <f t="shared" si="15"/>
        <v>100</v>
      </c>
      <c r="BB117" s="12"/>
      <c r="BC117" s="12">
        <f t="shared" si="16"/>
        <v>0</v>
      </c>
      <c r="BD117" s="12">
        <f t="shared" si="17"/>
        <v>0</v>
      </c>
      <c r="BE117" s="12">
        <f t="shared" si="18"/>
        <v>0.59999999999999432</v>
      </c>
    </row>
    <row r="118" spans="1:57" ht="15.75" customHeight="1">
      <c r="A118" s="1" t="s">
        <v>213</v>
      </c>
      <c r="B118" s="3" t="s">
        <v>131</v>
      </c>
      <c r="C118" s="4" t="s">
        <v>8</v>
      </c>
      <c r="D118" s="4">
        <v>37</v>
      </c>
      <c r="E118" s="4">
        <v>496</v>
      </c>
      <c r="F118" s="4">
        <v>37</v>
      </c>
      <c r="G118" s="4">
        <v>496</v>
      </c>
      <c r="H118" s="4">
        <v>0.35699999999999998</v>
      </c>
      <c r="I118" s="4">
        <v>21.6</v>
      </c>
      <c r="J118" s="4"/>
      <c r="K118" s="4">
        <v>0.26900000000000002</v>
      </c>
      <c r="L118" s="4">
        <v>5.8000000000000003E-2</v>
      </c>
      <c r="M118" s="4">
        <v>4.1000000000000002E-2</v>
      </c>
      <c r="N118" s="4">
        <v>7.0000000000000007E-2</v>
      </c>
      <c r="O118" s="4">
        <v>9.9000000000000005E-2</v>
      </c>
      <c r="P118" s="4">
        <v>0.73099999999999998</v>
      </c>
      <c r="Q118" s="4"/>
      <c r="R118" s="4">
        <v>0.435</v>
      </c>
      <c r="S118" s="4">
        <v>0.5</v>
      </c>
      <c r="T118" s="4">
        <v>0.28599999999999998</v>
      </c>
      <c r="U118" s="4">
        <v>0.41699999999999998</v>
      </c>
      <c r="V118" s="4">
        <v>0.47099999999999997</v>
      </c>
      <c r="W118" s="4">
        <v>0.32800000000000001</v>
      </c>
      <c r="X118" s="4"/>
      <c r="Y118" s="4">
        <v>0.65</v>
      </c>
      <c r="Z118" s="4">
        <v>0.85399999999999998</v>
      </c>
      <c r="AA118" s="4"/>
      <c r="AB118" s="4">
        <v>0.192</v>
      </c>
      <c r="AC118" s="4">
        <v>0.29199999999999998</v>
      </c>
      <c r="AD118" s="10">
        <f t="shared" si="12"/>
        <v>0.79912399999999995</v>
      </c>
      <c r="AE118" s="9"/>
      <c r="AF118" s="9"/>
      <c r="AG118" s="12">
        <f t="shared" si="13"/>
        <v>51.300000000000004</v>
      </c>
      <c r="AH118" s="12">
        <f t="shared" si="13"/>
        <v>37</v>
      </c>
      <c r="AI118" s="12">
        <f t="shared" si="13"/>
        <v>10.4</v>
      </c>
      <c r="AJ118" s="12">
        <f t="shared" si="13"/>
        <v>98.8</v>
      </c>
      <c r="AK118" s="12"/>
      <c r="AL118" s="12">
        <f t="shared" si="21"/>
        <v>3.3000000000000003</v>
      </c>
      <c r="AM118" s="12">
        <f t="shared" si="21"/>
        <v>7.1</v>
      </c>
      <c r="AN118" s="12">
        <f t="shared" si="21"/>
        <v>0</v>
      </c>
      <c r="AO118" s="12">
        <f t="shared" si="19"/>
        <v>52.400000000000006</v>
      </c>
      <c r="AP118" s="12">
        <f t="shared" si="19"/>
        <v>87.8</v>
      </c>
      <c r="AQ118" s="12">
        <f t="shared" si="19"/>
        <v>96.6</v>
      </c>
      <c r="AR118" s="12"/>
      <c r="AS118" s="12">
        <f t="shared" si="22"/>
        <v>16</v>
      </c>
      <c r="AT118" s="12">
        <f t="shared" si="22"/>
        <v>8.2000000000000011</v>
      </c>
      <c r="AU118" s="12">
        <f t="shared" si="22"/>
        <v>6.6000000000000005</v>
      </c>
      <c r="AV118" s="12">
        <f t="shared" si="20"/>
        <v>65.7</v>
      </c>
      <c r="AW118" s="12">
        <f t="shared" si="20"/>
        <v>79</v>
      </c>
      <c r="AX118" s="12">
        <f t="shared" si="20"/>
        <v>48</v>
      </c>
      <c r="AY118" s="12"/>
      <c r="AZ118" s="12">
        <f t="shared" si="14"/>
        <v>44.8</v>
      </c>
      <c r="BA118" s="12">
        <f t="shared" si="15"/>
        <v>69.7</v>
      </c>
      <c r="BB118" s="12"/>
      <c r="BC118" s="12">
        <f t="shared" si="16"/>
        <v>54.1</v>
      </c>
      <c r="BD118" s="12">
        <f t="shared" si="17"/>
        <v>37.5</v>
      </c>
      <c r="BE118" s="12">
        <f t="shared" si="18"/>
        <v>33.799999999999997</v>
      </c>
    </row>
    <row r="119" spans="1:57" ht="15.75" customHeight="1">
      <c r="A119" s="1" t="s">
        <v>249</v>
      </c>
      <c r="B119" s="3" t="s">
        <v>114</v>
      </c>
      <c r="C119" s="4" t="s">
        <v>8</v>
      </c>
      <c r="D119" s="4">
        <v>32</v>
      </c>
      <c r="E119" s="4">
        <v>491</v>
      </c>
      <c r="F119" s="4">
        <v>32</v>
      </c>
      <c r="G119" s="4">
        <v>491</v>
      </c>
      <c r="H119" s="4">
        <v>0.40500000000000003</v>
      </c>
      <c r="I119" s="4">
        <v>19.2</v>
      </c>
      <c r="J119" s="4"/>
      <c r="K119" s="4">
        <v>0.30199999999999999</v>
      </c>
      <c r="L119" s="4">
        <v>9.5000000000000001E-2</v>
      </c>
      <c r="M119" s="4">
        <v>0.121</v>
      </c>
      <c r="N119" s="4">
        <v>3.4000000000000002E-2</v>
      </c>
      <c r="O119" s="4">
        <v>5.1999999999999998E-2</v>
      </c>
      <c r="P119" s="4">
        <v>0.69799999999999995</v>
      </c>
      <c r="Q119" s="4"/>
      <c r="R119" s="4">
        <v>0.6</v>
      </c>
      <c r="S119" s="4">
        <v>0.63600000000000001</v>
      </c>
      <c r="T119" s="4">
        <v>0.71399999999999997</v>
      </c>
      <c r="U119" s="4">
        <v>0.25</v>
      </c>
      <c r="V119" s="4">
        <v>0.5</v>
      </c>
      <c r="W119" s="4">
        <v>0.32100000000000001</v>
      </c>
      <c r="X119" s="4"/>
      <c r="Y119" s="4">
        <v>0.81</v>
      </c>
      <c r="Z119" s="4">
        <v>0.96199999999999997</v>
      </c>
      <c r="AA119" s="4"/>
      <c r="AB119" s="4">
        <v>0.28399999999999997</v>
      </c>
      <c r="AC119" s="4">
        <v>0.39100000000000001</v>
      </c>
      <c r="AD119" s="10">
        <f t="shared" si="12"/>
        <v>0.91609600000000002</v>
      </c>
      <c r="AE119" s="9"/>
      <c r="AF119" s="9"/>
      <c r="AG119" s="12">
        <f t="shared" si="13"/>
        <v>35.299999999999997</v>
      </c>
      <c r="AH119" s="12">
        <f t="shared" si="13"/>
        <v>36.4</v>
      </c>
      <c r="AI119" s="12">
        <f t="shared" si="13"/>
        <v>32.5</v>
      </c>
      <c r="AJ119" s="12">
        <f t="shared" si="13"/>
        <v>91.7</v>
      </c>
      <c r="AK119" s="12"/>
      <c r="AL119" s="12">
        <f t="shared" si="21"/>
        <v>6.6000000000000005</v>
      </c>
      <c r="AM119" s="12">
        <f t="shared" si="21"/>
        <v>13.200000000000001</v>
      </c>
      <c r="AN119" s="12">
        <f t="shared" si="21"/>
        <v>8.7999999999999989</v>
      </c>
      <c r="AO119" s="12">
        <f t="shared" si="19"/>
        <v>23.200000000000003</v>
      </c>
      <c r="AP119" s="12">
        <f t="shared" si="19"/>
        <v>62.9</v>
      </c>
      <c r="AQ119" s="12">
        <f t="shared" si="19"/>
        <v>93.300000000000011</v>
      </c>
      <c r="AR119" s="12"/>
      <c r="AS119" s="12">
        <f t="shared" si="22"/>
        <v>91.7</v>
      </c>
      <c r="AT119" s="12">
        <f t="shared" si="22"/>
        <v>35.299999999999997</v>
      </c>
      <c r="AU119" s="12">
        <f t="shared" si="22"/>
        <v>98.8</v>
      </c>
      <c r="AV119" s="12">
        <f t="shared" si="20"/>
        <v>27.6</v>
      </c>
      <c r="AW119" s="12">
        <f t="shared" si="20"/>
        <v>80.100000000000009</v>
      </c>
      <c r="AX119" s="12">
        <f t="shared" si="20"/>
        <v>45.800000000000004</v>
      </c>
      <c r="AY119" s="12"/>
      <c r="AZ119" s="12">
        <f t="shared" si="14"/>
        <v>12.799999999999997</v>
      </c>
      <c r="BA119" s="12">
        <f t="shared" si="15"/>
        <v>41.5</v>
      </c>
      <c r="BB119" s="12"/>
      <c r="BC119" s="12">
        <f t="shared" si="16"/>
        <v>74</v>
      </c>
      <c r="BD119" s="12">
        <f t="shared" si="17"/>
        <v>60.199999999999996</v>
      </c>
      <c r="BE119" s="12">
        <f t="shared" si="18"/>
        <v>7.1999999999999886</v>
      </c>
    </row>
    <row r="120" spans="1:57" ht="15.75" customHeight="1">
      <c r="A120" s="1" t="s">
        <v>234</v>
      </c>
      <c r="B120" s="3" t="s">
        <v>232</v>
      </c>
      <c r="C120" s="4" t="s">
        <v>85</v>
      </c>
      <c r="D120" s="4">
        <v>37</v>
      </c>
      <c r="E120" s="4">
        <v>490</v>
      </c>
      <c r="F120" s="4">
        <v>37</v>
      </c>
      <c r="G120" s="4">
        <v>490</v>
      </c>
      <c r="H120" s="4">
        <v>0.55200000000000005</v>
      </c>
      <c r="I120" s="4">
        <v>4.0999999999999996</v>
      </c>
      <c r="J120" s="4"/>
      <c r="K120" s="4">
        <v>0.98299999999999998</v>
      </c>
      <c r="L120" s="4">
        <v>0.48299999999999998</v>
      </c>
      <c r="M120" s="4">
        <v>0.47399999999999998</v>
      </c>
      <c r="N120" s="4">
        <v>8.9999999999999993E-3</v>
      </c>
      <c r="O120" s="4">
        <v>1.7000000000000001E-2</v>
      </c>
      <c r="P120" s="4">
        <v>1.7000000000000001E-2</v>
      </c>
      <c r="Q120" s="4"/>
      <c r="R120" s="4">
        <v>0.55300000000000005</v>
      </c>
      <c r="S120" s="4">
        <v>0.66100000000000003</v>
      </c>
      <c r="T120" s="4">
        <v>0.47299999999999998</v>
      </c>
      <c r="U120" s="4">
        <v>0</v>
      </c>
      <c r="V120" s="4">
        <v>0</v>
      </c>
      <c r="W120" s="4">
        <v>0.5</v>
      </c>
      <c r="X120" s="4"/>
      <c r="Y120" s="4">
        <v>0.84099999999999997</v>
      </c>
      <c r="Z120" s="4">
        <v>1</v>
      </c>
      <c r="AA120" s="4"/>
      <c r="AB120" s="4">
        <v>0.5</v>
      </c>
      <c r="AC120" s="4">
        <v>1</v>
      </c>
      <c r="AD120" s="10">
        <f t="shared" si="12"/>
        <v>0.84370299999999998</v>
      </c>
      <c r="AE120" s="9"/>
      <c r="AF120" s="9"/>
      <c r="AG120" s="12">
        <f t="shared" si="13"/>
        <v>51.300000000000004</v>
      </c>
      <c r="AH120" s="12">
        <f t="shared" si="13"/>
        <v>35.9</v>
      </c>
      <c r="AI120" s="12">
        <f t="shared" si="13"/>
        <v>93.899999999999991</v>
      </c>
      <c r="AJ120" s="12">
        <f t="shared" si="13"/>
        <v>1.6</v>
      </c>
      <c r="AK120" s="12"/>
      <c r="AL120" s="12">
        <f t="shared" si="21"/>
        <v>96.1</v>
      </c>
      <c r="AM120" s="12">
        <f t="shared" si="21"/>
        <v>95.5</v>
      </c>
      <c r="AN120" s="12">
        <f t="shared" si="21"/>
        <v>96.6</v>
      </c>
      <c r="AO120" s="12">
        <f t="shared" si="19"/>
        <v>6</v>
      </c>
      <c r="AP120" s="12">
        <f t="shared" si="19"/>
        <v>20.9</v>
      </c>
      <c r="AQ120" s="12">
        <f t="shared" si="19"/>
        <v>3.8</v>
      </c>
      <c r="AR120" s="12"/>
      <c r="AS120" s="12">
        <f t="shared" si="22"/>
        <v>72.899999999999991</v>
      </c>
      <c r="AT120" s="12">
        <f t="shared" si="22"/>
        <v>45.800000000000004</v>
      </c>
      <c r="AU120" s="12">
        <f t="shared" si="22"/>
        <v>61.3</v>
      </c>
      <c r="AV120" s="12">
        <f t="shared" si="20"/>
        <v>0</v>
      </c>
      <c r="AW120" s="12">
        <f t="shared" si="20"/>
        <v>0</v>
      </c>
      <c r="AX120" s="12">
        <f t="shared" si="20"/>
        <v>97.7</v>
      </c>
      <c r="AY120" s="12"/>
      <c r="AZ120" s="12">
        <f t="shared" si="14"/>
        <v>7.7999999999999972</v>
      </c>
      <c r="BA120" s="12">
        <f t="shared" si="15"/>
        <v>33.799999999999997</v>
      </c>
      <c r="BB120" s="12"/>
      <c r="BC120" s="12">
        <f t="shared" si="16"/>
        <v>96.1</v>
      </c>
      <c r="BD120" s="12">
        <f t="shared" si="17"/>
        <v>97.2</v>
      </c>
      <c r="BE120" s="12">
        <f t="shared" si="18"/>
        <v>23.799999999999997</v>
      </c>
    </row>
    <row r="121" spans="1:57" ht="15.75" customHeight="1">
      <c r="A121" s="1" t="s">
        <v>206</v>
      </c>
      <c r="B121" s="3" t="s">
        <v>157</v>
      </c>
      <c r="C121" s="4" t="s">
        <v>85</v>
      </c>
      <c r="D121" s="4">
        <v>35</v>
      </c>
      <c r="E121" s="4">
        <v>482</v>
      </c>
      <c r="F121" s="4">
        <v>35</v>
      </c>
      <c r="G121" s="4">
        <v>482</v>
      </c>
      <c r="H121" s="4">
        <v>0.48599999999999999</v>
      </c>
      <c r="I121" s="4">
        <v>8.4</v>
      </c>
      <c r="J121" s="4"/>
      <c r="K121" s="4">
        <v>0.78900000000000003</v>
      </c>
      <c r="L121" s="4">
        <v>0.46800000000000003</v>
      </c>
      <c r="M121" s="4">
        <v>0.22900000000000001</v>
      </c>
      <c r="N121" s="4">
        <v>6.4000000000000001E-2</v>
      </c>
      <c r="O121" s="4">
        <v>2.8000000000000001E-2</v>
      </c>
      <c r="P121" s="4">
        <v>0.21099999999999999</v>
      </c>
      <c r="Q121" s="4"/>
      <c r="R121" s="4">
        <v>0.52300000000000002</v>
      </c>
      <c r="S121" s="4">
        <v>0.66700000000000004</v>
      </c>
      <c r="T121" s="4">
        <v>0.4</v>
      </c>
      <c r="U121" s="4">
        <v>0.14299999999999999</v>
      </c>
      <c r="V121" s="4">
        <v>0</v>
      </c>
      <c r="W121" s="4">
        <v>0.34799999999999998</v>
      </c>
      <c r="X121" s="4"/>
      <c r="Y121" s="4">
        <v>0.6</v>
      </c>
      <c r="Z121" s="4">
        <v>1</v>
      </c>
      <c r="AA121" s="4"/>
      <c r="AB121" s="4">
        <v>0.30399999999999999</v>
      </c>
      <c r="AC121" s="4">
        <v>0.42899999999999999</v>
      </c>
      <c r="AD121" s="10">
        <f t="shared" si="12"/>
        <v>0.68440000000000001</v>
      </c>
      <c r="AE121" s="9"/>
      <c r="AF121" s="9"/>
      <c r="AG121" s="12">
        <f t="shared" si="13"/>
        <v>44.7</v>
      </c>
      <c r="AH121" s="12">
        <f t="shared" si="13"/>
        <v>35.299999999999997</v>
      </c>
      <c r="AI121" s="12">
        <f t="shared" si="13"/>
        <v>74</v>
      </c>
      <c r="AJ121" s="12">
        <f t="shared" si="13"/>
        <v>13.8</v>
      </c>
      <c r="AK121" s="12"/>
      <c r="AL121" s="12">
        <f t="shared" si="21"/>
        <v>82.3</v>
      </c>
      <c r="AM121" s="12">
        <f t="shared" si="21"/>
        <v>93.899999999999991</v>
      </c>
      <c r="AN121" s="12">
        <f t="shared" si="21"/>
        <v>43</v>
      </c>
      <c r="AO121" s="12">
        <f t="shared" si="19"/>
        <v>48.6</v>
      </c>
      <c r="AP121" s="12">
        <f t="shared" si="19"/>
        <v>35.9</v>
      </c>
      <c r="AQ121" s="12">
        <f t="shared" si="19"/>
        <v>17.599999999999998</v>
      </c>
      <c r="AR121" s="12"/>
      <c r="AS121" s="12">
        <f t="shared" si="22"/>
        <v>55.800000000000004</v>
      </c>
      <c r="AT121" s="12">
        <f t="shared" si="22"/>
        <v>46.9</v>
      </c>
      <c r="AU121" s="12">
        <f t="shared" si="22"/>
        <v>32.5</v>
      </c>
      <c r="AV121" s="12">
        <f t="shared" si="20"/>
        <v>20.399999999999999</v>
      </c>
      <c r="AW121" s="12">
        <f t="shared" si="20"/>
        <v>0</v>
      </c>
      <c r="AX121" s="12">
        <f t="shared" si="20"/>
        <v>59.099999999999994</v>
      </c>
      <c r="AY121" s="12"/>
      <c r="AZ121" s="12">
        <f t="shared" si="14"/>
        <v>53.599999999999994</v>
      </c>
      <c r="BA121" s="12">
        <f t="shared" si="15"/>
        <v>33.799999999999997</v>
      </c>
      <c r="BB121" s="12"/>
      <c r="BC121" s="12">
        <f t="shared" si="16"/>
        <v>78.400000000000006</v>
      </c>
      <c r="BD121" s="12">
        <f t="shared" si="17"/>
        <v>68.5</v>
      </c>
      <c r="BE121" s="12">
        <f t="shared" si="18"/>
        <v>61.9</v>
      </c>
    </row>
    <row r="122" spans="1:57" ht="15.75" customHeight="1">
      <c r="A122" s="1" t="s">
        <v>264</v>
      </c>
      <c r="B122" s="3" t="s">
        <v>84</v>
      </c>
      <c r="C122" s="4" t="s">
        <v>112</v>
      </c>
      <c r="D122" s="4">
        <v>26</v>
      </c>
      <c r="E122" s="4">
        <v>476</v>
      </c>
      <c r="F122" s="4">
        <v>26</v>
      </c>
      <c r="G122" s="4">
        <v>476</v>
      </c>
      <c r="H122" s="4">
        <v>0.41299999999999998</v>
      </c>
      <c r="I122" s="4">
        <v>18.2</v>
      </c>
      <c r="J122" s="4"/>
      <c r="K122" s="4">
        <v>0.33100000000000002</v>
      </c>
      <c r="L122" s="4">
        <v>0.124</v>
      </c>
      <c r="M122" s="4">
        <v>0.14899999999999999</v>
      </c>
      <c r="N122" s="4">
        <v>2.5000000000000001E-2</v>
      </c>
      <c r="O122" s="4">
        <v>3.3000000000000002E-2</v>
      </c>
      <c r="P122" s="4">
        <v>0.66900000000000004</v>
      </c>
      <c r="Q122" s="4"/>
      <c r="R122" s="4">
        <v>0.45</v>
      </c>
      <c r="S122" s="4">
        <v>0.66700000000000004</v>
      </c>
      <c r="T122" s="4">
        <v>0.38900000000000001</v>
      </c>
      <c r="U122" s="4">
        <v>0.33300000000000002</v>
      </c>
      <c r="V122" s="4">
        <v>0</v>
      </c>
      <c r="W122" s="4">
        <v>0.39500000000000002</v>
      </c>
      <c r="X122" s="4"/>
      <c r="Y122" s="4">
        <v>0.61099999999999999</v>
      </c>
      <c r="Z122" s="4">
        <v>0.96899999999999997</v>
      </c>
      <c r="AA122" s="4"/>
      <c r="AB122" s="4">
        <v>0.39500000000000002</v>
      </c>
      <c r="AC122" s="4">
        <v>0.5</v>
      </c>
      <c r="AD122" s="10">
        <f t="shared" si="12"/>
        <v>0.85050199999999998</v>
      </c>
      <c r="AE122" s="9"/>
      <c r="AF122" s="9"/>
      <c r="AG122" s="12">
        <f t="shared" si="13"/>
        <v>23.200000000000003</v>
      </c>
      <c r="AH122" s="12">
        <f t="shared" si="13"/>
        <v>34.799999999999997</v>
      </c>
      <c r="AI122" s="12">
        <f t="shared" si="13"/>
        <v>35.9</v>
      </c>
      <c r="AJ122" s="12">
        <f t="shared" si="13"/>
        <v>85.6</v>
      </c>
      <c r="AK122" s="12"/>
      <c r="AL122" s="12">
        <f t="shared" si="21"/>
        <v>9.9</v>
      </c>
      <c r="AM122" s="12">
        <f t="shared" si="21"/>
        <v>24.8</v>
      </c>
      <c r="AN122" s="12">
        <f t="shared" si="21"/>
        <v>16</v>
      </c>
      <c r="AO122" s="12">
        <f t="shared" si="19"/>
        <v>16.5</v>
      </c>
      <c r="AP122" s="12">
        <f t="shared" si="19"/>
        <v>43.6</v>
      </c>
      <c r="AQ122" s="12">
        <f t="shared" si="19"/>
        <v>90</v>
      </c>
      <c r="AR122" s="12"/>
      <c r="AS122" s="12">
        <f t="shared" si="22"/>
        <v>18.7</v>
      </c>
      <c r="AT122" s="12">
        <f t="shared" si="22"/>
        <v>46.9</v>
      </c>
      <c r="AU122" s="12">
        <f t="shared" si="22"/>
        <v>27.6</v>
      </c>
      <c r="AV122" s="12">
        <f t="shared" si="20"/>
        <v>42.5</v>
      </c>
      <c r="AW122" s="12">
        <f t="shared" si="20"/>
        <v>0</v>
      </c>
      <c r="AX122" s="12">
        <f t="shared" si="20"/>
        <v>83.399999999999991</v>
      </c>
      <c r="AY122" s="12"/>
      <c r="AZ122" s="12">
        <f t="shared" si="14"/>
        <v>50.9</v>
      </c>
      <c r="BA122" s="12">
        <f t="shared" si="15"/>
        <v>38.700000000000003</v>
      </c>
      <c r="BB122" s="12"/>
      <c r="BC122" s="12">
        <f t="shared" si="16"/>
        <v>87.8</v>
      </c>
      <c r="BD122" s="12">
        <f t="shared" si="17"/>
        <v>79</v>
      </c>
      <c r="BE122" s="12">
        <f t="shared" si="18"/>
        <v>20.5</v>
      </c>
    </row>
    <row r="123" spans="1:57" ht="15.75" customHeight="1">
      <c r="A123" s="1" t="s">
        <v>254</v>
      </c>
      <c r="B123" s="3" t="s">
        <v>232</v>
      </c>
      <c r="C123" s="4" t="s">
        <v>8</v>
      </c>
      <c r="D123" s="4">
        <v>30</v>
      </c>
      <c r="E123" s="4">
        <v>475</v>
      </c>
      <c r="F123" s="4">
        <v>30</v>
      </c>
      <c r="G123" s="4">
        <v>475</v>
      </c>
      <c r="H123" s="4">
        <v>0.372</v>
      </c>
      <c r="I123" s="4">
        <v>22.2</v>
      </c>
      <c r="J123" s="4"/>
      <c r="K123" s="4">
        <v>0.159</v>
      </c>
      <c r="L123" s="4">
        <v>2.7E-2</v>
      </c>
      <c r="M123" s="4">
        <v>7.0999999999999994E-2</v>
      </c>
      <c r="N123" s="4">
        <v>4.3999999999999997E-2</v>
      </c>
      <c r="O123" s="4">
        <v>1.7999999999999999E-2</v>
      </c>
      <c r="P123" s="4">
        <v>0.84099999999999997</v>
      </c>
      <c r="Q123" s="4"/>
      <c r="R123" s="4">
        <v>0.66700000000000004</v>
      </c>
      <c r="S123" s="4">
        <v>0.66700000000000004</v>
      </c>
      <c r="T123" s="4">
        <v>0.625</v>
      </c>
      <c r="U123" s="4">
        <v>0.8</v>
      </c>
      <c r="V123" s="4">
        <v>0.5</v>
      </c>
      <c r="W123" s="4">
        <v>0.316</v>
      </c>
      <c r="X123" s="4"/>
      <c r="Y123" s="4">
        <v>0.41699999999999998</v>
      </c>
      <c r="Z123" s="4">
        <v>1</v>
      </c>
      <c r="AA123" s="4"/>
      <c r="AB123" s="4">
        <v>0.28399999999999997</v>
      </c>
      <c r="AC123" s="4">
        <v>0.25900000000000001</v>
      </c>
      <c r="AD123" s="10">
        <f t="shared" si="12"/>
        <v>0.90730299999999997</v>
      </c>
      <c r="AE123" s="9"/>
      <c r="AF123" s="9"/>
      <c r="AG123" s="12">
        <f t="shared" si="13"/>
        <v>32</v>
      </c>
      <c r="AH123" s="12">
        <f t="shared" si="13"/>
        <v>34.200000000000003</v>
      </c>
      <c r="AI123" s="12">
        <f t="shared" si="13"/>
        <v>16.5</v>
      </c>
      <c r="AJ123" s="12">
        <f t="shared" si="13"/>
        <v>100</v>
      </c>
      <c r="AK123" s="12"/>
      <c r="AL123" s="12">
        <f t="shared" si="21"/>
        <v>0</v>
      </c>
      <c r="AM123" s="12">
        <f t="shared" si="21"/>
        <v>0.5</v>
      </c>
      <c r="AN123" s="12">
        <f t="shared" si="21"/>
        <v>1.0999999999999999</v>
      </c>
      <c r="AO123" s="12">
        <f t="shared" si="19"/>
        <v>33.1</v>
      </c>
      <c r="AP123" s="12">
        <f t="shared" si="19"/>
        <v>22</v>
      </c>
      <c r="AQ123" s="12">
        <f t="shared" si="19"/>
        <v>100</v>
      </c>
      <c r="AR123" s="12"/>
      <c r="AS123" s="12">
        <f t="shared" si="22"/>
        <v>98.3</v>
      </c>
      <c r="AT123" s="12">
        <f t="shared" si="22"/>
        <v>46.9</v>
      </c>
      <c r="AU123" s="12">
        <f t="shared" si="22"/>
        <v>96.6</v>
      </c>
      <c r="AV123" s="12">
        <f t="shared" si="20"/>
        <v>98.3</v>
      </c>
      <c r="AW123" s="12">
        <f t="shared" si="20"/>
        <v>80.100000000000009</v>
      </c>
      <c r="AX123" s="12">
        <f t="shared" si="20"/>
        <v>44.1</v>
      </c>
      <c r="AY123" s="12"/>
      <c r="AZ123" s="12">
        <f t="shared" si="14"/>
        <v>80.2</v>
      </c>
      <c r="BA123" s="12">
        <f t="shared" si="15"/>
        <v>33.799999999999997</v>
      </c>
      <c r="BB123" s="12"/>
      <c r="BC123" s="12">
        <f t="shared" si="16"/>
        <v>74</v>
      </c>
      <c r="BD123" s="12">
        <f t="shared" si="17"/>
        <v>31.4</v>
      </c>
      <c r="BE123" s="12">
        <f t="shared" si="18"/>
        <v>8.2999999999999972</v>
      </c>
    </row>
    <row r="124" spans="1:57" ht="15.75" customHeight="1">
      <c r="A124" s="1" t="s">
        <v>133</v>
      </c>
      <c r="B124" s="3" t="s">
        <v>99</v>
      </c>
      <c r="C124" s="4" t="s">
        <v>8</v>
      </c>
      <c r="D124" s="4">
        <v>32</v>
      </c>
      <c r="E124" s="4">
        <v>461</v>
      </c>
      <c r="F124" s="4">
        <v>32</v>
      </c>
      <c r="G124" s="4">
        <v>461</v>
      </c>
      <c r="H124" s="4">
        <v>0.377</v>
      </c>
      <c r="I124" s="4">
        <v>12.9</v>
      </c>
      <c r="J124" s="4"/>
      <c r="K124" s="4">
        <v>0.65200000000000002</v>
      </c>
      <c r="L124" s="4">
        <v>0.19600000000000001</v>
      </c>
      <c r="M124" s="4">
        <v>0.32600000000000001</v>
      </c>
      <c r="N124" s="4">
        <v>9.4E-2</v>
      </c>
      <c r="O124" s="4">
        <v>3.5999999999999997E-2</v>
      </c>
      <c r="P124" s="4">
        <v>0.34799999999999998</v>
      </c>
      <c r="Q124" s="4"/>
      <c r="R124" s="4">
        <v>0.41099999999999998</v>
      </c>
      <c r="S124" s="4">
        <v>0.59299999999999997</v>
      </c>
      <c r="T124" s="4">
        <v>0.311</v>
      </c>
      <c r="U124" s="4">
        <v>0.308</v>
      </c>
      <c r="V124" s="4">
        <v>0.6</v>
      </c>
      <c r="W124" s="4">
        <v>0.313</v>
      </c>
      <c r="X124" s="4"/>
      <c r="Y124" s="4">
        <v>0.40500000000000003</v>
      </c>
      <c r="Z124" s="4">
        <v>0.93300000000000005</v>
      </c>
      <c r="AA124" s="4"/>
      <c r="AB124" s="4">
        <v>0.188</v>
      </c>
      <c r="AC124" s="4">
        <v>0.33300000000000002</v>
      </c>
      <c r="AD124" s="10">
        <f t="shared" si="12"/>
        <v>0.58874399999999993</v>
      </c>
      <c r="AE124" s="9"/>
      <c r="AF124" s="9"/>
      <c r="AG124" s="12">
        <f t="shared" si="13"/>
        <v>35.299999999999997</v>
      </c>
      <c r="AH124" s="12">
        <f t="shared" si="13"/>
        <v>33.700000000000003</v>
      </c>
      <c r="AI124" s="12">
        <f t="shared" si="13"/>
        <v>19.3</v>
      </c>
      <c r="AJ124" s="12">
        <f t="shared" si="13"/>
        <v>39.700000000000003</v>
      </c>
      <c r="AK124" s="12"/>
      <c r="AL124" s="12">
        <f t="shared" si="21"/>
        <v>63.5</v>
      </c>
      <c r="AM124" s="12">
        <f t="shared" si="21"/>
        <v>50.2</v>
      </c>
      <c r="AN124" s="12">
        <f t="shared" si="21"/>
        <v>74</v>
      </c>
      <c r="AO124" s="12">
        <f t="shared" si="19"/>
        <v>70.099999999999994</v>
      </c>
      <c r="AP124" s="12">
        <f t="shared" si="19"/>
        <v>46.400000000000006</v>
      </c>
      <c r="AQ124" s="12">
        <f t="shared" si="19"/>
        <v>36.4</v>
      </c>
      <c r="AR124" s="12"/>
      <c r="AS124" s="12">
        <f t="shared" si="22"/>
        <v>12.7</v>
      </c>
      <c r="AT124" s="12">
        <f t="shared" si="22"/>
        <v>23.7</v>
      </c>
      <c r="AU124" s="12">
        <f t="shared" si="22"/>
        <v>10.4</v>
      </c>
      <c r="AV124" s="12">
        <f t="shared" si="20"/>
        <v>37.5</v>
      </c>
      <c r="AW124" s="12">
        <f t="shared" si="20"/>
        <v>93.300000000000011</v>
      </c>
      <c r="AX124" s="12">
        <f t="shared" si="20"/>
        <v>41.4</v>
      </c>
      <c r="AY124" s="12"/>
      <c r="AZ124" s="12">
        <f t="shared" si="14"/>
        <v>82.9</v>
      </c>
      <c r="BA124" s="12">
        <f t="shared" si="15"/>
        <v>52</v>
      </c>
      <c r="BB124" s="12"/>
      <c r="BC124" s="12">
        <f t="shared" si="16"/>
        <v>50.8</v>
      </c>
      <c r="BD124" s="12">
        <f t="shared" si="17"/>
        <v>43</v>
      </c>
      <c r="BE124" s="12">
        <f t="shared" si="18"/>
        <v>79.599999999999994</v>
      </c>
    </row>
    <row r="125" spans="1:57" ht="15.75" customHeight="1">
      <c r="A125" s="1" t="s">
        <v>172</v>
      </c>
      <c r="B125" s="3" t="s">
        <v>107</v>
      </c>
      <c r="C125" s="4" t="s">
        <v>88</v>
      </c>
      <c r="D125" s="4">
        <v>18</v>
      </c>
      <c r="E125" s="4">
        <v>455</v>
      </c>
      <c r="F125" s="4">
        <v>18</v>
      </c>
      <c r="G125" s="4">
        <v>455</v>
      </c>
      <c r="H125" s="4">
        <v>0.52700000000000002</v>
      </c>
      <c r="I125" s="4">
        <v>6.8</v>
      </c>
      <c r="J125" s="4"/>
      <c r="K125" s="4">
        <v>0.97799999999999998</v>
      </c>
      <c r="L125" s="4">
        <v>0.33200000000000002</v>
      </c>
      <c r="M125" s="4">
        <v>0.41299999999999998</v>
      </c>
      <c r="N125" s="4">
        <v>0.17399999999999999</v>
      </c>
      <c r="O125" s="4">
        <v>0.06</v>
      </c>
      <c r="P125" s="4">
        <v>2.1999999999999999E-2</v>
      </c>
      <c r="Q125" s="4"/>
      <c r="R125" s="4">
        <v>0.53300000000000003</v>
      </c>
      <c r="S125" s="4">
        <v>0.65600000000000003</v>
      </c>
      <c r="T125" s="4">
        <v>0.52600000000000002</v>
      </c>
      <c r="U125" s="4">
        <v>0.438</v>
      </c>
      <c r="V125" s="4">
        <v>0.182</v>
      </c>
      <c r="W125" s="4">
        <v>0.25</v>
      </c>
      <c r="X125" s="4"/>
      <c r="Y125" s="4">
        <v>0.81299999999999994</v>
      </c>
      <c r="Z125" s="4">
        <v>1</v>
      </c>
      <c r="AA125" s="4"/>
      <c r="AB125" s="4">
        <v>0.25</v>
      </c>
      <c r="AC125" s="4">
        <v>1</v>
      </c>
      <c r="AD125" s="10">
        <f t="shared" si="12"/>
        <v>0.8171139999999999</v>
      </c>
      <c r="AE125" s="9"/>
      <c r="AF125" s="9"/>
      <c r="AG125" s="12">
        <f t="shared" si="13"/>
        <v>12.7</v>
      </c>
      <c r="AH125" s="12">
        <f t="shared" si="13"/>
        <v>33.1</v>
      </c>
      <c r="AI125" s="12">
        <f t="shared" si="13"/>
        <v>87.2</v>
      </c>
      <c r="AJ125" s="12">
        <f t="shared" si="13"/>
        <v>10.4</v>
      </c>
      <c r="AK125" s="12"/>
      <c r="AL125" s="12">
        <f t="shared" si="21"/>
        <v>95.5</v>
      </c>
      <c r="AM125" s="12">
        <f t="shared" si="21"/>
        <v>82.3</v>
      </c>
      <c r="AN125" s="12">
        <f t="shared" si="21"/>
        <v>90</v>
      </c>
      <c r="AO125" s="12">
        <f t="shared" si="19"/>
        <v>93.300000000000011</v>
      </c>
      <c r="AP125" s="12">
        <f t="shared" si="19"/>
        <v>71.2</v>
      </c>
      <c r="AQ125" s="12">
        <f t="shared" si="19"/>
        <v>4.3999999999999995</v>
      </c>
      <c r="AR125" s="12"/>
      <c r="AS125" s="12">
        <f t="shared" si="22"/>
        <v>62.4</v>
      </c>
      <c r="AT125" s="12">
        <f t="shared" si="22"/>
        <v>44.7</v>
      </c>
      <c r="AU125" s="12">
        <f t="shared" si="22"/>
        <v>83.399999999999991</v>
      </c>
      <c r="AV125" s="12">
        <f t="shared" si="20"/>
        <v>69</v>
      </c>
      <c r="AW125" s="12">
        <f t="shared" si="20"/>
        <v>25.900000000000002</v>
      </c>
      <c r="AX125" s="12">
        <f t="shared" si="20"/>
        <v>17.599999999999998</v>
      </c>
      <c r="AY125" s="12"/>
      <c r="AZ125" s="12">
        <f t="shared" si="14"/>
        <v>12.200000000000003</v>
      </c>
      <c r="BA125" s="12">
        <f t="shared" si="15"/>
        <v>33.799999999999997</v>
      </c>
      <c r="BB125" s="12"/>
      <c r="BC125" s="12">
        <f t="shared" si="16"/>
        <v>67.900000000000006</v>
      </c>
      <c r="BD125" s="12">
        <f t="shared" si="17"/>
        <v>97.2</v>
      </c>
      <c r="BE125" s="12">
        <f t="shared" si="18"/>
        <v>30.400000000000006</v>
      </c>
    </row>
    <row r="126" spans="1:57" ht="15.75" customHeight="1">
      <c r="A126" s="1" t="s">
        <v>100</v>
      </c>
      <c r="B126" s="4" t="s">
        <v>240</v>
      </c>
      <c r="C126" s="4" t="s">
        <v>94</v>
      </c>
      <c r="D126" s="4">
        <v>27</v>
      </c>
      <c r="E126" s="4">
        <v>448</v>
      </c>
      <c r="F126" s="4">
        <v>27</v>
      </c>
      <c r="G126" s="4">
        <v>448</v>
      </c>
      <c r="H126" s="4">
        <v>0.38300000000000001</v>
      </c>
      <c r="I126" s="4">
        <v>16.600000000000001</v>
      </c>
      <c r="J126" s="4"/>
      <c r="K126" s="4">
        <v>0.505</v>
      </c>
      <c r="L126" s="4">
        <v>8.4000000000000005E-2</v>
      </c>
      <c r="M126" s="4">
        <v>0.19600000000000001</v>
      </c>
      <c r="N126" s="4">
        <v>0.17799999999999999</v>
      </c>
      <c r="O126" s="4">
        <v>4.7E-2</v>
      </c>
      <c r="P126" s="4">
        <v>0.495</v>
      </c>
      <c r="Q126" s="4"/>
      <c r="R126" s="4">
        <v>0.5</v>
      </c>
      <c r="S126" s="4">
        <v>0.66700000000000004</v>
      </c>
      <c r="T126" s="4">
        <v>0.28599999999999998</v>
      </c>
      <c r="U126" s="4">
        <v>0.73699999999999999</v>
      </c>
      <c r="V126" s="4">
        <v>0.2</v>
      </c>
      <c r="W126" s="4">
        <v>0.26400000000000001</v>
      </c>
      <c r="X126" s="4"/>
      <c r="Y126" s="4">
        <v>0.37</v>
      </c>
      <c r="Z126" s="4">
        <v>1</v>
      </c>
      <c r="AA126" s="4"/>
      <c r="AB126" s="4">
        <v>0.434</v>
      </c>
      <c r="AC126" s="4">
        <v>0.30399999999999999</v>
      </c>
      <c r="AD126" s="10">
        <f t="shared" si="12"/>
        <v>0.68184999999999996</v>
      </c>
      <c r="AE126" s="9"/>
      <c r="AF126" s="9"/>
      <c r="AG126" s="12">
        <f t="shared" si="13"/>
        <v>24.8</v>
      </c>
      <c r="AH126" s="12">
        <f t="shared" si="13"/>
        <v>32.5</v>
      </c>
      <c r="AI126" s="12">
        <f t="shared" si="13"/>
        <v>21.5</v>
      </c>
      <c r="AJ126" s="12">
        <f t="shared" si="13"/>
        <v>75.099999999999994</v>
      </c>
      <c r="AK126" s="12"/>
      <c r="AL126" s="12">
        <f t="shared" si="21"/>
        <v>32</v>
      </c>
      <c r="AM126" s="12">
        <f t="shared" si="21"/>
        <v>11</v>
      </c>
      <c r="AN126" s="12">
        <f t="shared" si="21"/>
        <v>32</v>
      </c>
      <c r="AO126" s="12">
        <f t="shared" si="19"/>
        <v>94.399999999999991</v>
      </c>
      <c r="AP126" s="12">
        <f t="shared" si="19"/>
        <v>59.099999999999994</v>
      </c>
      <c r="AQ126" s="12">
        <f t="shared" si="19"/>
        <v>66.8</v>
      </c>
      <c r="AR126" s="12"/>
      <c r="AS126" s="12">
        <f t="shared" si="22"/>
        <v>41.9</v>
      </c>
      <c r="AT126" s="12">
        <f t="shared" si="22"/>
        <v>46.9</v>
      </c>
      <c r="AU126" s="12">
        <f t="shared" si="22"/>
        <v>6.6000000000000005</v>
      </c>
      <c r="AV126" s="12">
        <f t="shared" si="20"/>
        <v>97.7</v>
      </c>
      <c r="AW126" s="12">
        <f t="shared" si="20"/>
        <v>27.6</v>
      </c>
      <c r="AX126" s="12">
        <f t="shared" si="20"/>
        <v>23.200000000000003</v>
      </c>
      <c r="AY126" s="12"/>
      <c r="AZ126" s="12">
        <f t="shared" si="14"/>
        <v>84.6</v>
      </c>
      <c r="BA126" s="12">
        <f t="shared" si="15"/>
        <v>33.799999999999997</v>
      </c>
      <c r="BB126" s="12"/>
      <c r="BC126" s="12">
        <f t="shared" si="16"/>
        <v>91.7</v>
      </c>
      <c r="BD126" s="12">
        <f t="shared" si="17"/>
        <v>40.799999999999997</v>
      </c>
      <c r="BE126" s="12">
        <f t="shared" si="18"/>
        <v>62.5</v>
      </c>
    </row>
    <row r="127" spans="1:57" ht="15.75" customHeight="1">
      <c r="A127" s="1" t="s">
        <v>233</v>
      </c>
      <c r="B127" s="3" t="s">
        <v>107</v>
      </c>
      <c r="C127" s="4" t="s">
        <v>85</v>
      </c>
      <c r="D127" s="4">
        <v>37</v>
      </c>
      <c r="E127" s="4">
        <v>440</v>
      </c>
      <c r="F127" s="4">
        <v>37</v>
      </c>
      <c r="G127" s="4">
        <v>440</v>
      </c>
      <c r="H127" s="4">
        <v>0.40899999999999997</v>
      </c>
      <c r="I127" s="4">
        <v>9.4</v>
      </c>
      <c r="J127" s="4"/>
      <c r="K127" s="4">
        <v>0.77300000000000002</v>
      </c>
      <c r="L127" s="4">
        <v>0.25800000000000001</v>
      </c>
      <c r="M127" s="4">
        <v>0.432</v>
      </c>
      <c r="N127" s="4">
        <v>4.4999999999999998E-2</v>
      </c>
      <c r="O127" s="4">
        <v>3.7999999999999999E-2</v>
      </c>
      <c r="P127" s="4">
        <v>0.22700000000000001</v>
      </c>
      <c r="Q127" s="4"/>
      <c r="R127" s="4">
        <v>0.48</v>
      </c>
      <c r="S127" s="4">
        <v>0.64700000000000002</v>
      </c>
      <c r="T127" s="4">
        <v>0.45600000000000002</v>
      </c>
      <c r="U127" s="4">
        <v>0</v>
      </c>
      <c r="V127" s="4">
        <v>0.2</v>
      </c>
      <c r="W127" s="4">
        <v>0.16700000000000001</v>
      </c>
      <c r="X127" s="4"/>
      <c r="Y127" s="4">
        <v>0.61199999999999999</v>
      </c>
      <c r="Z127" s="4">
        <v>1</v>
      </c>
      <c r="AA127" s="4"/>
      <c r="AB127" s="4">
        <v>0.23300000000000001</v>
      </c>
      <c r="AC127" s="4">
        <v>0.14299999999999999</v>
      </c>
      <c r="AD127" s="10">
        <f t="shared" si="12"/>
        <v>0.70007600000000003</v>
      </c>
      <c r="AE127" s="9"/>
      <c r="AF127" s="9"/>
      <c r="AG127" s="12">
        <f t="shared" si="13"/>
        <v>51.300000000000004</v>
      </c>
      <c r="AH127" s="12">
        <f t="shared" si="13"/>
        <v>32</v>
      </c>
      <c r="AI127" s="12">
        <f t="shared" si="13"/>
        <v>34.799999999999997</v>
      </c>
      <c r="AJ127" s="12">
        <f t="shared" si="13"/>
        <v>17.599999999999998</v>
      </c>
      <c r="AK127" s="12"/>
      <c r="AL127" s="12">
        <f t="shared" si="21"/>
        <v>80.600000000000009</v>
      </c>
      <c r="AM127" s="12">
        <f t="shared" si="21"/>
        <v>67.900000000000006</v>
      </c>
      <c r="AN127" s="12">
        <f t="shared" si="21"/>
        <v>92.800000000000011</v>
      </c>
      <c r="AO127" s="12">
        <f t="shared" si="19"/>
        <v>34.200000000000003</v>
      </c>
      <c r="AP127" s="12">
        <f t="shared" si="19"/>
        <v>48.6</v>
      </c>
      <c r="AQ127" s="12">
        <f t="shared" si="19"/>
        <v>19.3</v>
      </c>
      <c r="AR127" s="12"/>
      <c r="AS127" s="12">
        <f t="shared" si="22"/>
        <v>36.4</v>
      </c>
      <c r="AT127" s="12">
        <f t="shared" si="22"/>
        <v>39.700000000000003</v>
      </c>
      <c r="AU127" s="12">
        <f t="shared" si="22"/>
        <v>54.1</v>
      </c>
      <c r="AV127" s="12">
        <f t="shared" si="20"/>
        <v>0</v>
      </c>
      <c r="AW127" s="12">
        <f t="shared" si="20"/>
        <v>27.6</v>
      </c>
      <c r="AX127" s="12">
        <f t="shared" si="20"/>
        <v>7.7</v>
      </c>
      <c r="AY127" s="12"/>
      <c r="AZ127" s="12">
        <f t="shared" si="14"/>
        <v>50.3</v>
      </c>
      <c r="BA127" s="12">
        <f t="shared" si="15"/>
        <v>33.799999999999997</v>
      </c>
      <c r="BB127" s="12"/>
      <c r="BC127" s="12">
        <f t="shared" si="16"/>
        <v>64.600000000000009</v>
      </c>
      <c r="BD127" s="12">
        <f t="shared" si="17"/>
        <v>13.8</v>
      </c>
      <c r="BE127" s="12">
        <f t="shared" si="18"/>
        <v>59.2</v>
      </c>
    </row>
    <row r="128" spans="1:57" ht="15.75" customHeight="1">
      <c r="A128" s="1" t="s">
        <v>178</v>
      </c>
      <c r="B128" s="3" t="s">
        <v>91</v>
      </c>
      <c r="C128" s="4" t="s">
        <v>85</v>
      </c>
      <c r="D128" s="4">
        <v>36</v>
      </c>
      <c r="E128" s="4">
        <v>425</v>
      </c>
      <c r="F128" s="4">
        <v>36</v>
      </c>
      <c r="G128" s="4">
        <v>425</v>
      </c>
      <c r="H128" s="4">
        <v>0.495</v>
      </c>
      <c r="I128" s="4">
        <v>7.3</v>
      </c>
      <c r="J128" s="4"/>
      <c r="K128" s="4">
        <v>0.83499999999999996</v>
      </c>
      <c r="L128" s="4">
        <v>0.33</v>
      </c>
      <c r="M128" s="4">
        <v>0.46600000000000003</v>
      </c>
      <c r="N128" s="4">
        <v>1.9E-2</v>
      </c>
      <c r="O128" s="4">
        <v>1.9E-2</v>
      </c>
      <c r="P128" s="4">
        <v>0.16500000000000001</v>
      </c>
      <c r="Q128" s="4"/>
      <c r="R128" s="4">
        <v>0.51200000000000001</v>
      </c>
      <c r="S128" s="4">
        <v>0.64700000000000002</v>
      </c>
      <c r="T128" s="4">
        <v>0.45800000000000002</v>
      </c>
      <c r="U128" s="4">
        <v>0</v>
      </c>
      <c r="V128" s="4">
        <v>0</v>
      </c>
      <c r="W128" s="4">
        <v>0.41199999999999998</v>
      </c>
      <c r="X128" s="4"/>
      <c r="Y128" s="4">
        <v>0.70499999999999996</v>
      </c>
      <c r="Z128" s="4">
        <v>1</v>
      </c>
      <c r="AA128" s="4"/>
      <c r="AB128" s="4">
        <v>0.29399999999999998</v>
      </c>
      <c r="AC128" s="4">
        <v>0.8</v>
      </c>
      <c r="AD128" s="10">
        <f t="shared" si="12"/>
        <v>0.75367499999999998</v>
      </c>
      <c r="AE128" s="9"/>
      <c r="AF128" s="9"/>
      <c r="AG128" s="12">
        <f t="shared" si="13"/>
        <v>47.5</v>
      </c>
      <c r="AH128" s="12">
        <f t="shared" si="13"/>
        <v>31.4</v>
      </c>
      <c r="AI128" s="12">
        <f t="shared" si="13"/>
        <v>78.400000000000006</v>
      </c>
      <c r="AJ128" s="12">
        <f t="shared" si="13"/>
        <v>12.1</v>
      </c>
      <c r="AK128" s="12"/>
      <c r="AL128" s="12">
        <f t="shared" si="21"/>
        <v>85.6</v>
      </c>
      <c r="AM128" s="12">
        <f t="shared" si="21"/>
        <v>81.2</v>
      </c>
      <c r="AN128" s="12">
        <f t="shared" si="21"/>
        <v>96.1</v>
      </c>
      <c r="AO128" s="12">
        <f t="shared" si="19"/>
        <v>11.600000000000001</v>
      </c>
      <c r="AP128" s="12">
        <f t="shared" si="19"/>
        <v>24.3</v>
      </c>
      <c r="AQ128" s="12">
        <f t="shared" si="19"/>
        <v>14.299999999999999</v>
      </c>
      <c r="AR128" s="12"/>
      <c r="AS128" s="12">
        <f t="shared" si="22"/>
        <v>46.9</v>
      </c>
      <c r="AT128" s="12">
        <f t="shared" si="22"/>
        <v>39.700000000000003</v>
      </c>
      <c r="AU128" s="12">
        <f t="shared" si="22"/>
        <v>55.2</v>
      </c>
      <c r="AV128" s="12">
        <f t="shared" si="20"/>
        <v>0</v>
      </c>
      <c r="AW128" s="12">
        <f t="shared" si="20"/>
        <v>0</v>
      </c>
      <c r="AX128" s="12">
        <f t="shared" si="20"/>
        <v>89.5</v>
      </c>
      <c r="AY128" s="12"/>
      <c r="AZ128" s="12">
        <f t="shared" si="14"/>
        <v>34.299999999999997</v>
      </c>
      <c r="BA128" s="12">
        <f t="shared" si="15"/>
        <v>33.799999999999997</v>
      </c>
      <c r="BB128" s="12"/>
      <c r="BC128" s="12">
        <f t="shared" si="16"/>
        <v>76.7</v>
      </c>
      <c r="BD128" s="12">
        <f t="shared" si="17"/>
        <v>96.1</v>
      </c>
      <c r="BE128" s="12">
        <f t="shared" si="18"/>
        <v>44.199999999999996</v>
      </c>
    </row>
    <row r="129" spans="1:57" ht="15.75" customHeight="1">
      <c r="A129" s="1" t="s">
        <v>258</v>
      </c>
      <c r="B129" s="3" t="s">
        <v>161</v>
      </c>
      <c r="C129" s="4" t="s">
        <v>88</v>
      </c>
      <c r="D129" s="4">
        <v>24</v>
      </c>
      <c r="E129" s="4">
        <v>424</v>
      </c>
      <c r="F129" s="4">
        <v>24</v>
      </c>
      <c r="G129" s="4">
        <v>424</v>
      </c>
      <c r="H129" s="4">
        <v>0.50900000000000001</v>
      </c>
      <c r="I129" s="4">
        <v>10.6</v>
      </c>
      <c r="J129" s="4"/>
      <c r="K129" s="4">
        <v>0.71399999999999997</v>
      </c>
      <c r="L129" s="4">
        <v>0.39300000000000002</v>
      </c>
      <c r="M129" s="4">
        <v>0.19600000000000001</v>
      </c>
      <c r="N129" s="4">
        <v>6.3E-2</v>
      </c>
      <c r="O129" s="4">
        <v>6.3E-2</v>
      </c>
      <c r="P129" s="4">
        <v>0.28599999999999998</v>
      </c>
      <c r="Q129" s="4"/>
      <c r="R129" s="4">
        <v>0.57499999999999996</v>
      </c>
      <c r="S129" s="4">
        <v>0.79500000000000004</v>
      </c>
      <c r="T129" s="4">
        <v>0.27300000000000002</v>
      </c>
      <c r="U129" s="4">
        <v>0.42899999999999999</v>
      </c>
      <c r="V129" s="4">
        <v>0.28599999999999998</v>
      </c>
      <c r="W129" s="4">
        <v>0.34399999999999997</v>
      </c>
      <c r="X129" s="4"/>
      <c r="Y129" s="4">
        <v>0.87</v>
      </c>
      <c r="Z129" s="4">
        <v>1</v>
      </c>
      <c r="AA129" s="4"/>
      <c r="AB129" s="4">
        <v>0.438</v>
      </c>
      <c r="AC129" s="4">
        <v>0.28599999999999998</v>
      </c>
      <c r="AD129" s="10">
        <f t="shared" si="12"/>
        <v>0.90717999999999988</v>
      </c>
      <c r="AE129" s="9"/>
      <c r="AF129" s="9"/>
      <c r="AG129" s="12">
        <f t="shared" si="13"/>
        <v>19.8</v>
      </c>
      <c r="AH129" s="12">
        <f t="shared" si="13"/>
        <v>30.9</v>
      </c>
      <c r="AI129" s="12">
        <f t="shared" si="13"/>
        <v>82.3</v>
      </c>
      <c r="AJ129" s="12">
        <f t="shared" si="13"/>
        <v>22</v>
      </c>
      <c r="AK129" s="12"/>
      <c r="AL129" s="12">
        <f t="shared" si="21"/>
        <v>72.3</v>
      </c>
      <c r="AM129" s="12">
        <f t="shared" si="21"/>
        <v>89.5</v>
      </c>
      <c r="AN129" s="12">
        <f t="shared" si="21"/>
        <v>32</v>
      </c>
      <c r="AO129" s="12">
        <f t="shared" si="19"/>
        <v>47.5</v>
      </c>
      <c r="AP129" s="12">
        <f t="shared" si="19"/>
        <v>74</v>
      </c>
      <c r="AQ129" s="12">
        <f t="shared" si="19"/>
        <v>27.6</v>
      </c>
      <c r="AR129" s="12"/>
      <c r="AS129" s="12">
        <f t="shared" si="22"/>
        <v>83.399999999999991</v>
      </c>
      <c r="AT129" s="12">
        <f t="shared" si="22"/>
        <v>90.600000000000009</v>
      </c>
      <c r="AU129" s="12">
        <f t="shared" si="22"/>
        <v>3.8</v>
      </c>
      <c r="AV129" s="12">
        <f t="shared" si="20"/>
        <v>67.900000000000006</v>
      </c>
      <c r="AW129" s="12">
        <f t="shared" si="20"/>
        <v>41.4</v>
      </c>
      <c r="AX129" s="12">
        <f t="shared" si="20"/>
        <v>57.999999999999993</v>
      </c>
      <c r="AY129" s="12"/>
      <c r="AZ129" s="12">
        <f t="shared" si="14"/>
        <v>5</v>
      </c>
      <c r="BA129" s="12">
        <f t="shared" si="15"/>
        <v>33.799999999999997</v>
      </c>
      <c r="BB129" s="12"/>
      <c r="BC129" s="12">
        <f t="shared" si="16"/>
        <v>92.2</v>
      </c>
      <c r="BD129" s="12">
        <f t="shared" si="17"/>
        <v>34.799999999999997</v>
      </c>
      <c r="BE129" s="12">
        <f t="shared" si="18"/>
        <v>9.3999999999999915</v>
      </c>
    </row>
    <row r="130" spans="1:57" ht="15.75" customHeight="1">
      <c r="A130" s="1" t="s">
        <v>192</v>
      </c>
      <c r="B130" s="4" t="s">
        <v>96</v>
      </c>
      <c r="C130" s="4" t="s">
        <v>8</v>
      </c>
      <c r="D130" s="4">
        <v>37</v>
      </c>
      <c r="E130" s="4">
        <v>423</v>
      </c>
      <c r="F130" s="4">
        <v>37</v>
      </c>
      <c r="G130" s="4">
        <v>423</v>
      </c>
      <c r="H130" s="4">
        <v>0.44700000000000001</v>
      </c>
      <c r="I130" s="4">
        <v>19.3</v>
      </c>
      <c r="J130" s="4"/>
      <c r="K130" s="4">
        <v>0.318</v>
      </c>
      <c r="L130" s="4">
        <v>0.11799999999999999</v>
      </c>
      <c r="M130" s="4">
        <v>0.11799999999999999</v>
      </c>
      <c r="N130" s="4">
        <v>3.5000000000000003E-2</v>
      </c>
      <c r="O130" s="4">
        <v>4.7E-2</v>
      </c>
      <c r="P130" s="4">
        <v>0.68200000000000005</v>
      </c>
      <c r="Q130" s="4"/>
      <c r="R130" s="4">
        <v>0.48099999999999998</v>
      </c>
      <c r="S130" s="4">
        <v>0.7</v>
      </c>
      <c r="T130" s="4">
        <v>0.3</v>
      </c>
      <c r="U130" s="4">
        <v>0.66700000000000004</v>
      </c>
      <c r="V130" s="4">
        <v>0.25</v>
      </c>
      <c r="W130" s="4">
        <v>0.43099999999999999</v>
      </c>
      <c r="X130" s="4"/>
      <c r="Y130" s="4">
        <v>0.92300000000000004</v>
      </c>
      <c r="Z130" s="4">
        <v>0.92</v>
      </c>
      <c r="AA130" s="4"/>
      <c r="AB130" s="4">
        <v>0.32800000000000001</v>
      </c>
      <c r="AC130" s="4">
        <v>0.42099999999999999</v>
      </c>
      <c r="AD130" s="10">
        <f t="shared" si="12"/>
        <v>0.92095400000000005</v>
      </c>
      <c r="AE130" s="9"/>
      <c r="AF130" s="9"/>
      <c r="AG130" s="12">
        <f t="shared" si="13"/>
        <v>51.300000000000004</v>
      </c>
      <c r="AH130" s="12">
        <f t="shared" si="13"/>
        <v>29.799999999999997</v>
      </c>
      <c r="AI130" s="12">
        <f t="shared" si="13"/>
        <v>56.3</v>
      </c>
      <c r="AJ130" s="12">
        <f t="shared" si="13"/>
        <v>92.2</v>
      </c>
      <c r="AK130" s="12"/>
      <c r="AL130" s="12">
        <f t="shared" si="21"/>
        <v>8.7999999999999989</v>
      </c>
      <c r="AM130" s="12">
        <f t="shared" si="21"/>
        <v>21.5</v>
      </c>
      <c r="AN130" s="12">
        <f t="shared" si="21"/>
        <v>7.7</v>
      </c>
      <c r="AO130" s="12">
        <f t="shared" si="19"/>
        <v>24.3</v>
      </c>
      <c r="AP130" s="12">
        <f t="shared" si="19"/>
        <v>59.099999999999994</v>
      </c>
      <c r="AQ130" s="12">
        <f t="shared" si="19"/>
        <v>91.100000000000009</v>
      </c>
      <c r="AR130" s="12"/>
      <c r="AS130" s="12">
        <f t="shared" si="22"/>
        <v>37</v>
      </c>
      <c r="AT130" s="12">
        <f t="shared" si="22"/>
        <v>60.699999999999996</v>
      </c>
      <c r="AU130" s="12">
        <f t="shared" si="22"/>
        <v>8.7999999999999989</v>
      </c>
      <c r="AV130" s="12">
        <f t="shared" si="20"/>
        <v>96.1</v>
      </c>
      <c r="AW130" s="12">
        <f t="shared" si="20"/>
        <v>32</v>
      </c>
      <c r="AX130" s="12">
        <f t="shared" si="20"/>
        <v>93.300000000000011</v>
      </c>
      <c r="AY130" s="12"/>
      <c r="AZ130" s="12">
        <f t="shared" si="14"/>
        <v>1.2000000000000028</v>
      </c>
      <c r="BA130" s="12">
        <f t="shared" si="15"/>
        <v>58.1</v>
      </c>
      <c r="BB130" s="12"/>
      <c r="BC130" s="12">
        <f t="shared" si="16"/>
        <v>81.2</v>
      </c>
      <c r="BD130" s="12">
        <f t="shared" si="17"/>
        <v>66.8</v>
      </c>
      <c r="BE130" s="12">
        <f t="shared" si="18"/>
        <v>5</v>
      </c>
    </row>
    <row r="131" spans="1:57" ht="15.75" customHeight="1">
      <c r="A131" s="1" t="s">
        <v>195</v>
      </c>
      <c r="B131" s="3" t="s">
        <v>99</v>
      </c>
      <c r="C131" s="4" t="s">
        <v>8</v>
      </c>
      <c r="D131" s="4">
        <v>36</v>
      </c>
      <c r="E131" s="4">
        <v>423</v>
      </c>
      <c r="F131" s="4">
        <v>36</v>
      </c>
      <c r="G131" s="4">
        <v>423</v>
      </c>
      <c r="H131" s="4">
        <v>0.39500000000000002</v>
      </c>
      <c r="I131" s="4">
        <v>12.6</v>
      </c>
      <c r="J131" s="4"/>
      <c r="K131" s="4">
        <v>0.70699999999999996</v>
      </c>
      <c r="L131" s="4">
        <v>0.13200000000000001</v>
      </c>
      <c r="M131" s="4">
        <v>0.36099999999999999</v>
      </c>
      <c r="N131" s="4">
        <v>0.17100000000000001</v>
      </c>
      <c r="O131" s="4">
        <v>4.3999999999999997E-2</v>
      </c>
      <c r="P131" s="4">
        <v>0.29299999999999998</v>
      </c>
      <c r="Q131" s="4"/>
      <c r="R131" s="4">
        <v>0.45500000000000002</v>
      </c>
      <c r="S131" s="4">
        <v>0.59299999999999997</v>
      </c>
      <c r="T131" s="4">
        <v>0.432</v>
      </c>
      <c r="U131" s="4">
        <v>0.42899999999999999</v>
      </c>
      <c r="V131" s="4">
        <v>0.33300000000000002</v>
      </c>
      <c r="W131" s="4">
        <v>0.25</v>
      </c>
      <c r="X131" s="4"/>
      <c r="Y131" s="4">
        <v>0.51500000000000001</v>
      </c>
      <c r="Z131" s="4">
        <v>0.8</v>
      </c>
      <c r="AA131" s="4"/>
      <c r="AB131" s="4">
        <v>0.317</v>
      </c>
      <c r="AC131" s="4">
        <v>0.21099999999999999</v>
      </c>
      <c r="AD131" s="10">
        <f t="shared" si="12"/>
        <v>0.59850500000000006</v>
      </c>
      <c r="AE131" s="9"/>
      <c r="AF131" s="9"/>
      <c r="AG131" s="12">
        <f t="shared" si="13"/>
        <v>47.5</v>
      </c>
      <c r="AH131" s="12">
        <f t="shared" si="13"/>
        <v>29.799999999999997</v>
      </c>
      <c r="AI131" s="12">
        <f t="shared" si="13"/>
        <v>25.4</v>
      </c>
      <c r="AJ131" s="12">
        <f t="shared" si="13"/>
        <v>37.5</v>
      </c>
      <c r="AK131" s="12"/>
      <c r="AL131" s="12">
        <f t="shared" si="21"/>
        <v>70.099999999999994</v>
      </c>
      <c r="AM131" s="12">
        <f t="shared" si="21"/>
        <v>27.6</v>
      </c>
      <c r="AN131" s="12">
        <f t="shared" si="21"/>
        <v>81.2</v>
      </c>
      <c r="AO131" s="12">
        <f t="shared" si="19"/>
        <v>92.800000000000011</v>
      </c>
      <c r="AP131" s="12">
        <f t="shared" si="19"/>
        <v>56.3</v>
      </c>
      <c r="AQ131" s="12">
        <f t="shared" si="19"/>
        <v>29.2</v>
      </c>
      <c r="AR131" s="12"/>
      <c r="AS131" s="12">
        <f t="shared" si="22"/>
        <v>20.399999999999999</v>
      </c>
      <c r="AT131" s="12">
        <f t="shared" si="22"/>
        <v>23.7</v>
      </c>
      <c r="AU131" s="12">
        <f t="shared" si="22"/>
        <v>45.800000000000004</v>
      </c>
      <c r="AV131" s="12">
        <f t="shared" si="20"/>
        <v>67.900000000000006</v>
      </c>
      <c r="AW131" s="12">
        <f t="shared" si="20"/>
        <v>45.800000000000004</v>
      </c>
      <c r="AX131" s="12">
        <f t="shared" si="20"/>
        <v>17.599999999999998</v>
      </c>
      <c r="AY131" s="12"/>
      <c r="AZ131" s="12">
        <f t="shared" si="14"/>
        <v>65.8</v>
      </c>
      <c r="BA131" s="12">
        <f t="shared" si="15"/>
        <v>77.400000000000006</v>
      </c>
      <c r="BB131" s="12"/>
      <c r="BC131" s="12">
        <f t="shared" si="16"/>
        <v>79.5</v>
      </c>
      <c r="BD131" s="12">
        <f t="shared" si="17"/>
        <v>18.7</v>
      </c>
      <c r="BE131" s="12">
        <f t="shared" si="18"/>
        <v>77.400000000000006</v>
      </c>
    </row>
    <row r="132" spans="1:57" ht="15.75" customHeight="1">
      <c r="A132" s="1" t="s">
        <v>217</v>
      </c>
      <c r="B132" s="3" t="s">
        <v>137</v>
      </c>
      <c r="C132" s="4" t="s">
        <v>8</v>
      </c>
      <c r="D132" s="4">
        <v>37</v>
      </c>
      <c r="E132" s="4">
        <v>417</v>
      </c>
      <c r="F132" s="4">
        <v>37</v>
      </c>
      <c r="G132" s="4">
        <v>417</v>
      </c>
      <c r="H132" s="4">
        <v>0.37</v>
      </c>
      <c r="I132" s="4">
        <v>20.2</v>
      </c>
      <c r="J132" s="4"/>
      <c r="K132" s="4">
        <v>0.25</v>
      </c>
      <c r="L132" s="4">
        <v>0.13</v>
      </c>
      <c r="M132" s="4">
        <v>0.12</v>
      </c>
      <c r="N132" s="4">
        <v>0</v>
      </c>
      <c r="O132" s="4">
        <v>0</v>
      </c>
      <c r="P132" s="4">
        <v>0.75</v>
      </c>
      <c r="Q132" s="4"/>
      <c r="R132" s="4">
        <v>0.435</v>
      </c>
      <c r="S132" s="4">
        <v>0.75</v>
      </c>
      <c r="T132" s="4">
        <v>9.0999999999999998E-2</v>
      </c>
      <c r="U132" s="4">
        <v>0</v>
      </c>
      <c r="V132" s="4">
        <v>0</v>
      </c>
      <c r="W132" s="4">
        <v>0.34799999999999998</v>
      </c>
      <c r="X132" s="4"/>
      <c r="Y132" s="4">
        <v>0.6</v>
      </c>
      <c r="Z132" s="4">
        <v>0.91700000000000004</v>
      </c>
      <c r="AA132" s="4"/>
      <c r="AB132" s="4">
        <v>0.17399999999999999</v>
      </c>
      <c r="AC132" s="4">
        <v>8.3000000000000004E-2</v>
      </c>
      <c r="AD132" s="10">
        <f t="shared" si="12"/>
        <v>0.83775000000000011</v>
      </c>
      <c r="AE132" s="9"/>
      <c r="AF132" s="9"/>
      <c r="AG132" s="12">
        <f t="shared" si="13"/>
        <v>51.300000000000004</v>
      </c>
      <c r="AH132" s="12">
        <f t="shared" si="13"/>
        <v>29.2</v>
      </c>
      <c r="AI132" s="12">
        <f t="shared" si="13"/>
        <v>15.4</v>
      </c>
      <c r="AJ132" s="12">
        <f t="shared" ref="AJ132:AJ176" si="23">(PERCENTRANK(I$4:I$298,I132))*100</f>
        <v>95</v>
      </c>
      <c r="AK132" s="12"/>
      <c r="AL132" s="12">
        <f t="shared" si="21"/>
        <v>2.1999999999999997</v>
      </c>
      <c r="AM132" s="12">
        <f t="shared" si="21"/>
        <v>27</v>
      </c>
      <c r="AN132" s="12">
        <f t="shared" si="21"/>
        <v>8.2000000000000011</v>
      </c>
      <c r="AO132" s="12">
        <f t="shared" si="19"/>
        <v>0</v>
      </c>
      <c r="AP132" s="12">
        <f t="shared" si="19"/>
        <v>0</v>
      </c>
      <c r="AQ132" s="12">
        <f t="shared" si="19"/>
        <v>97.7</v>
      </c>
      <c r="AR132" s="12"/>
      <c r="AS132" s="12">
        <f t="shared" si="22"/>
        <v>16</v>
      </c>
      <c r="AT132" s="12">
        <f t="shared" si="22"/>
        <v>77.3</v>
      </c>
      <c r="AU132" s="12">
        <f t="shared" si="22"/>
        <v>0</v>
      </c>
      <c r="AV132" s="12">
        <f t="shared" si="20"/>
        <v>0</v>
      </c>
      <c r="AW132" s="12">
        <f t="shared" si="20"/>
        <v>0</v>
      </c>
      <c r="AX132" s="12">
        <f t="shared" si="20"/>
        <v>59.099999999999994</v>
      </c>
      <c r="AY132" s="12"/>
      <c r="AZ132" s="12">
        <f t="shared" si="14"/>
        <v>53.599999999999994</v>
      </c>
      <c r="BA132" s="12">
        <f t="shared" si="15"/>
        <v>59.2</v>
      </c>
      <c r="BB132" s="12"/>
      <c r="BC132" s="12">
        <f t="shared" si="16"/>
        <v>43.6</v>
      </c>
      <c r="BD132" s="12">
        <f t="shared" si="17"/>
        <v>11</v>
      </c>
      <c r="BE132" s="12">
        <f t="shared" si="18"/>
        <v>25.5</v>
      </c>
    </row>
    <row r="133" spans="1:57" ht="15.75" customHeight="1">
      <c r="A133" s="1" t="s">
        <v>216</v>
      </c>
      <c r="B133" s="3" t="s">
        <v>107</v>
      </c>
      <c r="C133" s="4" t="s">
        <v>85</v>
      </c>
      <c r="D133" s="4">
        <v>35</v>
      </c>
      <c r="E133" s="4">
        <v>414</v>
      </c>
      <c r="F133" s="4">
        <v>35</v>
      </c>
      <c r="G133" s="4">
        <v>414</v>
      </c>
      <c r="H133" s="4">
        <v>0.47499999999999998</v>
      </c>
      <c r="I133" s="4">
        <v>6.4</v>
      </c>
      <c r="J133" s="4"/>
      <c r="K133" s="4">
        <v>0.95</v>
      </c>
      <c r="L133" s="4">
        <v>0.35599999999999998</v>
      </c>
      <c r="M133" s="4">
        <v>0.41599999999999998</v>
      </c>
      <c r="N133" s="4">
        <v>0.109</v>
      </c>
      <c r="O133" s="4">
        <v>6.9000000000000006E-2</v>
      </c>
      <c r="P133" s="4">
        <v>0.05</v>
      </c>
      <c r="Q133" s="4"/>
      <c r="R133" s="4">
        <v>0.47899999999999998</v>
      </c>
      <c r="S133" s="4">
        <v>0.69399999999999995</v>
      </c>
      <c r="T133" s="4">
        <v>0.38100000000000001</v>
      </c>
      <c r="U133" s="4">
        <v>0.36399999999999999</v>
      </c>
      <c r="V133" s="4">
        <v>0.14299999999999999</v>
      </c>
      <c r="W133" s="4">
        <v>0.4</v>
      </c>
      <c r="X133" s="4"/>
      <c r="Y133" s="4">
        <v>0.73899999999999999</v>
      </c>
      <c r="Z133" s="4">
        <v>1</v>
      </c>
      <c r="AA133" s="4"/>
      <c r="AB133" s="4">
        <v>0.2</v>
      </c>
      <c r="AC133" s="4">
        <v>0</v>
      </c>
      <c r="AD133" s="10">
        <f t="shared" ref="AD133:AD181" si="24">(K133*Y133+P133*Z133)</f>
        <v>0.75205</v>
      </c>
      <c r="AE133" s="9"/>
      <c r="AF133" s="9"/>
      <c r="AG133" s="12">
        <f t="shared" ref="AG133:AI148" si="25">(PERCENTRANK(F$4:F$298,F133))*100</f>
        <v>44.7</v>
      </c>
      <c r="AH133" s="12">
        <f t="shared" si="25"/>
        <v>28.7</v>
      </c>
      <c r="AI133" s="12">
        <f t="shared" si="25"/>
        <v>70.7</v>
      </c>
      <c r="AJ133" s="12">
        <f t="shared" si="23"/>
        <v>7.1</v>
      </c>
      <c r="AK133" s="12"/>
      <c r="AL133" s="12">
        <f t="shared" si="21"/>
        <v>92.2</v>
      </c>
      <c r="AM133" s="12">
        <f t="shared" si="21"/>
        <v>86.1</v>
      </c>
      <c r="AN133" s="12">
        <f t="shared" si="21"/>
        <v>90.600000000000009</v>
      </c>
      <c r="AO133" s="12">
        <f t="shared" si="19"/>
        <v>75.099999999999994</v>
      </c>
      <c r="AP133" s="12">
        <f t="shared" si="19"/>
        <v>75.599999999999994</v>
      </c>
      <c r="AQ133" s="12">
        <f t="shared" si="19"/>
        <v>7.7</v>
      </c>
      <c r="AR133" s="12"/>
      <c r="AS133" s="12">
        <f t="shared" si="22"/>
        <v>34.799999999999997</v>
      </c>
      <c r="AT133" s="12">
        <f t="shared" si="22"/>
        <v>59.599999999999994</v>
      </c>
      <c r="AU133" s="12">
        <f t="shared" si="22"/>
        <v>24.3</v>
      </c>
      <c r="AV133" s="12">
        <f t="shared" si="20"/>
        <v>51.9</v>
      </c>
      <c r="AW133" s="12">
        <f t="shared" si="20"/>
        <v>24.8</v>
      </c>
      <c r="AX133" s="12">
        <f t="shared" si="20"/>
        <v>86.1</v>
      </c>
      <c r="AY133" s="12"/>
      <c r="AZ133" s="12">
        <f t="shared" ref="AZ133:AZ176" si="26">100-(PERCENTRANK(Y$4:Y$298,Y133))*100</f>
        <v>24.900000000000006</v>
      </c>
      <c r="BA133" s="12">
        <f t="shared" ref="BA133:BA176" si="27">100-(PERCENTRANK(Z$4:Z$298,Z133))*100</f>
        <v>33.799999999999997</v>
      </c>
      <c r="BB133" s="12"/>
      <c r="BC133" s="12">
        <f t="shared" ref="BC133:BC176" si="28">(PERCENTRANK(AB$4:AB$298,AB133))*100</f>
        <v>56.899999999999991</v>
      </c>
      <c r="BD133" s="12">
        <f t="shared" ref="BD133:BD176" si="29">(PERCENTRANK(AC$4:AC$298,AC133))*100</f>
        <v>0</v>
      </c>
      <c r="BE133" s="12">
        <f t="shared" ref="BE133:BE176" si="30">100-(PERCENTRANK(AD$4:AD$298,AD133))*100</f>
        <v>44.8</v>
      </c>
    </row>
    <row r="134" spans="1:57" ht="15.75" customHeight="1">
      <c r="A134" s="1" t="s">
        <v>273</v>
      </c>
      <c r="B134" s="3" t="s">
        <v>96</v>
      </c>
      <c r="C134" s="4" t="s">
        <v>85</v>
      </c>
      <c r="D134" s="4">
        <v>13</v>
      </c>
      <c r="E134" s="4">
        <v>397</v>
      </c>
      <c r="F134" s="4">
        <v>13</v>
      </c>
      <c r="G134" s="4">
        <v>397</v>
      </c>
      <c r="H134" s="4">
        <v>0.5</v>
      </c>
      <c r="I134" s="4">
        <v>11.8</v>
      </c>
      <c r="J134" s="4"/>
      <c r="K134" s="4">
        <v>0.72699999999999998</v>
      </c>
      <c r="L134" s="4">
        <v>0.19800000000000001</v>
      </c>
      <c r="M134" s="4">
        <v>0.36</v>
      </c>
      <c r="N134" s="4">
        <v>0.11</v>
      </c>
      <c r="O134" s="4">
        <v>5.8000000000000003E-2</v>
      </c>
      <c r="P134" s="4">
        <v>0.27300000000000002</v>
      </c>
      <c r="Q134" s="4"/>
      <c r="R134" s="4">
        <v>0.52</v>
      </c>
      <c r="S134" s="4">
        <v>0.64700000000000002</v>
      </c>
      <c r="T134" s="4">
        <v>0.48399999999999999</v>
      </c>
      <c r="U134" s="4">
        <v>0.57899999999999996</v>
      </c>
      <c r="V134" s="4">
        <v>0.2</v>
      </c>
      <c r="W134" s="4">
        <v>0.44700000000000001</v>
      </c>
      <c r="X134" s="4"/>
      <c r="Y134" s="4">
        <v>0.78500000000000003</v>
      </c>
      <c r="Z134" s="4">
        <v>0.95199999999999996</v>
      </c>
      <c r="AA134" s="4"/>
      <c r="AB134" s="4">
        <v>0.17</v>
      </c>
      <c r="AC134" s="4">
        <v>0.625</v>
      </c>
      <c r="AD134" s="10">
        <f t="shared" si="24"/>
        <v>0.83059099999999997</v>
      </c>
      <c r="AE134" s="9"/>
      <c r="AF134" s="9"/>
      <c r="AG134" s="12">
        <f t="shared" si="25"/>
        <v>4.3999999999999995</v>
      </c>
      <c r="AH134" s="12">
        <f t="shared" si="25"/>
        <v>28.1</v>
      </c>
      <c r="AI134" s="12">
        <f t="shared" si="25"/>
        <v>79.5</v>
      </c>
      <c r="AJ134" s="12">
        <f t="shared" si="23"/>
        <v>29.2</v>
      </c>
      <c r="AK134" s="12"/>
      <c r="AL134" s="12">
        <f t="shared" si="21"/>
        <v>74</v>
      </c>
      <c r="AM134" s="12">
        <f t="shared" si="21"/>
        <v>50.8</v>
      </c>
      <c r="AN134" s="12">
        <f t="shared" si="21"/>
        <v>80.600000000000009</v>
      </c>
      <c r="AO134" s="12">
        <f t="shared" si="19"/>
        <v>75.599999999999994</v>
      </c>
      <c r="AP134" s="12">
        <f t="shared" si="19"/>
        <v>69</v>
      </c>
      <c r="AQ134" s="12">
        <f t="shared" si="19"/>
        <v>25.900000000000002</v>
      </c>
      <c r="AR134" s="12"/>
      <c r="AS134" s="12">
        <f t="shared" si="22"/>
        <v>54.6</v>
      </c>
      <c r="AT134" s="12">
        <f t="shared" si="22"/>
        <v>39.700000000000003</v>
      </c>
      <c r="AU134" s="12">
        <f t="shared" si="22"/>
        <v>67.400000000000006</v>
      </c>
      <c r="AV134" s="12">
        <f t="shared" si="20"/>
        <v>91.7</v>
      </c>
      <c r="AW134" s="12">
        <f t="shared" si="20"/>
        <v>27.6</v>
      </c>
      <c r="AX134" s="12">
        <f t="shared" si="20"/>
        <v>95</v>
      </c>
      <c r="AY134" s="12"/>
      <c r="AZ134" s="12">
        <f t="shared" si="26"/>
        <v>16.100000000000009</v>
      </c>
      <c r="BA134" s="12">
        <f t="shared" si="27"/>
        <v>44.8</v>
      </c>
      <c r="BB134" s="12"/>
      <c r="BC134" s="12">
        <f t="shared" si="28"/>
        <v>41.4</v>
      </c>
      <c r="BD134" s="12">
        <f t="shared" si="29"/>
        <v>91.100000000000009</v>
      </c>
      <c r="BE134" s="12">
        <f t="shared" si="30"/>
        <v>26.599999999999994</v>
      </c>
    </row>
    <row r="135" spans="1:57" ht="15.75" customHeight="1">
      <c r="A135" s="1" t="s">
        <v>229</v>
      </c>
      <c r="B135" s="3" t="s">
        <v>131</v>
      </c>
      <c r="C135" s="4" t="s">
        <v>8</v>
      </c>
      <c r="D135" s="4">
        <v>29</v>
      </c>
      <c r="E135" s="4">
        <v>392</v>
      </c>
      <c r="F135" s="4">
        <v>29</v>
      </c>
      <c r="G135" s="4">
        <v>392</v>
      </c>
      <c r="H135" s="4">
        <v>0.433</v>
      </c>
      <c r="I135" s="4">
        <v>8.1</v>
      </c>
      <c r="J135" s="4"/>
      <c r="K135" s="4">
        <v>0.79800000000000004</v>
      </c>
      <c r="L135" s="4">
        <v>0.48099999999999998</v>
      </c>
      <c r="M135" s="4">
        <v>0.26900000000000002</v>
      </c>
      <c r="N135" s="4">
        <v>1.9E-2</v>
      </c>
      <c r="O135" s="4">
        <v>2.9000000000000001E-2</v>
      </c>
      <c r="P135" s="4">
        <v>0.20200000000000001</v>
      </c>
      <c r="Q135" s="4"/>
      <c r="R135" s="4">
        <v>0.53</v>
      </c>
      <c r="S135" s="4">
        <v>0.6</v>
      </c>
      <c r="T135" s="4">
        <v>0.42899999999999999</v>
      </c>
      <c r="U135" s="4">
        <v>0.5</v>
      </c>
      <c r="V135" s="4">
        <v>0.33300000000000002</v>
      </c>
      <c r="W135" s="4">
        <v>4.8000000000000001E-2</v>
      </c>
      <c r="X135" s="4"/>
      <c r="Y135" s="4">
        <v>0.88600000000000001</v>
      </c>
      <c r="Z135" s="4">
        <v>0</v>
      </c>
      <c r="AA135" s="4"/>
      <c r="AB135" s="4">
        <v>0.38100000000000001</v>
      </c>
      <c r="AC135" s="4">
        <v>0.125</v>
      </c>
      <c r="AD135" s="10">
        <f t="shared" si="24"/>
        <v>0.7070280000000001</v>
      </c>
      <c r="AE135" s="9"/>
      <c r="AF135" s="9"/>
      <c r="AG135" s="12">
        <f t="shared" si="25"/>
        <v>29.799999999999997</v>
      </c>
      <c r="AH135" s="12">
        <f t="shared" si="25"/>
        <v>27.6</v>
      </c>
      <c r="AI135" s="12">
        <f t="shared" si="25"/>
        <v>45.300000000000004</v>
      </c>
      <c r="AJ135" s="12">
        <f t="shared" si="23"/>
        <v>13.200000000000001</v>
      </c>
      <c r="AK135" s="12"/>
      <c r="AL135" s="12">
        <f t="shared" si="21"/>
        <v>83.899999999999991</v>
      </c>
      <c r="AM135" s="12">
        <f t="shared" si="21"/>
        <v>94.399999999999991</v>
      </c>
      <c r="AN135" s="12">
        <f t="shared" si="21"/>
        <v>56.3</v>
      </c>
      <c r="AO135" s="12">
        <f t="shared" si="19"/>
        <v>11.600000000000001</v>
      </c>
      <c r="AP135" s="12">
        <f t="shared" si="19"/>
        <v>38.1</v>
      </c>
      <c r="AQ135" s="12">
        <f t="shared" si="19"/>
        <v>16</v>
      </c>
      <c r="AR135" s="12"/>
      <c r="AS135" s="12">
        <f t="shared" si="22"/>
        <v>60.199999999999996</v>
      </c>
      <c r="AT135" s="12">
        <f t="shared" si="22"/>
        <v>25.4</v>
      </c>
      <c r="AU135" s="12">
        <f t="shared" si="22"/>
        <v>42.5</v>
      </c>
      <c r="AV135" s="12">
        <f t="shared" si="20"/>
        <v>81.2</v>
      </c>
      <c r="AW135" s="12">
        <f t="shared" si="20"/>
        <v>45.800000000000004</v>
      </c>
      <c r="AX135" s="12">
        <f t="shared" si="20"/>
        <v>3.8</v>
      </c>
      <c r="AY135" s="12"/>
      <c r="AZ135" s="12">
        <f t="shared" si="26"/>
        <v>3.4000000000000057</v>
      </c>
      <c r="BA135" s="12">
        <f t="shared" si="27"/>
        <v>100</v>
      </c>
      <c r="BB135" s="12"/>
      <c r="BC135" s="12">
        <f t="shared" si="28"/>
        <v>85</v>
      </c>
      <c r="BD135" s="12">
        <f t="shared" si="29"/>
        <v>13.200000000000001</v>
      </c>
      <c r="BE135" s="12">
        <f t="shared" si="30"/>
        <v>57</v>
      </c>
    </row>
    <row r="136" spans="1:57" ht="15.75" customHeight="1">
      <c r="A136" s="1" t="s">
        <v>253</v>
      </c>
      <c r="B136" s="3" t="s">
        <v>140</v>
      </c>
      <c r="C136" s="4" t="s">
        <v>8</v>
      </c>
      <c r="D136" s="4">
        <v>32</v>
      </c>
      <c r="E136" s="4">
        <v>389</v>
      </c>
      <c r="F136" s="4">
        <v>32</v>
      </c>
      <c r="G136" s="4">
        <v>389</v>
      </c>
      <c r="H136" s="4">
        <v>0.34200000000000003</v>
      </c>
      <c r="I136" s="4">
        <v>12.9</v>
      </c>
      <c r="J136" s="4"/>
      <c r="K136" s="4">
        <v>0.624</v>
      </c>
      <c r="L136" s="4">
        <v>0.222</v>
      </c>
      <c r="M136" s="4">
        <v>0.29899999999999999</v>
      </c>
      <c r="N136" s="4">
        <v>0.06</v>
      </c>
      <c r="O136" s="4">
        <v>4.2999999999999997E-2</v>
      </c>
      <c r="P136" s="4">
        <v>0.376</v>
      </c>
      <c r="Q136" s="4"/>
      <c r="R136" s="4">
        <v>0.438</v>
      </c>
      <c r="S136" s="4">
        <v>0.69199999999999995</v>
      </c>
      <c r="T136" s="4">
        <v>0.314</v>
      </c>
      <c r="U136" s="4">
        <v>0.14299999999999999</v>
      </c>
      <c r="V136" s="4">
        <v>0.4</v>
      </c>
      <c r="W136" s="4">
        <v>0.182</v>
      </c>
      <c r="X136" s="4"/>
      <c r="Y136" s="4">
        <v>0.25</v>
      </c>
      <c r="Z136" s="4">
        <v>0.625</v>
      </c>
      <c r="AA136" s="4"/>
      <c r="AB136" s="4">
        <v>0.25</v>
      </c>
      <c r="AC136" s="4">
        <v>9.0999999999999998E-2</v>
      </c>
      <c r="AD136" s="10">
        <f t="shared" si="24"/>
        <v>0.39100000000000001</v>
      </c>
      <c r="AE136" s="9"/>
      <c r="AF136" s="9"/>
      <c r="AG136" s="12">
        <f t="shared" si="25"/>
        <v>35.299999999999997</v>
      </c>
      <c r="AH136" s="12">
        <f t="shared" si="25"/>
        <v>27</v>
      </c>
      <c r="AI136" s="12">
        <f t="shared" si="25"/>
        <v>6.6000000000000005</v>
      </c>
      <c r="AJ136" s="12">
        <f t="shared" si="23"/>
        <v>39.700000000000003</v>
      </c>
      <c r="AK136" s="12"/>
      <c r="AL136" s="12">
        <f t="shared" si="21"/>
        <v>57.4</v>
      </c>
      <c r="AM136" s="12">
        <f t="shared" si="21"/>
        <v>59.599999999999994</v>
      </c>
      <c r="AN136" s="12">
        <f t="shared" si="21"/>
        <v>66.2</v>
      </c>
      <c r="AO136" s="12">
        <f t="shared" si="19"/>
        <v>45.800000000000004</v>
      </c>
      <c r="AP136" s="12">
        <f t="shared" si="19"/>
        <v>55.2</v>
      </c>
      <c r="AQ136" s="12">
        <f t="shared" si="19"/>
        <v>42.5</v>
      </c>
      <c r="AR136" s="12"/>
      <c r="AS136" s="12">
        <f t="shared" si="22"/>
        <v>17.100000000000001</v>
      </c>
      <c r="AT136" s="12">
        <f t="shared" si="22"/>
        <v>57.4</v>
      </c>
      <c r="AU136" s="12">
        <f t="shared" si="22"/>
        <v>11</v>
      </c>
      <c r="AV136" s="12">
        <f t="shared" si="20"/>
        <v>20.399999999999999</v>
      </c>
      <c r="AW136" s="12">
        <f t="shared" si="20"/>
        <v>62.9</v>
      </c>
      <c r="AX136" s="12">
        <f t="shared" si="20"/>
        <v>9.9</v>
      </c>
      <c r="AY136" s="12"/>
      <c r="AZ136" s="12">
        <f t="shared" si="26"/>
        <v>93.4</v>
      </c>
      <c r="BA136" s="12">
        <f t="shared" si="27"/>
        <v>90.7</v>
      </c>
      <c r="BB136" s="12"/>
      <c r="BC136" s="12">
        <f t="shared" si="28"/>
        <v>67.900000000000006</v>
      </c>
      <c r="BD136" s="12">
        <f t="shared" si="29"/>
        <v>11.600000000000001</v>
      </c>
      <c r="BE136" s="12">
        <f t="shared" si="30"/>
        <v>95.1</v>
      </c>
    </row>
    <row r="137" spans="1:57" ht="15.75" customHeight="1">
      <c r="A137" s="1" t="s">
        <v>238</v>
      </c>
      <c r="B137" s="3" t="s">
        <v>232</v>
      </c>
      <c r="C137" s="4" t="s">
        <v>8</v>
      </c>
      <c r="D137" s="4">
        <v>29</v>
      </c>
      <c r="E137" s="4">
        <v>388</v>
      </c>
      <c r="F137" s="4">
        <v>29</v>
      </c>
      <c r="G137" s="4">
        <v>388</v>
      </c>
      <c r="H137" s="4">
        <v>0.41699999999999998</v>
      </c>
      <c r="I137" s="4">
        <v>14.6</v>
      </c>
      <c r="J137" s="4"/>
      <c r="K137" s="4">
        <v>0.60299999999999998</v>
      </c>
      <c r="L137" s="4">
        <v>0.13200000000000001</v>
      </c>
      <c r="M137" s="4">
        <v>0.27800000000000002</v>
      </c>
      <c r="N137" s="4">
        <v>0.14599999999999999</v>
      </c>
      <c r="O137" s="4">
        <v>4.5999999999999999E-2</v>
      </c>
      <c r="P137" s="4">
        <v>0.39700000000000002</v>
      </c>
      <c r="Q137" s="4"/>
      <c r="R137" s="4">
        <v>0.45100000000000001</v>
      </c>
      <c r="S137" s="4">
        <v>0.4</v>
      </c>
      <c r="T137" s="4">
        <v>0.45200000000000001</v>
      </c>
      <c r="U137" s="4">
        <v>0.5</v>
      </c>
      <c r="V137" s="4">
        <v>0.42899999999999999</v>
      </c>
      <c r="W137" s="4">
        <v>0.36699999999999999</v>
      </c>
      <c r="X137" s="4"/>
      <c r="Y137" s="4">
        <v>0.14599999999999999</v>
      </c>
      <c r="Z137" s="4">
        <v>0.72699999999999998</v>
      </c>
      <c r="AA137" s="4"/>
      <c r="AB137" s="4">
        <v>0.11700000000000001</v>
      </c>
      <c r="AC137" s="4">
        <v>0.42899999999999999</v>
      </c>
      <c r="AD137" s="10">
        <f t="shared" si="24"/>
        <v>0.37665700000000002</v>
      </c>
      <c r="AE137" s="9"/>
      <c r="AF137" s="9"/>
      <c r="AG137" s="12">
        <f t="shared" si="25"/>
        <v>29.799999999999997</v>
      </c>
      <c r="AH137" s="12">
        <f t="shared" si="25"/>
        <v>26.5</v>
      </c>
      <c r="AI137" s="12">
        <f t="shared" si="25"/>
        <v>37</v>
      </c>
      <c r="AJ137" s="12">
        <f t="shared" si="23"/>
        <v>55.2</v>
      </c>
      <c r="AK137" s="12"/>
      <c r="AL137" s="12">
        <f t="shared" si="21"/>
        <v>51.300000000000004</v>
      </c>
      <c r="AM137" s="12">
        <f t="shared" si="21"/>
        <v>27.6</v>
      </c>
      <c r="AN137" s="12">
        <f t="shared" si="21"/>
        <v>60.699999999999996</v>
      </c>
      <c r="AO137" s="12">
        <f t="shared" si="19"/>
        <v>86.7</v>
      </c>
      <c r="AP137" s="12">
        <f t="shared" si="19"/>
        <v>57.4</v>
      </c>
      <c r="AQ137" s="12">
        <f t="shared" si="19"/>
        <v>48</v>
      </c>
      <c r="AR137" s="12"/>
      <c r="AS137" s="12">
        <f t="shared" si="22"/>
        <v>19.3</v>
      </c>
      <c r="AT137" s="12">
        <f t="shared" si="22"/>
        <v>4.3999999999999995</v>
      </c>
      <c r="AU137" s="12">
        <f t="shared" si="22"/>
        <v>51.300000000000004</v>
      </c>
      <c r="AV137" s="12">
        <f t="shared" si="20"/>
        <v>81.2</v>
      </c>
      <c r="AW137" s="12">
        <f t="shared" si="20"/>
        <v>73.400000000000006</v>
      </c>
      <c r="AX137" s="12">
        <f t="shared" si="20"/>
        <v>68.5</v>
      </c>
      <c r="AY137" s="12"/>
      <c r="AZ137" s="12">
        <f t="shared" si="26"/>
        <v>98.4</v>
      </c>
      <c r="BA137" s="12">
        <f t="shared" si="27"/>
        <v>84.6</v>
      </c>
      <c r="BB137" s="12"/>
      <c r="BC137" s="12">
        <f t="shared" si="28"/>
        <v>20.399999999999999</v>
      </c>
      <c r="BD137" s="12">
        <f t="shared" si="29"/>
        <v>68.5</v>
      </c>
      <c r="BE137" s="12">
        <f t="shared" si="30"/>
        <v>95.6</v>
      </c>
    </row>
    <row r="138" spans="1:57" ht="15.75" customHeight="1">
      <c r="A138" s="1" t="s">
        <v>223</v>
      </c>
      <c r="B138" s="3" t="s">
        <v>128</v>
      </c>
      <c r="C138" s="4" t="s">
        <v>88</v>
      </c>
      <c r="D138" s="4">
        <v>40</v>
      </c>
      <c r="E138" s="4">
        <v>373</v>
      </c>
      <c r="F138" s="4">
        <v>40</v>
      </c>
      <c r="G138" s="4">
        <v>373</v>
      </c>
      <c r="H138" s="4">
        <v>0.58299999999999996</v>
      </c>
      <c r="I138" s="4">
        <v>4.2</v>
      </c>
      <c r="J138" s="4"/>
      <c r="K138" s="4">
        <v>0.94</v>
      </c>
      <c r="L138" s="4">
        <v>0.64900000000000002</v>
      </c>
      <c r="M138" s="4">
        <v>0.27200000000000002</v>
      </c>
      <c r="N138" s="4">
        <v>1.2999999999999999E-2</v>
      </c>
      <c r="O138" s="4">
        <v>7.0000000000000001E-3</v>
      </c>
      <c r="P138" s="4">
        <v>0.06</v>
      </c>
      <c r="Q138" s="4"/>
      <c r="R138" s="4">
        <v>0.61299999999999999</v>
      </c>
      <c r="S138" s="4">
        <v>0.68400000000000005</v>
      </c>
      <c r="T138" s="4">
        <v>0.439</v>
      </c>
      <c r="U138" s="4">
        <v>0.5</v>
      </c>
      <c r="V138" s="4">
        <v>1</v>
      </c>
      <c r="W138" s="4">
        <v>0.111</v>
      </c>
      <c r="X138" s="4"/>
      <c r="Y138" s="4">
        <v>0.77</v>
      </c>
      <c r="Z138" s="4">
        <v>1</v>
      </c>
      <c r="AA138" s="4"/>
      <c r="AB138" s="4">
        <v>0.111</v>
      </c>
      <c r="AC138" s="4">
        <v>0</v>
      </c>
      <c r="AD138" s="10">
        <f t="shared" si="24"/>
        <v>0.78380000000000005</v>
      </c>
      <c r="AE138" s="9"/>
      <c r="AF138" s="9"/>
      <c r="AG138" s="12">
        <f t="shared" si="25"/>
        <v>72.899999999999991</v>
      </c>
      <c r="AH138" s="12">
        <f t="shared" si="25"/>
        <v>25.900000000000002</v>
      </c>
      <c r="AI138" s="12">
        <f t="shared" si="25"/>
        <v>96.6</v>
      </c>
      <c r="AJ138" s="12">
        <f t="shared" si="23"/>
        <v>2.1999999999999997</v>
      </c>
      <c r="AK138" s="12"/>
      <c r="AL138" s="12">
        <f t="shared" si="21"/>
        <v>91.7</v>
      </c>
      <c r="AM138" s="12">
        <f t="shared" si="21"/>
        <v>99.4</v>
      </c>
      <c r="AN138" s="12">
        <f t="shared" si="21"/>
        <v>58.5</v>
      </c>
      <c r="AO138" s="12">
        <f t="shared" si="19"/>
        <v>7.7</v>
      </c>
      <c r="AP138" s="12">
        <f t="shared" si="19"/>
        <v>9.3000000000000007</v>
      </c>
      <c r="AQ138" s="12">
        <f t="shared" si="19"/>
        <v>8.2000000000000011</v>
      </c>
      <c r="AR138" s="12"/>
      <c r="AS138" s="12">
        <f t="shared" si="22"/>
        <v>93.899999999999991</v>
      </c>
      <c r="AT138" s="12">
        <f t="shared" si="22"/>
        <v>55.2</v>
      </c>
      <c r="AU138" s="12">
        <f t="shared" si="22"/>
        <v>48</v>
      </c>
      <c r="AV138" s="12">
        <f t="shared" si="20"/>
        <v>81.2</v>
      </c>
      <c r="AW138" s="12">
        <f t="shared" si="20"/>
        <v>98.3</v>
      </c>
      <c r="AX138" s="12">
        <f t="shared" si="20"/>
        <v>4.9000000000000004</v>
      </c>
      <c r="AY138" s="12"/>
      <c r="AZ138" s="12">
        <f t="shared" si="26"/>
        <v>19.399999999999991</v>
      </c>
      <c r="BA138" s="12">
        <f t="shared" si="27"/>
        <v>33.799999999999997</v>
      </c>
      <c r="BB138" s="12"/>
      <c r="BC138" s="12">
        <f t="shared" si="28"/>
        <v>19.8</v>
      </c>
      <c r="BD138" s="12">
        <f t="shared" si="29"/>
        <v>0</v>
      </c>
      <c r="BE138" s="12">
        <f t="shared" si="30"/>
        <v>37.1</v>
      </c>
    </row>
    <row r="139" spans="1:57" ht="15.75" customHeight="1">
      <c r="A139" s="1" t="s">
        <v>227</v>
      </c>
      <c r="B139" s="4" t="s">
        <v>161</v>
      </c>
      <c r="C139" s="4" t="s">
        <v>85</v>
      </c>
      <c r="D139" s="4">
        <v>36</v>
      </c>
      <c r="E139" s="4">
        <v>370</v>
      </c>
      <c r="F139" s="4">
        <v>36</v>
      </c>
      <c r="G139" s="4">
        <v>370</v>
      </c>
      <c r="H139" s="4">
        <v>0.38200000000000001</v>
      </c>
      <c r="I139" s="4">
        <v>8.9</v>
      </c>
      <c r="J139" s="4"/>
      <c r="K139" s="4">
        <v>0.75</v>
      </c>
      <c r="L139" s="4">
        <v>0.34200000000000003</v>
      </c>
      <c r="M139" s="4">
        <v>0.35499999999999998</v>
      </c>
      <c r="N139" s="4">
        <v>3.9E-2</v>
      </c>
      <c r="O139" s="4">
        <v>1.2999999999999999E-2</v>
      </c>
      <c r="P139" s="4">
        <v>0.25</v>
      </c>
      <c r="Q139" s="4"/>
      <c r="R139" s="4">
        <v>0.45600000000000002</v>
      </c>
      <c r="S139" s="4">
        <v>0.65400000000000003</v>
      </c>
      <c r="T139" s="4">
        <v>0.29599999999999999</v>
      </c>
      <c r="U139" s="4">
        <v>0.33300000000000002</v>
      </c>
      <c r="V139" s="4">
        <v>0</v>
      </c>
      <c r="W139" s="4">
        <v>0.158</v>
      </c>
      <c r="X139" s="4"/>
      <c r="Y139" s="4">
        <v>0.65400000000000003</v>
      </c>
      <c r="Z139" s="4">
        <v>1</v>
      </c>
      <c r="AA139" s="4"/>
      <c r="AB139" s="4">
        <v>0.68400000000000005</v>
      </c>
      <c r="AC139" s="4">
        <v>0.23100000000000001</v>
      </c>
      <c r="AD139" s="10">
        <f t="shared" si="24"/>
        <v>0.74050000000000005</v>
      </c>
      <c r="AE139" s="9"/>
      <c r="AF139" s="9"/>
      <c r="AG139" s="12">
        <f t="shared" si="25"/>
        <v>47.5</v>
      </c>
      <c r="AH139" s="12">
        <f t="shared" si="25"/>
        <v>25.4</v>
      </c>
      <c r="AI139" s="12">
        <f t="shared" si="25"/>
        <v>20.9</v>
      </c>
      <c r="AJ139" s="12">
        <f t="shared" si="23"/>
        <v>16</v>
      </c>
      <c r="AK139" s="12"/>
      <c r="AL139" s="12">
        <f t="shared" si="21"/>
        <v>77.900000000000006</v>
      </c>
      <c r="AM139" s="12">
        <f t="shared" si="21"/>
        <v>85</v>
      </c>
      <c r="AN139" s="12">
        <f t="shared" si="21"/>
        <v>80.100000000000009</v>
      </c>
      <c r="AO139" s="12">
        <f t="shared" si="19"/>
        <v>30.3</v>
      </c>
      <c r="AP139" s="12">
        <f t="shared" si="19"/>
        <v>14.299999999999999</v>
      </c>
      <c r="AQ139" s="12">
        <f t="shared" si="19"/>
        <v>22</v>
      </c>
      <c r="AR139" s="12"/>
      <c r="AS139" s="12">
        <f t="shared" si="22"/>
        <v>22.6</v>
      </c>
      <c r="AT139" s="12">
        <f t="shared" si="22"/>
        <v>43</v>
      </c>
      <c r="AU139" s="12">
        <f t="shared" si="22"/>
        <v>8.2000000000000011</v>
      </c>
      <c r="AV139" s="12">
        <f t="shared" si="20"/>
        <v>42.5</v>
      </c>
      <c r="AW139" s="12">
        <f t="shared" si="20"/>
        <v>0</v>
      </c>
      <c r="AX139" s="12">
        <f t="shared" si="20"/>
        <v>7.1</v>
      </c>
      <c r="AY139" s="12"/>
      <c r="AZ139" s="12">
        <f t="shared" si="26"/>
        <v>43.100000000000009</v>
      </c>
      <c r="BA139" s="12">
        <f t="shared" si="27"/>
        <v>33.799999999999997</v>
      </c>
      <c r="BB139" s="12"/>
      <c r="BC139" s="12">
        <f t="shared" si="28"/>
        <v>98.8</v>
      </c>
      <c r="BD139" s="12">
        <f t="shared" si="29"/>
        <v>21.5</v>
      </c>
      <c r="BE139" s="12">
        <f t="shared" si="30"/>
        <v>47</v>
      </c>
    </row>
    <row r="140" spans="1:57" ht="15.75" customHeight="1">
      <c r="A140" s="1" t="s">
        <v>204</v>
      </c>
      <c r="B140" s="3" t="s">
        <v>128</v>
      </c>
      <c r="C140" s="4" t="s">
        <v>8</v>
      </c>
      <c r="D140" s="4">
        <v>32</v>
      </c>
      <c r="E140" s="4">
        <v>368</v>
      </c>
      <c r="F140" s="4">
        <v>32</v>
      </c>
      <c r="G140" s="4">
        <v>368</v>
      </c>
      <c r="H140" s="4">
        <v>0.35899999999999999</v>
      </c>
      <c r="I140" s="4">
        <v>18.100000000000001</v>
      </c>
      <c r="J140" s="4"/>
      <c r="K140" s="4">
        <v>0.35</v>
      </c>
      <c r="L140" s="4">
        <v>8.5000000000000006E-2</v>
      </c>
      <c r="M140" s="4">
        <v>0.222</v>
      </c>
      <c r="N140" s="4">
        <v>3.4000000000000002E-2</v>
      </c>
      <c r="O140" s="4">
        <v>8.9999999999999993E-3</v>
      </c>
      <c r="P140" s="4">
        <v>0.65</v>
      </c>
      <c r="Q140" s="4"/>
      <c r="R140" s="4">
        <v>0.34100000000000003</v>
      </c>
      <c r="S140" s="4">
        <v>0.5</v>
      </c>
      <c r="T140" s="4">
        <v>0.26900000000000002</v>
      </c>
      <c r="U140" s="4">
        <v>0.25</v>
      </c>
      <c r="V140" s="4">
        <v>1</v>
      </c>
      <c r="W140" s="4">
        <v>0.36799999999999999</v>
      </c>
      <c r="X140" s="4"/>
      <c r="Y140" s="4">
        <v>0.5</v>
      </c>
      <c r="Z140" s="4">
        <v>0.92900000000000005</v>
      </c>
      <c r="AA140" s="4"/>
      <c r="AB140" s="4">
        <v>6.6000000000000003E-2</v>
      </c>
      <c r="AC140" s="4">
        <v>0.6</v>
      </c>
      <c r="AD140" s="10">
        <f t="shared" si="24"/>
        <v>0.77885000000000004</v>
      </c>
      <c r="AE140" s="9"/>
      <c r="AF140" s="9"/>
      <c r="AG140" s="12">
        <f t="shared" si="25"/>
        <v>35.299999999999997</v>
      </c>
      <c r="AH140" s="12">
        <f t="shared" si="25"/>
        <v>24.3</v>
      </c>
      <c r="AI140" s="12">
        <f t="shared" si="25"/>
        <v>11</v>
      </c>
      <c r="AJ140" s="12">
        <f t="shared" si="23"/>
        <v>84.5</v>
      </c>
      <c r="AK140" s="12"/>
      <c r="AL140" s="12">
        <f t="shared" si="21"/>
        <v>11</v>
      </c>
      <c r="AM140" s="12">
        <f t="shared" si="21"/>
        <v>11.600000000000001</v>
      </c>
      <c r="AN140" s="12">
        <f t="shared" si="21"/>
        <v>39.200000000000003</v>
      </c>
      <c r="AO140" s="12">
        <f t="shared" si="19"/>
        <v>23.200000000000003</v>
      </c>
      <c r="AP140" s="12">
        <f t="shared" si="19"/>
        <v>10.4</v>
      </c>
      <c r="AQ140" s="12">
        <f t="shared" si="19"/>
        <v>88.9</v>
      </c>
      <c r="AR140" s="12"/>
      <c r="AS140" s="12">
        <f t="shared" si="22"/>
        <v>2.1999999999999997</v>
      </c>
      <c r="AT140" s="12">
        <f t="shared" si="22"/>
        <v>8.2000000000000011</v>
      </c>
      <c r="AU140" s="12">
        <f t="shared" si="22"/>
        <v>3.3000000000000003</v>
      </c>
      <c r="AV140" s="12">
        <f t="shared" si="20"/>
        <v>27.6</v>
      </c>
      <c r="AW140" s="12">
        <f t="shared" si="20"/>
        <v>98.3</v>
      </c>
      <c r="AX140" s="12">
        <f t="shared" si="20"/>
        <v>69</v>
      </c>
      <c r="AY140" s="12"/>
      <c r="AZ140" s="12">
        <f t="shared" si="26"/>
        <v>69.099999999999994</v>
      </c>
      <c r="BA140" s="12">
        <f t="shared" si="27"/>
        <v>54.699999999999996</v>
      </c>
      <c r="BB140" s="12"/>
      <c r="BC140" s="12">
        <f t="shared" si="28"/>
        <v>8.2000000000000011</v>
      </c>
      <c r="BD140" s="12">
        <f t="shared" si="29"/>
        <v>88.9</v>
      </c>
      <c r="BE140" s="12">
        <f t="shared" si="30"/>
        <v>38.200000000000003</v>
      </c>
    </row>
    <row r="141" spans="1:57" ht="15.75" customHeight="1">
      <c r="A141" s="1" t="s">
        <v>226</v>
      </c>
      <c r="B141" s="3" t="s">
        <v>157</v>
      </c>
      <c r="C141" s="4" t="s">
        <v>8</v>
      </c>
      <c r="D141" s="4">
        <v>36</v>
      </c>
      <c r="E141" s="4">
        <v>368</v>
      </c>
      <c r="F141" s="4">
        <v>36</v>
      </c>
      <c r="G141" s="4">
        <v>368</v>
      </c>
      <c r="H141" s="4">
        <v>0.4</v>
      </c>
      <c r="I141" s="4">
        <v>14.5</v>
      </c>
      <c r="J141" s="4"/>
      <c r="K141" s="4">
        <v>0.59099999999999997</v>
      </c>
      <c r="L141" s="4">
        <v>0.14499999999999999</v>
      </c>
      <c r="M141" s="4">
        <v>0.32700000000000001</v>
      </c>
      <c r="N141" s="4">
        <v>5.5E-2</v>
      </c>
      <c r="O141" s="4">
        <v>6.4000000000000001E-2</v>
      </c>
      <c r="P141" s="4">
        <v>0.40899999999999997</v>
      </c>
      <c r="Q141" s="4"/>
      <c r="R141" s="4">
        <v>0.50800000000000001</v>
      </c>
      <c r="S141" s="4">
        <v>0.75</v>
      </c>
      <c r="T141" s="4">
        <v>0.5</v>
      </c>
      <c r="U141" s="4">
        <v>0</v>
      </c>
      <c r="V141" s="4">
        <v>0.42899999999999999</v>
      </c>
      <c r="W141" s="4">
        <v>0.24399999999999999</v>
      </c>
      <c r="X141" s="4"/>
      <c r="Y141" s="4">
        <v>0.51500000000000001</v>
      </c>
      <c r="Z141" s="4">
        <v>1</v>
      </c>
      <c r="AA141" s="4"/>
      <c r="AB141" s="4">
        <v>0.4</v>
      </c>
      <c r="AC141" s="4">
        <v>0.27800000000000002</v>
      </c>
      <c r="AD141" s="10">
        <f t="shared" si="24"/>
        <v>0.71336500000000003</v>
      </c>
      <c r="AE141" s="9"/>
      <c r="AF141" s="9"/>
      <c r="AG141" s="12">
        <f t="shared" si="25"/>
        <v>47.5</v>
      </c>
      <c r="AH141" s="12">
        <f t="shared" si="25"/>
        <v>24.3</v>
      </c>
      <c r="AI141" s="12">
        <f t="shared" si="25"/>
        <v>28.7</v>
      </c>
      <c r="AJ141" s="12">
        <f t="shared" si="23"/>
        <v>54.1</v>
      </c>
      <c r="AK141" s="12"/>
      <c r="AL141" s="12">
        <f t="shared" si="21"/>
        <v>49.1</v>
      </c>
      <c r="AM141" s="12">
        <f t="shared" si="21"/>
        <v>33.700000000000003</v>
      </c>
      <c r="AN141" s="12">
        <f t="shared" si="21"/>
        <v>74.5</v>
      </c>
      <c r="AO141" s="12">
        <f t="shared" si="19"/>
        <v>40.300000000000004</v>
      </c>
      <c r="AP141" s="12">
        <f t="shared" si="19"/>
        <v>74.5</v>
      </c>
      <c r="AQ141" s="12">
        <f t="shared" si="19"/>
        <v>50.8</v>
      </c>
      <c r="AR141" s="12"/>
      <c r="AS141" s="12">
        <f t="shared" si="22"/>
        <v>45.300000000000004</v>
      </c>
      <c r="AT141" s="12">
        <f t="shared" si="22"/>
        <v>77.3</v>
      </c>
      <c r="AU141" s="12">
        <f t="shared" si="22"/>
        <v>74</v>
      </c>
      <c r="AV141" s="12">
        <f t="shared" si="20"/>
        <v>0</v>
      </c>
      <c r="AW141" s="12">
        <f t="shared" si="20"/>
        <v>73.400000000000006</v>
      </c>
      <c r="AX141" s="12">
        <f t="shared" si="20"/>
        <v>16</v>
      </c>
      <c r="AY141" s="12"/>
      <c r="AZ141" s="12">
        <f t="shared" si="26"/>
        <v>65.8</v>
      </c>
      <c r="BA141" s="12">
        <f t="shared" si="27"/>
        <v>33.799999999999997</v>
      </c>
      <c r="BB141" s="12"/>
      <c r="BC141" s="12">
        <f t="shared" si="28"/>
        <v>88.3</v>
      </c>
      <c r="BD141" s="12">
        <f t="shared" si="29"/>
        <v>34.200000000000003</v>
      </c>
      <c r="BE141" s="12">
        <f t="shared" si="30"/>
        <v>54.699999999999996</v>
      </c>
    </row>
    <row r="142" spans="1:57" ht="15.75" customHeight="1">
      <c r="A142" s="1" t="s">
        <v>189</v>
      </c>
      <c r="B142" s="3" t="s">
        <v>140</v>
      </c>
      <c r="C142" s="4" t="s">
        <v>8</v>
      </c>
      <c r="D142" s="4">
        <v>36</v>
      </c>
      <c r="E142" s="4">
        <v>361</v>
      </c>
      <c r="F142" s="4">
        <v>36</v>
      </c>
      <c r="G142" s="4">
        <v>361</v>
      </c>
      <c r="H142" s="4">
        <v>0.31</v>
      </c>
      <c r="I142" s="4">
        <v>12.7</v>
      </c>
      <c r="J142" s="4"/>
      <c r="K142" s="4">
        <v>0.59</v>
      </c>
      <c r="L142" s="4">
        <v>0.27</v>
      </c>
      <c r="M142" s="4">
        <v>0.25</v>
      </c>
      <c r="N142" s="4">
        <v>0.03</v>
      </c>
      <c r="O142" s="4">
        <v>0.04</v>
      </c>
      <c r="P142" s="4">
        <v>0.41</v>
      </c>
      <c r="Q142" s="4"/>
      <c r="R142" s="4">
        <v>0.39</v>
      </c>
      <c r="S142" s="4">
        <v>0.51900000000000002</v>
      </c>
      <c r="T142" s="4">
        <v>0.28000000000000003</v>
      </c>
      <c r="U142" s="4">
        <v>0</v>
      </c>
      <c r="V142" s="4">
        <v>0.5</v>
      </c>
      <c r="W142" s="4">
        <v>0.19500000000000001</v>
      </c>
      <c r="X142" s="4"/>
      <c r="Y142" s="4">
        <v>0.56499999999999995</v>
      </c>
      <c r="Z142" s="4">
        <v>1</v>
      </c>
      <c r="AA142" s="4"/>
      <c r="AB142" s="4">
        <v>0.39</v>
      </c>
      <c r="AC142" s="4">
        <v>0.25</v>
      </c>
      <c r="AD142" s="10">
        <f t="shared" si="24"/>
        <v>0.74334999999999996</v>
      </c>
      <c r="AE142" s="9"/>
      <c r="AF142" s="9"/>
      <c r="AG142" s="12">
        <f t="shared" si="25"/>
        <v>47.5</v>
      </c>
      <c r="AH142" s="12">
        <f t="shared" si="25"/>
        <v>23.7</v>
      </c>
      <c r="AI142" s="12">
        <f t="shared" si="25"/>
        <v>1.6</v>
      </c>
      <c r="AJ142" s="12">
        <f t="shared" si="23"/>
        <v>38.1</v>
      </c>
      <c r="AK142" s="12"/>
      <c r="AL142" s="12">
        <f t="shared" si="21"/>
        <v>48.6</v>
      </c>
      <c r="AM142" s="12">
        <f t="shared" si="21"/>
        <v>71.2</v>
      </c>
      <c r="AN142" s="12">
        <f t="shared" si="21"/>
        <v>50.2</v>
      </c>
      <c r="AO142" s="12">
        <f t="shared" si="19"/>
        <v>19.8</v>
      </c>
      <c r="AP142" s="12">
        <f t="shared" si="19"/>
        <v>51.300000000000004</v>
      </c>
      <c r="AQ142" s="12">
        <f t="shared" si="19"/>
        <v>51.300000000000004</v>
      </c>
      <c r="AR142" s="12"/>
      <c r="AS142" s="12">
        <f t="shared" si="22"/>
        <v>8.7999999999999989</v>
      </c>
      <c r="AT142" s="12">
        <f t="shared" si="22"/>
        <v>10.4</v>
      </c>
      <c r="AU142" s="12">
        <f t="shared" si="22"/>
        <v>6</v>
      </c>
      <c r="AV142" s="12">
        <f t="shared" si="20"/>
        <v>0</v>
      </c>
      <c r="AW142" s="12">
        <f t="shared" si="20"/>
        <v>80.100000000000009</v>
      </c>
      <c r="AX142" s="12">
        <f t="shared" si="20"/>
        <v>11.600000000000001</v>
      </c>
      <c r="AY142" s="12"/>
      <c r="AZ142" s="12">
        <f t="shared" si="26"/>
        <v>59.2</v>
      </c>
      <c r="BA142" s="12">
        <f t="shared" si="27"/>
        <v>33.799999999999997</v>
      </c>
      <c r="BB142" s="12"/>
      <c r="BC142" s="12">
        <f t="shared" si="28"/>
        <v>86.1</v>
      </c>
      <c r="BD142" s="12">
        <f t="shared" si="29"/>
        <v>23.200000000000003</v>
      </c>
      <c r="BE142" s="12">
        <f t="shared" si="30"/>
        <v>46.5</v>
      </c>
    </row>
    <row r="143" spans="1:57" ht="15.75" customHeight="1">
      <c r="A143" s="1" t="s">
        <v>135</v>
      </c>
      <c r="B143" s="3" t="s">
        <v>232</v>
      </c>
      <c r="C143" s="4" t="s">
        <v>88</v>
      </c>
      <c r="D143" s="4">
        <v>21</v>
      </c>
      <c r="E143" s="4">
        <v>348</v>
      </c>
      <c r="F143" s="4">
        <v>21</v>
      </c>
      <c r="G143" s="4">
        <v>348</v>
      </c>
      <c r="H143" s="4">
        <v>0.33</v>
      </c>
      <c r="I143" s="4">
        <v>16.399999999999999</v>
      </c>
      <c r="J143" s="4"/>
      <c r="K143" s="4">
        <v>0.45</v>
      </c>
      <c r="L143" s="4">
        <v>0.12</v>
      </c>
      <c r="M143" s="4">
        <v>0.26</v>
      </c>
      <c r="N143" s="4">
        <v>0.03</v>
      </c>
      <c r="O143" s="4">
        <v>0.04</v>
      </c>
      <c r="P143" s="4">
        <v>0.55000000000000004</v>
      </c>
      <c r="Q143" s="4"/>
      <c r="R143" s="4">
        <v>0.378</v>
      </c>
      <c r="S143" s="4">
        <v>0.58299999999999996</v>
      </c>
      <c r="T143" s="4">
        <v>0.34599999999999997</v>
      </c>
      <c r="U143" s="4">
        <v>0</v>
      </c>
      <c r="V143" s="4">
        <v>0.25</v>
      </c>
      <c r="W143" s="4">
        <v>0.29099999999999998</v>
      </c>
      <c r="X143" s="4"/>
      <c r="Y143" s="4">
        <v>0.88200000000000001</v>
      </c>
      <c r="Z143" s="4">
        <v>0.93799999999999994</v>
      </c>
      <c r="AA143" s="4"/>
      <c r="AB143" s="4">
        <v>0.218</v>
      </c>
      <c r="AC143" s="4">
        <v>0.33300000000000002</v>
      </c>
      <c r="AD143" s="10">
        <f t="shared" si="24"/>
        <v>0.91280000000000006</v>
      </c>
      <c r="AE143" s="9"/>
      <c r="AF143" s="9"/>
      <c r="AG143" s="12">
        <f t="shared" si="25"/>
        <v>18.2</v>
      </c>
      <c r="AH143" s="12">
        <f t="shared" si="25"/>
        <v>23.200000000000003</v>
      </c>
      <c r="AI143" s="12">
        <f t="shared" si="25"/>
        <v>3.3000000000000003</v>
      </c>
      <c r="AJ143" s="12">
        <f t="shared" si="23"/>
        <v>72.3</v>
      </c>
      <c r="AK143" s="12"/>
      <c r="AL143" s="12">
        <f t="shared" ref="AL143:AQ160" si="31">(PERCENTRANK(K$4:K$298,K143))*100</f>
        <v>19.8</v>
      </c>
      <c r="AM143" s="12">
        <f t="shared" si="31"/>
        <v>22</v>
      </c>
      <c r="AN143" s="12">
        <f t="shared" si="31"/>
        <v>53</v>
      </c>
      <c r="AO143" s="12">
        <f t="shared" si="31"/>
        <v>19.8</v>
      </c>
      <c r="AP143" s="12">
        <f t="shared" si="31"/>
        <v>51.300000000000004</v>
      </c>
      <c r="AQ143" s="12">
        <f t="shared" si="31"/>
        <v>80.100000000000009</v>
      </c>
      <c r="AR143" s="12"/>
      <c r="AS143" s="12">
        <f t="shared" ref="AS143:AX160" si="32">(PERCENTRANK(R$4:R$298,R143))*100</f>
        <v>5.5</v>
      </c>
      <c r="AT143" s="12">
        <f t="shared" si="32"/>
        <v>19.8</v>
      </c>
      <c r="AU143" s="12">
        <f t="shared" si="32"/>
        <v>18.7</v>
      </c>
      <c r="AV143" s="12">
        <f t="shared" si="32"/>
        <v>0</v>
      </c>
      <c r="AW143" s="12">
        <f t="shared" si="32"/>
        <v>32</v>
      </c>
      <c r="AX143" s="12">
        <f t="shared" si="32"/>
        <v>32.5</v>
      </c>
      <c r="AY143" s="12"/>
      <c r="AZ143" s="12">
        <f t="shared" si="26"/>
        <v>3.9000000000000057</v>
      </c>
      <c r="BA143" s="12">
        <f t="shared" si="27"/>
        <v>50.3</v>
      </c>
      <c r="BB143" s="12"/>
      <c r="BC143" s="12">
        <f t="shared" si="28"/>
        <v>60.699999999999996</v>
      </c>
      <c r="BD143" s="12">
        <f t="shared" si="29"/>
        <v>43</v>
      </c>
      <c r="BE143" s="12">
        <f t="shared" si="30"/>
        <v>7.7999999999999972</v>
      </c>
    </row>
    <row r="144" spans="1:57" ht="15.75" customHeight="1">
      <c r="A144" s="1" t="s">
        <v>269</v>
      </c>
      <c r="B144" s="3" t="s">
        <v>232</v>
      </c>
      <c r="C144" s="4" t="s">
        <v>8</v>
      </c>
      <c r="D144" s="4">
        <v>29</v>
      </c>
      <c r="E144" s="4">
        <v>325</v>
      </c>
      <c r="F144" s="4">
        <v>29</v>
      </c>
      <c r="G144" s="4">
        <v>325</v>
      </c>
      <c r="H144" s="4">
        <v>0.39300000000000002</v>
      </c>
      <c r="I144" s="4">
        <v>15.8</v>
      </c>
      <c r="J144" s="4"/>
      <c r="K144" s="4">
        <v>0.505</v>
      </c>
      <c r="L144" s="4">
        <v>0.121</v>
      </c>
      <c r="M144" s="4">
        <v>0.33600000000000002</v>
      </c>
      <c r="N144" s="4">
        <v>3.6999999999999998E-2</v>
      </c>
      <c r="O144" s="4">
        <v>8.9999999999999993E-3</v>
      </c>
      <c r="P144" s="4">
        <v>0.495</v>
      </c>
      <c r="Q144" s="4"/>
      <c r="R144" s="4">
        <v>0.59299999999999997</v>
      </c>
      <c r="S144" s="4">
        <v>0.61499999999999999</v>
      </c>
      <c r="T144" s="4">
        <v>0.55600000000000005</v>
      </c>
      <c r="U144" s="4">
        <v>1</v>
      </c>
      <c r="V144" s="4">
        <v>0</v>
      </c>
      <c r="W144" s="4">
        <v>0.189</v>
      </c>
      <c r="X144" s="4"/>
      <c r="Y144" s="4">
        <v>0.75</v>
      </c>
      <c r="Z144" s="4">
        <v>0.6</v>
      </c>
      <c r="AA144" s="4"/>
      <c r="AB144" s="4">
        <v>5.7000000000000002E-2</v>
      </c>
      <c r="AC144" s="4">
        <v>0</v>
      </c>
      <c r="AD144" s="10">
        <f t="shared" si="24"/>
        <v>0.67575000000000007</v>
      </c>
      <c r="AE144" s="9"/>
      <c r="AF144" s="9"/>
      <c r="AG144" s="12">
        <f t="shared" si="25"/>
        <v>29.799999999999997</v>
      </c>
      <c r="AH144" s="12">
        <f t="shared" si="25"/>
        <v>22.6</v>
      </c>
      <c r="AI144" s="12">
        <f t="shared" si="25"/>
        <v>24.3</v>
      </c>
      <c r="AJ144" s="12">
        <f t="shared" si="23"/>
        <v>66.2</v>
      </c>
      <c r="AK144" s="12"/>
      <c r="AL144" s="12">
        <f t="shared" si="31"/>
        <v>32</v>
      </c>
      <c r="AM144" s="12">
        <f t="shared" si="31"/>
        <v>23.7</v>
      </c>
      <c r="AN144" s="12">
        <f t="shared" si="31"/>
        <v>76.7</v>
      </c>
      <c r="AO144" s="12">
        <f t="shared" si="31"/>
        <v>26.5</v>
      </c>
      <c r="AP144" s="12">
        <f t="shared" si="31"/>
        <v>10.4</v>
      </c>
      <c r="AQ144" s="12">
        <f t="shared" si="31"/>
        <v>66.8</v>
      </c>
      <c r="AR144" s="12"/>
      <c r="AS144" s="12">
        <f t="shared" si="32"/>
        <v>89.5</v>
      </c>
      <c r="AT144" s="12">
        <f t="shared" si="32"/>
        <v>30.9</v>
      </c>
      <c r="AU144" s="12">
        <f t="shared" si="32"/>
        <v>90</v>
      </c>
      <c r="AV144" s="12">
        <f t="shared" si="32"/>
        <v>98.8</v>
      </c>
      <c r="AW144" s="12">
        <f t="shared" si="32"/>
        <v>0</v>
      </c>
      <c r="AX144" s="12">
        <f t="shared" si="32"/>
        <v>11</v>
      </c>
      <c r="AY144" s="12"/>
      <c r="AZ144" s="12">
        <f t="shared" si="26"/>
        <v>22.099999999999994</v>
      </c>
      <c r="BA144" s="12">
        <f t="shared" si="27"/>
        <v>91.8</v>
      </c>
      <c r="BB144" s="12"/>
      <c r="BC144" s="12">
        <f t="shared" si="28"/>
        <v>7.7</v>
      </c>
      <c r="BD144" s="12">
        <f t="shared" si="29"/>
        <v>0</v>
      </c>
      <c r="BE144" s="12">
        <f t="shared" si="30"/>
        <v>64.099999999999994</v>
      </c>
    </row>
    <row r="145" spans="1:57" ht="15.75" customHeight="1">
      <c r="A145" s="1" t="s">
        <v>218</v>
      </c>
      <c r="B145" s="3" t="s">
        <v>140</v>
      </c>
      <c r="C145" s="4" t="s">
        <v>85</v>
      </c>
      <c r="D145" s="4">
        <v>35</v>
      </c>
      <c r="E145" s="4">
        <v>324</v>
      </c>
      <c r="F145" s="4">
        <v>35</v>
      </c>
      <c r="G145" s="4">
        <v>324</v>
      </c>
      <c r="H145" s="4">
        <v>0.42899999999999999</v>
      </c>
      <c r="I145" s="4">
        <v>11.7</v>
      </c>
      <c r="J145" s="4"/>
      <c r="K145" s="4">
        <v>0.64800000000000002</v>
      </c>
      <c r="L145" s="4">
        <v>0.28599999999999998</v>
      </c>
      <c r="M145" s="4">
        <v>0.308</v>
      </c>
      <c r="N145" s="4">
        <v>5.5E-2</v>
      </c>
      <c r="O145" s="4">
        <v>0</v>
      </c>
      <c r="P145" s="4">
        <v>0.35199999999999998</v>
      </c>
      <c r="Q145" s="4"/>
      <c r="R145" s="4">
        <v>0.59299999999999997</v>
      </c>
      <c r="S145" s="4">
        <v>0.80800000000000005</v>
      </c>
      <c r="T145" s="4">
        <v>0.42899999999999999</v>
      </c>
      <c r="U145" s="4">
        <v>0.4</v>
      </c>
      <c r="V145" s="4">
        <v>0</v>
      </c>
      <c r="W145" s="4">
        <v>0.125</v>
      </c>
      <c r="X145" s="4"/>
      <c r="Y145" s="4">
        <v>0.82899999999999996</v>
      </c>
      <c r="Z145" s="4">
        <v>1</v>
      </c>
      <c r="AA145" s="4"/>
      <c r="AB145" s="4">
        <v>0.219</v>
      </c>
      <c r="AC145" s="4">
        <v>0.14299999999999999</v>
      </c>
      <c r="AD145" s="10">
        <f t="shared" si="24"/>
        <v>0.88919199999999998</v>
      </c>
      <c r="AE145" s="9"/>
      <c r="AF145" s="9"/>
      <c r="AG145" s="12">
        <f t="shared" si="25"/>
        <v>44.7</v>
      </c>
      <c r="AH145" s="12">
        <f t="shared" si="25"/>
        <v>22</v>
      </c>
      <c r="AI145" s="12">
        <f t="shared" si="25"/>
        <v>43.6</v>
      </c>
      <c r="AJ145" s="12">
        <f t="shared" si="23"/>
        <v>28.7</v>
      </c>
      <c r="AK145" s="12"/>
      <c r="AL145" s="12">
        <f t="shared" si="31"/>
        <v>61.8</v>
      </c>
      <c r="AM145" s="12">
        <f t="shared" si="31"/>
        <v>75.099999999999994</v>
      </c>
      <c r="AN145" s="12">
        <f t="shared" si="31"/>
        <v>69</v>
      </c>
      <c r="AO145" s="12">
        <f t="shared" si="31"/>
        <v>40.300000000000004</v>
      </c>
      <c r="AP145" s="12">
        <f t="shared" si="31"/>
        <v>0</v>
      </c>
      <c r="AQ145" s="12">
        <f t="shared" si="31"/>
        <v>38.1</v>
      </c>
      <c r="AR145" s="12"/>
      <c r="AS145" s="12">
        <f t="shared" si="32"/>
        <v>89.5</v>
      </c>
      <c r="AT145" s="12">
        <f t="shared" si="32"/>
        <v>91.7</v>
      </c>
      <c r="AU145" s="12">
        <f t="shared" si="32"/>
        <v>42.5</v>
      </c>
      <c r="AV145" s="12">
        <f t="shared" si="32"/>
        <v>57.999999999999993</v>
      </c>
      <c r="AW145" s="12">
        <f t="shared" si="32"/>
        <v>0</v>
      </c>
      <c r="AX145" s="12">
        <f t="shared" si="32"/>
        <v>5.5</v>
      </c>
      <c r="AY145" s="12"/>
      <c r="AZ145" s="12">
        <f t="shared" si="26"/>
        <v>8.8999999999999915</v>
      </c>
      <c r="BA145" s="12">
        <f t="shared" si="27"/>
        <v>33.799999999999997</v>
      </c>
      <c r="BB145" s="12"/>
      <c r="BC145" s="12">
        <f t="shared" si="28"/>
        <v>61.3</v>
      </c>
      <c r="BD145" s="12">
        <f t="shared" si="29"/>
        <v>13.8</v>
      </c>
      <c r="BE145" s="12">
        <f t="shared" si="30"/>
        <v>12.200000000000003</v>
      </c>
    </row>
    <row r="146" spans="1:57" ht="15.75" customHeight="1">
      <c r="A146" s="1" t="s">
        <v>150</v>
      </c>
      <c r="B146" s="3" t="s">
        <v>93</v>
      </c>
      <c r="C146" s="4" t="s">
        <v>8</v>
      </c>
      <c r="D146" s="4">
        <v>16</v>
      </c>
      <c r="E146" s="4">
        <v>323</v>
      </c>
      <c r="F146" s="4">
        <v>16</v>
      </c>
      <c r="G146" s="4">
        <v>323</v>
      </c>
      <c r="H146" s="4">
        <v>0.42</v>
      </c>
      <c r="I146" s="4">
        <v>19</v>
      </c>
      <c r="J146" s="4"/>
      <c r="K146" s="4">
        <v>0.36099999999999999</v>
      </c>
      <c r="L146" s="4">
        <v>0.13400000000000001</v>
      </c>
      <c r="M146" s="4">
        <v>0.126</v>
      </c>
      <c r="N146" s="4">
        <v>6.7000000000000004E-2</v>
      </c>
      <c r="O146" s="4">
        <v>3.4000000000000002E-2</v>
      </c>
      <c r="P146" s="4">
        <v>0.63900000000000001</v>
      </c>
      <c r="Q146" s="4"/>
      <c r="R146" s="4">
        <v>0.41899999999999998</v>
      </c>
      <c r="S146" s="4">
        <v>0.375</v>
      </c>
      <c r="T146" s="4">
        <v>0.46700000000000003</v>
      </c>
      <c r="U146" s="4">
        <v>0.375</v>
      </c>
      <c r="V146" s="4">
        <v>0.5</v>
      </c>
      <c r="W146" s="4">
        <v>0.42099999999999999</v>
      </c>
      <c r="X146" s="4"/>
      <c r="Y146" s="4">
        <v>0.16700000000000001</v>
      </c>
      <c r="Z146" s="4">
        <v>0.75</v>
      </c>
      <c r="AA146" s="4"/>
      <c r="AB146" s="4">
        <v>0.105</v>
      </c>
      <c r="AC146" s="4">
        <v>0.5</v>
      </c>
      <c r="AD146" s="10">
        <f t="shared" si="24"/>
        <v>0.53953700000000004</v>
      </c>
      <c r="AE146" s="9"/>
      <c r="AF146" s="9"/>
      <c r="AG146" s="12">
        <f t="shared" si="25"/>
        <v>8.2000000000000011</v>
      </c>
      <c r="AH146" s="12">
        <f t="shared" si="25"/>
        <v>21.5</v>
      </c>
      <c r="AI146" s="12">
        <f t="shared" si="25"/>
        <v>39.200000000000003</v>
      </c>
      <c r="AJ146" s="12">
        <f t="shared" si="23"/>
        <v>89.5</v>
      </c>
      <c r="AK146" s="12"/>
      <c r="AL146" s="12">
        <f t="shared" si="31"/>
        <v>12.1</v>
      </c>
      <c r="AM146" s="12">
        <f t="shared" si="31"/>
        <v>29.2</v>
      </c>
      <c r="AN146" s="12">
        <f t="shared" si="31"/>
        <v>9.9</v>
      </c>
      <c r="AO146" s="12">
        <f t="shared" si="31"/>
        <v>49.7</v>
      </c>
      <c r="AP146" s="12">
        <f t="shared" si="31"/>
        <v>44.7</v>
      </c>
      <c r="AQ146" s="12">
        <f t="shared" si="31"/>
        <v>87.8</v>
      </c>
      <c r="AR146" s="12"/>
      <c r="AS146" s="12">
        <f t="shared" si="32"/>
        <v>13.200000000000001</v>
      </c>
      <c r="AT146" s="12">
        <f t="shared" si="32"/>
        <v>3.3000000000000003</v>
      </c>
      <c r="AU146" s="12">
        <f t="shared" si="32"/>
        <v>57.999999999999993</v>
      </c>
      <c r="AV146" s="12">
        <f t="shared" si="32"/>
        <v>52.400000000000006</v>
      </c>
      <c r="AW146" s="12">
        <f t="shared" si="32"/>
        <v>80.100000000000009</v>
      </c>
      <c r="AX146" s="12">
        <f t="shared" si="32"/>
        <v>91.100000000000009</v>
      </c>
      <c r="AY146" s="12"/>
      <c r="AZ146" s="12">
        <f t="shared" si="26"/>
        <v>97.8</v>
      </c>
      <c r="BA146" s="12">
        <f t="shared" si="27"/>
        <v>81.8</v>
      </c>
      <c r="BB146" s="12"/>
      <c r="BC146" s="12">
        <f t="shared" si="28"/>
        <v>17.599999999999998</v>
      </c>
      <c r="BD146" s="12">
        <f t="shared" si="29"/>
        <v>79</v>
      </c>
      <c r="BE146" s="12">
        <f t="shared" si="30"/>
        <v>85.1</v>
      </c>
    </row>
    <row r="147" spans="1:57" ht="15.75" customHeight="1">
      <c r="A147" s="1" t="s">
        <v>239</v>
      </c>
      <c r="B147" s="3" t="s">
        <v>99</v>
      </c>
      <c r="C147" s="4" t="s">
        <v>85</v>
      </c>
      <c r="D147" s="4">
        <v>28</v>
      </c>
      <c r="E147" s="4">
        <v>319</v>
      </c>
      <c r="F147" s="4">
        <v>28</v>
      </c>
      <c r="G147" s="4">
        <v>319</v>
      </c>
      <c r="H147" s="4">
        <v>0.434</v>
      </c>
      <c r="I147" s="4">
        <v>17.100000000000001</v>
      </c>
      <c r="J147" s="4"/>
      <c r="K147" s="4">
        <v>0.35799999999999998</v>
      </c>
      <c r="L147" s="4">
        <v>0.113</v>
      </c>
      <c r="M147" s="4">
        <v>0.20799999999999999</v>
      </c>
      <c r="N147" s="4">
        <v>3.7999999999999999E-2</v>
      </c>
      <c r="O147" s="4">
        <v>0</v>
      </c>
      <c r="P147" s="4">
        <v>0.64200000000000002</v>
      </c>
      <c r="Q147" s="4"/>
      <c r="R147" s="4">
        <v>0.52600000000000002</v>
      </c>
      <c r="S147" s="4">
        <v>0.66700000000000004</v>
      </c>
      <c r="T147" s="4">
        <v>0.45500000000000002</v>
      </c>
      <c r="U147" s="4">
        <v>0.5</v>
      </c>
      <c r="V147" s="4">
        <v>0</v>
      </c>
      <c r="W147" s="4">
        <v>0.38200000000000001</v>
      </c>
      <c r="X147" s="4"/>
      <c r="Y147" s="4">
        <v>0.5</v>
      </c>
      <c r="Z147" s="4">
        <v>1</v>
      </c>
      <c r="AA147" s="4"/>
      <c r="AB147" s="4">
        <v>0.41199999999999998</v>
      </c>
      <c r="AC147" s="4">
        <v>0.214</v>
      </c>
      <c r="AD147" s="10">
        <f t="shared" si="24"/>
        <v>0.82099999999999995</v>
      </c>
      <c r="AE147" s="9"/>
      <c r="AF147" s="9"/>
      <c r="AG147" s="12">
        <f t="shared" si="25"/>
        <v>28.1</v>
      </c>
      <c r="AH147" s="12">
        <f t="shared" si="25"/>
        <v>20.9</v>
      </c>
      <c r="AI147" s="12">
        <f t="shared" si="25"/>
        <v>46.400000000000006</v>
      </c>
      <c r="AJ147" s="12">
        <f t="shared" si="23"/>
        <v>79.5</v>
      </c>
      <c r="AK147" s="12"/>
      <c r="AL147" s="12">
        <f t="shared" si="31"/>
        <v>11.600000000000001</v>
      </c>
      <c r="AM147" s="12">
        <f t="shared" si="31"/>
        <v>19.8</v>
      </c>
      <c r="AN147" s="12">
        <f t="shared" si="31"/>
        <v>35.9</v>
      </c>
      <c r="AO147" s="12">
        <f t="shared" si="31"/>
        <v>27.6</v>
      </c>
      <c r="AP147" s="12">
        <f t="shared" si="31"/>
        <v>0</v>
      </c>
      <c r="AQ147" s="12">
        <f t="shared" si="31"/>
        <v>88.3</v>
      </c>
      <c r="AR147" s="12"/>
      <c r="AS147" s="12">
        <f t="shared" si="32"/>
        <v>57.999999999999993</v>
      </c>
      <c r="AT147" s="12">
        <f t="shared" si="32"/>
        <v>46.9</v>
      </c>
      <c r="AU147" s="12">
        <f t="shared" si="32"/>
        <v>52.400000000000006</v>
      </c>
      <c r="AV147" s="12">
        <f t="shared" si="32"/>
        <v>81.2</v>
      </c>
      <c r="AW147" s="12">
        <f t="shared" si="32"/>
        <v>0</v>
      </c>
      <c r="AX147" s="12">
        <f t="shared" si="32"/>
        <v>74.5</v>
      </c>
      <c r="AY147" s="12"/>
      <c r="AZ147" s="12">
        <f t="shared" si="26"/>
        <v>69.099999999999994</v>
      </c>
      <c r="BA147" s="12">
        <f t="shared" si="27"/>
        <v>33.799999999999997</v>
      </c>
      <c r="BB147" s="12"/>
      <c r="BC147" s="12">
        <f t="shared" si="28"/>
        <v>89.5</v>
      </c>
      <c r="BD147" s="12">
        <f t="shared" si="29"/>
        <v>19.8</v>
      </c>
      <c r="BE147" s="12">
        <f t="shared" si="30"/>
        <v>28.799999999999997</v>
      </c>
    </row>
    <row r="148" spans="1:57" ht="15.75" customHeight="1">
      <c r="A148" s="1" t="s">
        <v>246</v>
      </c>
      <c r="B148" s="3" t="s">
        <v>99</v>
      </c>
      <c r="C148" s="4" t="s">
        <v>88</v>
      </c>
      <c r="D148" s="4">
        <v>30</v>
      </c>
      <c r="E148" s="4">
        <v>311</v>
      </c>
      <c r="F148" s="4">
        <v>30</v>
      </c>
      <c r="G148" s="4">
        <v>311</v>
      </c>
      <c r="H148" s="4">
        <v>0.38700000000000001</v>
      </c>
      <c r="I148" s="4">
        <v>13.6</v>
      </c>
      <c r="J148" s="4"/>
      <c r="K148" s="4">
        <v>0.54700000000000004</v>
      </c>
      <c r="L148" s="4">
        <v>0.253</v>
      </c>
      <c r="M148" s="4">
        <v>0.26700000000000002</v>
      </c>
      <c r="N148" s="4">
        <v>2.7E-2</v>
      </c>
      <c r="O148" s="4">
        <v>0</v>
      </c>
      <c r="P148" s="4">
        <v>0.45300000000000001</v>
      </c>
      <c r="Q148" s="4"/>
      <c r="R148" s="4">
        <v>0.51200000000000001</v>
      </c>
      <c r="S148" s="4">
        <v>0.84199999999999997</v>
      </c>
      <c r="T148" s="4">
        <v>0.25</v>
      </c>
      <c r="U148" s="4">
        <v>0</v>
      </c>
      <c r="V148" s="4">
        <v>0</v>
      </c>
      <c r="W148" s="4">
        <v>0.23499999999999999</v>
      </c>
      <c r="X148" s="4"/>
      <c r="Y148" s="4">
        <v>0.76200000000000001</v>
      </c>
      <c r="Z148" s="4">
        <v>1</v>
      </c>
      <c r="AA148" s="4"/>
      <c r="AB148" s="4">
        <v>0.17599999999999999</v>
      </c>
      <c r="AC148" s="4">
        <v>0.66700000000000004</v>
      </c>
      <c r="AD148" s="10">
        <f t="shared" si="24"/>
        <v>0.86981400000000009</v>
      </c>
      <c r="AE148" s="9"/>
      <c r="AF148" s="9"/>
      <c r="AG148" s="12">
        <f t="shared" si="25"/>
        <v>32</v>
      </c>
      <c r="AH148" s="12">
        <f t="shared" si="25"/>
        <v>20.399999999999999</v>
      </c>
      <c r="AI148" s="12">
        <f t="shared" si="25"/>
        <v>22.6</v>
      </c>
      <c r="AJ148" s="12">
        <f t="shared" si="23"/>
        <v>46.9</v>
      </c>
      <c r="AK148" s="12"/>
      <c r="AL148" s="12">
        <f t="shared" si="31"/>
        <v>39.700000000000003</v>
      </c>
      <c r="AM148" s="12">
        <f t="shared" si="31"/>
        <v>66.8</v>
      </c>
      <c r="AN148" s="12">
        <f t="shared" si="31"/>
        <v>54.6</v>
      </c>
      <c r="AO148" s="12">
        <f t="shared" si="31"/>
        <v>17.599999999999998</v>
      </c>
      <c r="AP148" s="12">
        <f t="shared" si="31"/>
        <v>0</v>
      </c>
      <c r="AQ148" s="12">
        <f t="shared" si="31"/>
        <v>59.599999999999994</v>
      </c>
      <c r="AR148" s="12"/>
      <c r="AS148" s="12">
        <f t="shared" si="32"/>
        <v>46.9</v>
      </c>
      <c r="AT148" s="12">
        <f t="shared" si="32"/>
        <v>93.899999999999991</v>
      </c>
      <c r="AU148" s="12">
        <f t="shared" si="32"/>
        <v>2.7</v>
      </c>
      <c r="AV148" s="12">
        <f t="shared" si="32"/>
        <v>0</v>
      </c>
      <c r="AW148" s="12">
        <f t="shared" si="32"/>
        <v>0</v>
      </c>
      <c r="AX148" s="12">
        <f t="shared" si="32"/>
        <v>14.299999999999999</v>
      </c>
      <c r="AY148" s="12"/>
      <c r="AZ148" s="12">
        <f t="shared" si="26"/>
        <v>21.599999999999994</v>
      </c>
      <c r="BA148" s="12">
        <f t="shared" si="27"/>
        <v>33.799999999999997</v>
      </c>
      <c r="BB148" s="12"/>
      <c r="BC148" s="12">
        <f t="shared" si="28"/>
        <v>45.300000000000004</v>
      </c>
      <c r="BD148" s="12">
        <f t="shared" si="29"/>
        <v>92.800000000000011</v>
      </c>
      <c r="BE148" s="12">
        <f t="shared" si="30"/>
        <v>15.5</v>
      </c>
    </row>
    <row r="149" spans="1:57" ht="15.75" customHeight="1">
      <c r="A149" s="1" t="s">
        <v>190</v>
      </c>
      <c r="B149" s="3" t="s">
        <v>240</v>
      </c>
      <c r="C149" s="4" t="s">
        <v>8</v>
      </c>
      <c r="D149" s="4">
        <v>24</v>
      </c>
      <c r="E149" s="4">
        <v>310</v>
      </c>
      <c r="F149" s="4">
        <v>24</v>
      </c>
      <c r="G149" s="4">
        <v>310</v>
      </c>
      <c r="H149" s="4">
        <v>0.35</v>
      </c>
      <c r="I149" s="4">
        <v>19.399999999999999</v>
      </c>
      <c r="J149" s="4"/>
      <c r="K149" s="4">
        <v>0.33</v>
      </c>
      <c r="L149" s="4">
        <v>0.12</v>
      </c>
      <c r="M149" s="4">
        <v>0.15</v>
      </c>
      <c r="N149" s="4">
        <v>0.03</v>
      </c>
      <c r="O149" s="4">
        <v>0.03</v>
      </c>
      <c r="P149" s="4">
        <v>0.67</v>
      </c>
      <c r="Q149" s="4"/>
      <c r="R149" s="4">
        <v>0.48499999999999999</v>
      </c>
      <c r="S149" s="4">
        <v>0.58299999999999996</v>
      </c>
      <c r="T149" s="4">
        <v>0.46700000000000003</v>
      </c>
      <c r="U149" s="4">
        <v>0.33300000000000002</v>
      </c>
      <c r="V149" s="4">
        <v>0.33300000000000002</v>
      </c>
      <c r="W149" s="4">
        <v>0.28399999999999997</v>
      </c>
      <c r="X149" s="4"/>
      <c r="Y149" s="4">
        <v>0.438</v>
      </c>
      <c r="Z149" s="4">
        <v>0.73699999999999999</v>
      </c>
      <c r="AA149" s="4"/>
      <c r="AB149" s="4">
        <v>0.14899999999999999</v>
      </c>
      <c r="AC149" s="4">
        <v>0.5</v>
      </c>
      <c r="AD149" s="10">
        <f t="shared" si="24"/>
        <v>0.63833000000000006</v>
      </c>
      <c r="AE149" s="9"/>
      <c r="AF149" s="9"/>
      <c r="AG149" s="12">
        <f t="shared" ref="AG149:AI164" si="33">(PERCENTRANK(F$4:F$298,F149))*100</f>
        <v>19.8</v>
      </c>
      <c r="AH149" s="12">
        <f t="shared" si="33"/>
        <v>19.8</v>
      </c>
      <c r="AI149" s="12">
        <f t="shared" si="33"/>
        <v>8.7999999999999989</v>
      </c>
      <c r="AJ149" s="12">
        <f t="shared" si="23"/>
        <v>92.800000000000011</v>
      </c>
      <c r="AK149" s="12"/>
      <c r="AL149" s="12">
        <f t="shared" si="31"/>
        <v>9.3000000000000007</v>
      </c>
      <c r="AM149" s="12">
        <f t="shared" si="31"/>
        <v>22</v>
      </c>
      <c r="AN149" s="12">
        <f t="shared" si="31"/>
        <v>16.5</v>
      </c>
      <c r="AO149" s="12">
        <f t="shared" si="31"/>
        <v>19.8</v>
      </c>
      <c r="AP149" s="12">
        <f t="shared" si="31"/>
        <v>39.700000000000003</v>
      </c>
      <c r="AQ149" s="12">
        <f t="shared" si="31"/>
        <v>90.600000000000009</v>
      </c>
      <c r="AR149" s="12"/>
      <c r="AS149" s="12">
        <f t="shared" si="32"/>
        <v>38.1</v>
      </c>
      <c r="AT149" s="12">
        <f t="shared" si="32"/>
        <v>19.8</v>
      </c>
      <c r="AU149" s="12">
        <f t="shared" si="32"/>
        <v>57.999999999999993</v>
      </c>
      <c r="AV149" s="12">
        <f t="shared" si="32"/>
        <v>42.5</v>
      </c>
      <c r="AW149" s="12">
        <f t="shared" si="32"/>
        <v>45.800000000000004</v>
      </c>
      <c r="AX149" s="12">
        <f t="shared" si="32"/>
        <v>29.799999999999997</v>
      </c>
      <c r="AY149" s="12"/>
      <c r="AZ149" s="12">
        <f t="shared" si="26"/>
        <v>77.400000000000006</v>
      </c>
      <c r="BA149" s="12">
        <f t="shared" si="27"/>
        <v>82.9</v>
      </c>
      <c r="BB149" s="12"/>
      <c r="BC149" s="12">
        <f t="shared" si="28"/>
        <v>30.3</v>
      </c>
      <c r="BD149" s="12">
        <f t="shared" si="29"/>
        <v>79</v>
      </c>
      <c r="BE149" s="12">
        <f t="shared" si="30"/>
        <v>71.3</v>
      </c>
    </row>
    <row r="150" spans="1:57" ht="15.75" customHeight="1">
      <c r="A150" s="1" t="s">
        <v>171</v>
      </c>
      <c r="B150" s="4" t="s">
        <v>107</v>
      </c>
      <c r="C150" s="4" t="s">
        <v>8</v>
      </c>
      <c r="D150" s="4">
        <v>20</v>
      </c>
      <c r="E150" s="4">
        <v>308</v>
      </c>
      <c r="F150" s="4">
        <v>20</v>
      </c>
      <c r="G150" s="4">
        <v>308</v>
      </c>
      <c r="H150" s="4">
        <v>0.40600000000000003</v>
      </c>
      <c r="I150" s="4">
        <v>14.1</v>
      </c>
      <c r="J150" s="4"/>
      <c r="K150" s="4">
        <v>0.67300000000000004</v>
      </c>
      <c r="L150" s="4">
        <v>0.13900000000000001</v>
      </c>
      <c r="M150" s="4">
        <v>0.28699999999999998</v>
      </c>
      <c r="N150" s="4">
        <v>0.14899999999999999</v>
      </c>
      <c r="O150" s="4">
        <v>9.9000000000000005E-2</v>
      </c>
      <c r="P150" s="4">
        <v>0.32700000000000001</v>
      </c>
      <c r="Q150" s="4"/>
      <c r="R150" s="4">
        <v>0.42599999999999999</v>
      </c>
      <c r="S150" s="4">
        <v>0.57099999999999995</v>
      </c>
      <c r="T150" s="4">
        <v>0.41399999999999998</v>
      </c>
      <c r="U150" s="4">
        <v>0.33300000000000002</v>
      </c>
      <c r="V150" s="4">
        <v>0.4</v>
      </c>
      <c r="W150" s="4">
        <v>0.36399999999999999</v>
      </c>
      <c r="X150" s="4"/>
      <c r="Y150" s="4">
        <v>0.31</v>
      </c>
      <c r="Z150" s="4">
        <v>1</v>
      </c>
      <c r="AA150" s="4"/>
      <c r="AB150" s="4">
        <v>0.27300000000000002</v>
      </c>
      <c r="AC150" s="4">
        <v>0.55600000000000005</v>
      </c>
      <c r="AD150" s="10">
        <f t="shared" si="24"/>
        <v>0.53563000000000005</v>
      </c>
      <c r="AE150" s="9"/>
      <c r="AF150" s="9"/>
      <c r="AG150" s="12">
        <f t="shared" si="33"/>
        <v>17.100000000000001</v>
      </c>
      <c r="AH150" s="12">
        <f t="shared" si="33"/>
        <v>19.3</v>
      </c>
      <c r="AI150" s="12">
        <f t="shared" si="33"/>
        <v>33.700000000000003</v>
      </c>
      <c r="AJ150" s="12">
        <f t="shared" si="23"/>
        <v>50.8</v>
      </c>
      <c r="AK150" s="12"/>
      <c r="AL150" s="12">
        <f t="shared" si="31"/>
        <v>66.8</v>
      </c>
      <c r="AM150" s="12">
        <f t="shared" si="31"/>
        <v>31.4</v>
      </c>
      <c r="AN150" s="12">
        <f t="shared" si="31"/>
        <v>62.4</v>
      </c>
      <c r="AO150" s="12">
        <f t="shared" si="31"/>
        <v>88.3</v>
      </c>
      <c r="AP150" s="12">
        <f t="shared" si="31"/>
        <v>87.8</v>
      </c>
      <c r="AQ150" s="12">
        <f t="shared" si="31"/>
        <v>32.5</v>
      </c>
      <c r="AR150" s="12"/>
      <c r="AS150" s="12">
        <f t="shared" si="32"/>
        <v>13.8</v>
      </c>
      <c r="AT150" s="12">
        <f t="shared" si="32"/>
        <v>16</v>
      </c>
      <c r="AU150" s="12">
        <f t="shared" si="32"/>
        <v>38.6</v>
      </c>
      <c r="AV150" s="12">
        <f t="shared" si="32"/>
        <v>42.5</v>
      </c>
      <c r="AW150" s="12">
        <f t="shared" si="32"/>
        <v>62.9</v>
      </c>
      <c r="AX150" s="12">
        <f t="shared" si="32"/>
        <v>66.2</v>
      </c>
      <c r="AY150" s="12"/>
      <c r="AZ150" s="12">
        <f t="shared" si="26"/>
        <v>89.6</v>
      </c>
      <c r="BA150" s="12">
        <f t="shared" si="27"/>
        <v>33.799999999999997</v>
      </c>
      <c r="BB150" s="12"/>
      <c r="BC150" s="12">
        <f t="shared" si="28"/>
        <v>72.3</v>
      </c>
      <c r="BD150" s="12">
        <f t="shared" si="29"/>
        <v>87.8</v>
      </c>
      <c r="BE150" s="12">
        <f t="shared" si="30"/>
        <v>85.7</v>
      </c>
    </row>
    <row r="151" spans="1:57" ht="15.75" customHeight="1">
      <c r="A151" s="1" t="s">
        <v>241</v>
      </c>
      <c r="B151" s="3" t="s">
        <v>96</v>
      </c>
      <c r="C151" s="4" t="s">
        <v>85</v>
      </c>
      <c r="D151" s="4">
        <v>30</v>
      </c>
      <c r="E151" s="4">
        <v>307</v>
      </c>
      <c r="F151" s="4">
        <v>30</v>
      </c>
      <c r="G151" s="4">
        <v>307</v>
      </c>
      <c r="H151" s="4">
        <v>0.47599999999999998</v>
      </c>
      <c r="I151" s="4">
        <v>4.7</v>
      </c>
      <c r="J151" s="4"/>
      <c r="K151" s="4">
        <v>0.96299999999999997</v>
      </c>
      <c r="L151" s="4">
        <v>0.48799999999999999</v>
      </c>
      <c r="M151" s="4">
        <v>0.40200000000000002</v>
      </c>
      <c r="N151" s="4">
        <v>3.6999999999999998E-2</v>
      </c>
      <c r="O151" s="4">
        <v>3.6999999999999998E-2</v>
      </c>
      <c r="P151" s="4">
        <v>3.6999999999999998E-2</v>
      </c>
      <c r="Q151" s="4"/>
      <c r="R151" s="4">
        <v>0.46800000000000003</v>
      </c>
      <c r="S151" s="4">
        <v>0.57499999999999996</v>
      </c>
      <c r="T151" s="4">
        <v>0.39400000000000002</v>
      </c>
      <c r="U151" s="4">
        <v>0.33300000000000002</v>
      </c>
      <c r="V151" s="4">
        <v>0</v>
      </c>
      <c r="W151" s="4">
        <v>0.66700000000000004</v>
      </c>
      <c r="X151" s="4"/>
      <c r="Y151" s="4">
        <v>0.64900000000000002</v>
      </c>
      <c r="Z151" s="4">
        <v>1</v>
      </c>
      <c r="AA151" s="4"/>
      <c r="AB151" s="4">
        <v>0.33300000000000002</v>
      </c>
      <c r="AC151" s="4">
        <v>1</v>
      </c>
      <c r="AD151" s="10">
        <f t="shared" si="24"/>
        <v>0.66198699999999999</v>
      </c>
      <c r="AE151" s="9"/>
      <c r="AF151" s="9"/>
      <c r="AG151" s="12">
        <f t="shared" si="33"/>
        <v>32</v>
      </c>
      <c r="AH151" s="12">
        <f t="shared" si="33"/>
        <v>18.2</v>
      </c>
      <c r="AI151" s="12">
        <f t="shared" si="33"/>
        <v>71.8</v>
      </c>
      <c r="AJ151" s="12">
        <f t="shared" si="23"/>
        <v>3.3000000000000003</v>
      </c>
      <c r="AK151" s="12"/>
      <c r="AL151" s="12">
        <f t="shared" si="31"/>
        <v>93.899999999999991</v>
      </c>
      <c r="AM151" s="12">
        <f t="shared" si="31"/>
        <v>96.1</v>
      </c>
      <c r="AN151" s="12">
        <f t="shared" si="31"/>
        <v>88.9</v>
      </c>
      <c r="AO151" s="12">
        <f t="shared" si="31"/>
        <v>26.5</v>
      </c>
      <c r="AP151" s="12">
        <f t="shared" si="31"/>
        <v>48</v>
      </c>
      <c r="AQ151" s="12">
        <f t="shared" si="31"/>
        <v>6</v>
      </c>
      <c r="AR151" s="12"/>
      <c r="AS151" s="12">
        <f t="shared" si="32"/>
        <v>26.5</v>
      </c>
      <c r="AT151" s="12">
        <f t="shared" si="32"/>
        <v>18.7</v>
      </c>
      <c r="AU151" s="12">
        <f t="shared" si="32"/>
        <v>30.3</v>
      </c>
      <c r="AV151" s="12">
        <f t="shared" si="32"/>
        <v>42.5</v>
      </c>
      <c r="AW151" s="12">
        <f t="shared" si="32"/>
        <v>0</v>
      </c>
      <c r="AX151" s="12">
        <f t="shared" si="32"/>
        <v>100</v>
      </c>
      <c r="AY151" s="12"/>
      <c r="AZ151" s="12">
        <f t="shared" si="26"/>
        <v>45.4</v>
      </c>
      <c r="BA151" s="12">
        <f t="shared" si="27"/>
        <v>33.799999999999997</v>
      </c>
      <c r="BB151" s="12"/>
      <c r="BC151" s="12">
        <f t="shared" si="28"/>
        <v>81.699999999999989</v>
      </c>
      <c r="BD151" s="12">
        <f t="shared" si="29"/>
        <v>97.2</v>
      </c>
      <c r="BE151" s="12">
        <f t="shared" si="30"/>
        <v>66.900000000000006</v>
      </c>
    </row>
    <row r="152" spans="1:57" ht="15.75" customHeight="1">
      <c r="A152" s="1" t="s">
        <v>272</v>
      </c>
      <c r="B152" s="3" t="s">
        <v>93</v>
      </c>
      <c r="C152" s="4" t="s">
        <v>8</v>
      </c>
      <c r="D152" s="4">
        <v>18</v>
      </c>
      <c r="E152" s="4">
        <v>307</v>
      </c>
      <c r="F152" s="4">
        <v>18</v>
      </c>
      <c r="G152" s="4">
        <v>307</v>
      </c>
      <c r="H152" s="4">
        <v>0.33700000000000002</v>
      </c>
      <c r="I152" s="4">
        <v>21.4</v>
      </c>
      <c r="J152" s="4"/>
      <c r="K152" s="4">
        <v>0.217</v>
      </c>
      <c r="L152" s="4">
        <v>3.3000000000000002E-2</v>
      </c>
      <c r="M152" s="4">
        <v>0.109</v>
      </c>
      <c r="N152" s="4">
        <v>5.3999999999999999E-2</v>
      </c>
      <c r="O152" s="4">
        <v>2.1999999999999999E-2</v>
      </c>
      <c r="P152" s="4">
        <v>0.78300000000000003</v>
      </c>
      <c r="Q152" s="4"/>
      <c r="R152" s="4">
        <v>0.35</v>
      </c>
      <c r="S152" s="4">
        <v>1</v>
      </c>
      <c r="T152" s="4">
        <v>0.2</v>
      </c>
      <c r="U152" s="4">
        <v>0.4</v>
      </c>
      <c r="V152" s="4">
        <v>0</v>
      </c>
      <c r="W152" s="4">
        <v>0.33300000000000002</v>
      </c>
      <c r="X152" s="4"/>
      <c r="Y152" s="4">
        <v>0.71399999999999997</v>
      </c>
      <c r="Z152" s="4">
        <v>0.91700000000000004</v>
      </c>
      <c r="AA152" s="4"/>
      <c r="AB152" s="4">
        <v>0.18099999999999999</v>
      </c>
      <c r="AC152" s="4">
        <v>0.154</v>
      </c>
      <c r="AD152" s="10">
        <f t="shared" si="24"/>
        <v>0.87294900000000009</v>
      </c>
      <c r="AE152" s="9"/>
      <c r="AF152" s="9"/>
      <c r="AG152" s="12">
        <f t="shared" si="33"/>
        <v>12.7</v>
      </c>
      <c r="AH152" s="12">
        <f t="shared" si="33"/>
        <v>18.2</v>
      </c>
      <c r="AI152" s="12">
        <f t="shared" si="33"/>
        <v>5.5</v>
      </c>
      <c r="AJ152" s="12">
        <f t="shared" si="23"/>
        <v>98.3</v>
      </c>
      <c r="AK152" s="12"/>
      <c r="AL152" s="12">
        <f t="shared" si="31"/>
        <v>1.0999999999999999</v>
      </c>
      <c r="AM152" s="12">
        <f t="shared" si="31"/>
        <v>1.6</v>
      </c>
      <c r="AN152" s="12">
        <f t="shared" si="31"/>
        <v>6</v>
      </c>
      <c r="AO152" s="12">
        <f t="shared" si="31"/>
        <v>39.700000000000003</v>
      </c>
      <c r="AP152" s="12">
        <f t="shared" si="31"/>
        <v>29.799999999999997</v>
      </c>
      <c r="AQ152" s="12">
        <f t="shared" si="31"/>
        <v>98.8</v>
      </c>
      <c r="AR152" s="12"/>
      <c r="AS152" s="12">
        <f t="shared" si="32"/>
        <v>3.3000000000000003</v>
      </c>
      <c r="AT152" s="12">
        <f t="shared" si="32"/>
        <v>98.3</v>
      </c>
      <c r="AU152" s="12">
        <f t="shared" si="32"/>
        <v>1.0999999999999999</v>
      </c>
      <c r="AV152" s="12">
        <f t="shared" si="32"/>
        <v>57.999999999999993</v>
      </c>
      <c r="AW152" s="12">
        <f t="shared" si="32"/>
        <v>0</v>
      </c>
      <c r="AX152" s="12">
        <f t="shared" si="32"/>
        <v>50.2</v>
      </c>
      <c r="AY152" s="12"/>
      <c r="AZ152" s="12">
        <f t="shared" si="26"/>
        <v>31.5</v>
      </c>
      <c r="BA152" s="12">
        <f t="shared" si="27"/>
        <v>59.2</v>
      </c>
      <c r="BB152" s="12"/>
      <c r="BC152" s="12">
        <f t="shared" si="28"/>
        <v>48.6</v>
      </c>
      <c r="BD152" s="12">
        <f t="shared" si="29"/>
        <v>15.4</v>
      </c>
      <c r="BE152" s="12">
        <f t="shared" si="30"/>
        <v>15</v>
      </c>
    </row>
    <row r="153" spans="1:57" ht="15.75" customHeight="1">
      <c r="A153" s="1" t="s">
        <v>205</v>
      </c>
      <c r="B153" s="3" t="s">
        <v>117</v>
      </c>
      <c r="C153" s="4" t="s">
        <v>85</v>
      </c>
      <c r="D153" s="4">
        <v>28</v>
      </c>
      <c r="E153" s="4">
        <v>306</v>
      </c>
      <c r="F153" s="4">
        <v>28</v>
      </c>
      <c r="G153" s="4">
        <v>306</v>
      </c>
      <c r="H153" s="4">
        <v>0.53700000000000003</v>
      </c>
      <c r="I153" s="4">
        <v>7.6</v>
      </c>
      <c r="J153" s="4"/>
      <c r="K153" s="4">
        <v>0.84199999999999997</v>
      </c>
      <c r="L153" s="4">
        <v>0.29499999999999998</v>
      </c>
      <c r="M153" s="4">
        <v>0.47399999999999998</v>
      </c>
      <c r="N153" s="4">
        <v>6.3E-2</v>
      </c>
      <c r="O153" s="4">
        <v>1.0999999999999999E-2</v>
      </c>
      <c r="P153" s="4">
        <v>0.158</v>
      </c>
      <c r="Q153" s="4"/>
      <c r="R153" s="4">
        <v>0.55000000000000004</v>
      </c>
      <c r="S153" s="4">
        <v>0.71399999999999997</v>
      </c>
      <c r="T153" s="4">
        <v>0.51100000000000001</v>
      </c>
      <c r="U153" s="4">
        <v>0.16700000000000001</v>
      </c>
      <c r="V153" s="4">
        <v>0</v>
      </c>
      <c r="W153" s="4">
        <v>0.46700000000000003</v>
      </c>
      <c r="X153" s="4"/>
      <c r="Y153" s="4">
        <v>0.77300000000000002</v>
      </c>
      <c r="Z153" s="4">
        <v>1</v>
      </c>
      <c r="AA153" s="4"/>
      <c r="AB153" s="4">
        <v>0.2</v>
      </c>
      <c r="AC153" s="4">
        <v>0.66700000000000004</v>
      </c>
      <c r="AD153" s="10">
        <f t="shared" si="24"/>
        <v>0.80886599999999997</v>
      </c>
      <c r="AE153" s="9"/>
      <c r="AF153" s="9"/>
      <c r="AG153" s="12">
        <f t="shared" si="33"/>
        <v>28.1</v>
      </c>
      <c r="AH153" s="12">
        <f t="shared" si="33"/>
        <v>17.599999999999998</v>
      </c>
      <c r="AI153" s="12">
        <f t="shared" si="33"/>
        <v>90</v>
      </c>
      <c r="AJ153" s="12">
        <f t="shared" si="23"/>
        <v>12.7</v>
      </c>
      <c r="AK153" s="12"/>
      <c r="AL153" s="12">
        <f t="shared" si="31"/>
        <v>86.7</v>
      </c>
      <c r="AM153" s="12">
        <f t="shared" si="31"/>
        <v>76.7</v>
      </c>
      <c r="AN153" s="12">
        <f t="shared" si="31"/>
        <v>96.6</v>
      </c>
      <c r="AO153" s="12">
        <f t="shared" si="31"/>
        <v>47.5</v>
      </c>
      <c r="AP153" s="12">
        <f t="shared" si="31"/>
        <v>12.1</v>
      </c>
      <c r="AQ153" s="12">
        <f t="shared" si="31"/>
        <v>13.200000000000001</v>
      </c>
      <c r="AR153" s="12"/>
      <c r="AS153" s="12">
        <f t="shared" si="32"/>
        <v>71.2</v>
      </c>
      <c r="AT153" s="12">
        <f t="shared" si="32"/>
        <v>65.100000000000009</v>
      </c>
      <c r="AU153" s="12">
        <f t="shared" si="32"/>
        <v>79.5</v>
      </c>
      <c r="AV153" s="12">
        <f t="shared" si="32"/>
        <v>22</v>
      </c>
      <c r="AW153" s="12">
        <f t="shared" si="32"/>
        <v>0</v>
      </c>
      <c r="AX153" s="12">
        <f t="shared" si="32"/>
        <v>97.2</v>
      </c>
      <c r="AY153" s="12"/>
      <c r="AZ153" s="12">
        <f t="shared" si="26"/>
        <v>18.799999999999997</v>
      </c>
      <c r="BA153" s="12">
        <f t="shared" si="27"/>
        <v>33.799999999999997</v>
      </c>
      <c r="BB153" s="12"/>
      <c r="BC153" s="12">
        <f t="shared" si="28"/>
        <v>56.899999999999991</v>
      </c>
      <c r="BD153" s="12">
        <f t="shared" si="29"/>
        <v>92.800000000000011</v>
      </c>
      <c r="BE153" s="12">
        <f t="shared" si="30"/>
        <v>31</v>
      </c>
    </row>
    <row r="154" spans="1:57" ht="15.75" customHeight="1">
      <c r="A154" s="1" t="s">
        <v>201</v>
      </c>
      <c r="B154" s="3" t="s">
        <v>107</v>
      </c>
      <c r="C154" s="4" t="s">
        <v>8</v>
      </c>
      <c r="D154" s="4">
        <v>33</v>
      </c>
      <c r="E154" s="4">
        <v>302</v>
      </c>
      <c r="F154" s="4">
        <v>33</v>
      </c>
      <c r="G154" s="4">
        <v>302</v>
      </c>
      <c r="H154" s="4">
        <v>0.33700000000000002</v>
      </c>
      <c r="I154" s="4">
        <v>16.899999999999999</v>
      </c>
      <c r="J154" s="4"/>
      <c r="K154" s="4">
        <v>0.49</v>
      </c>
      <c r="L154" s="4">
        <v>0.10199999999999999</v>
      </c>
      <c r="M154" s="4">
        <v>0.214</v>
      </c>
      <c r="N154" s="4">
        <v>0.153</v>
      </c>
      <c r="O154" s="4">
        <v>0.02</v>
      </c>
      <c r="P154" s="4">
        <v>0.51</v>
      </c>
      <c r="Q154" s="4"/>
      <c r="R154" s="4">
        <v>0.5</v>
      </c>
      <c r="S154" s="4">
        <v>0.6</v>
      </c>
      <c r="T154" s="4">
        <v>0.47599999999999998</v>
      </c>
      <c r="U154" s="4">
        <v>0.53300000000000003</v>
      </c>
      <c r="V154" s="4">
        <v>0</v>
      </c>
      <c r="W154" s="4">
        <v>0.18</v>
      </c>
      <c r="X154" s="4"/>
      <c r="Y154" s="4">
        <v>0.58299999999999996</v>
      </c>
      <c r="Z154" s="4">
        <v>1</v>
      </c>
      <c r="AA154" s="4"/>
      <c r="AB154" s="4">
        <v>0.16</v>
      </c>
      <c r="AC154" s="4">
        <v>0.375</v>
      </c>
      <c r="AD154" s="10">
        <f t="shared" si="24"/>
        <v>0.79566999999999999</v>
      </c>
      <c r="AE154" s="9"/>
      <c r="AF154" s="9"/>
      <c r="AG154" s="12">
        <f t="shared" si="33"/>
        <v>39.700000000000003</v>
      </c>
      <c r="AH154" s="12">
        <f t="shared" si="33"/>
        <v>17.100000000000001</v>
      </c>
      <c r="AI154" s="12">
        <f t="shared" si="33"/>
        <v>5.5</v>
      </c>
      <c r="AJ154" s="12">
        <f t="shared" si="23"/>
        <v>79</v>
      </c>
      <c r="AK154" s="12"/>
      <c r="AL154" s="12">
        <f t="shared" si="31"/>
        <v>26.5</v>
      </c>
      <c r="AM154" s="12">
        <f t="shared" si="31"/>
        <v>16</v>
      </c>
      <c r="AN154" s="12">
        <f t="shared" si="31"/>
        <v>38.1</v>
      </c>
      <c r="AO154" s="12">
        <f t="shared" si="31"/>
        <v>88.9</v>
      </c>
      <c r="AP154" s="12">
        <f t="shared" si="31"/>
        <v>26.5</v>
      </c>
      <c r="AQ154" s="12">
        <f t="shared" si="31"/>
        <v>73.400000000000006</v>
      </c>
      <c r="AR154" s="12"/>
      <c r="AS154" s="12">
        <f t="shared" si="32"/>
        <v>41.9</v>
      </c>
      <c r="AT154" s="12">
        <f t="shared" si="32"/>
        <v>25.4</v>
      </c>
      <c r="AU154" s="12">
        <f t="shared" si="32"/>
        <v>64</v>
      </c>
      <c r="AV154" s="12">
        <f t="shared" si="32"/>
        <v>88.3</v>
      </c>
      <c r="AW154" s="12">
        <f t="shared" si="32"/>
        <v>0</v>
      </c>
      <c r="AX154" s="12">
        <f t="shared" si="32"/>
        <v>9.3000000000000007</v>
      </c>
      <c r="AY154" s="12"/>
      <c r="AZ154" s="12">
        <f t="shared" si="26"/>
        <v>55.3</v>
      </c>
      <c r="BA154" s="12">
        <f t="shared" si="27"/>
        <v>33.799999999999997</v>
      </c>
      <c r="BB154" s="12"/>
      <c r="BC154" s="12">
        <f t="shared" si="28"/>
        <v>38.1</v>
      </c>
      <c r="BD154" s="12">
        <f t="shared" si="29"/>
        <v>55.800000000000004</v>
      </c>
      <c r="BE154" s="12">
        <f t="shared" si="30"/>
        <v>35.399999999999991</v>
      </c>
    </row>
    <row r="155" spans="1:57" ht="15.75" customHeight="1">
      <c r="A155" s="1" t="s">
        <v>255</v>
      </c>
      <c r="B155" s="3" t="s">
        <v>137</v>
      </c>
      <c r="C155" s="4" t="s">
        <v>8</v>
      </c>
      <c r="D155" s="4">
        <v>33</v>
      </c>
      <c r="E155" s="4">
        <v>300</v>
      </c>
      <c r="F155" s="4">
        <v>33</v>
      </c>
      <c r="G155" s="4">
        <v>300</v>
      </c>
      <c r="H155" s="4">
        <v>0.39400000000000002</v>
      </c>
      <c r="I155" s="4">
        <v>16</v>
      </c>
      <c r="J155" s="4"/>
      <c r="K155" s="4">
        <v>0.5</v>
      </c>
      <c r="L155" s="4">
        <v>0.13600000000000001</v>
      </c>
      <c r="M155" s="4">
        <v>0.21199999999999999</v>
      </c>
      <c r="N155" s="4">
        <v>9.0999999999999998E-2</v>
      </c>
      <c r="O155" s="4">
        <v>6.0999999999999999E-2</v>
      </c>
      <c r="P155" s="4">
        <v>0.5</v>
      </c>
      <c r="Q155" s="4"/>
      <c r="R155" s="4">
        <v>0.51500000000000001</v>
      </c>
      <c r="S155" s="4">
        <v>0.88900000000000001</v>
      </c>
      <c r="T155" s="4">
        <v>0.57099999999999995</v>
      </c>
      <c r="U155" s="4">
        <v>0.16700000000000001</v>
      </c>
      <c r="V155" s="4">
        <v>0</v>
      </c>
      <c r="W155" s="4">
        <v>0.27300000000000002</v>
      </c>
      <c r="X155" s="4"/>
      <c r="Y155" s="4">
        <v>0.64700000000000002</v>
      </c>
      <c r="Z155" s="4">
        <v>0.88900000000000001</v>
      </c>
      <c r="AA155" s="4"/>
      <c r="AB155" s="4">
        <v>0.39400000000000002</v>
      </c>
      <c r="AC155" s="4">
        <v>0.308</v>
      </c>
      <c r="AD155" s="10">
        <f t="shared" si="24"/>
        <v>0.76800000000000002</v>
      </c>
      <c r="AE155" s="9"/>
      <c r="AF155" s="9"/>
      <c r="AG155" s="12">
        <f t="shared" si="33"/>
        <v>39.700000000000003</v>
      </c>
      <c r="AH155" s="12">
        <f t="shared" si="33"/>
        <v>16.5</v>
      </c>
      <c r="AI155" s="12">
        <f t="shared" si="33"/>
        <v>24.8</v>
      </c>
      <c r="AJ155" s="12">
        <f t="shared" si="23"/>
        <v>67.900000000000006</v>
      </c>
      <c r="AK155" s="12"/>
      <c r="AL155" s="12">
        <f t="shared" si="31"/>
        <v>30.9</v>
      </c>
      <c r="AM155" s="12">
        <f t="shared" si="31"/>
        <v>29.799999999999997</v>
      </c>
      <c r="AN155" s="12">
        <f t="shared" si="31"/>
        <v>37</v>
      </c>
      <c r="AO155" s="12">
        <f t="shared" si="31"/>
        <v>65.100000000000009</v>
      </c>
      <c r="AP155" s="12">
        <f t="shared" si="31"/>
        <v>71.8</v>
      </c>
      <c r="AQ155" s="12">
        <f t="shared" si="31"/>
        <v>69</v>
      </c>
      <c r="AR155" s="12"/>
      <c r="AS155" s="12">
        <f t="shared" si="32"/>
        <v>49.7</v>
      </c>
      <c r="AT155" s="12">
        <f t="shared" si="32"/>
        <v>97.2</v>
      </c>
      <c r="AU155" s="12">
        <f t="shared" si="32"/>
        <v>93.899999999999991</v>
      </c>
      <c r="AV155" s="12">
        <f t="shared" si="32"/>
        <v>22</v>
      </c>
      <c r="AW155" s="12">
        <f t="shared" si="32"/>
        <v>0</v>
      </c>
      <c r="AX155" s="12">
        <f t="shared" si="32"/>
        <v>24.8</v>
      </c>
      <c r="AY155" s="12"/>
      <c r="AZ155" s="12">
        <f t="shared" si="26"/>
        <v>46.5</v>
      </c>
      <c r="BA155" s="12">
        <f t="shared" si="27"/>
        <v>63.6</v>
      </c>
      <c r="BB155" s="12"/>
      <c r="BC155" s="12">
        <f t="shared" si="28"/>
        <v>87.2</v>
      </c>
      <c r="BD155" s="12">
        <f t="shared" si="29"/>
        <v>41.4</v>
      </c>
      <c r="BE155" s="12">
        <f t="shared" si="30"/>
        <v>42.000000000000007</v>
      </c>
    </row>
    <row r="156" spans="1:57" ht="15.75" customHeight="1">
      <c r="A156" s="1" t="s">
        <v>275</v>
      </c>
      <c r="B156" s="3" t="s">
        <v>114</v>
      </c>
      <c r="C156" s="4" t="s">
        <v>119</v>
      </c>
      <c r="D156" s="4">
        <v>14</v>
      </c>
      <c r="E156" s="4">
        <v>286</v>
      </c>
      <c r="F156" s="4">
        <v>14</v>
      </c>
      <c r="G156" s="4">
        <v>286</v>
      </c>
      <c r="H156" s="4">
        <v>0.39800000000000002</v>
      </c>
      <c r="I156" s="4">
        <v>10.9</v>
      </c>
      <c r="J156" s="4"/>
      <c r="K156" s="4">
        <v>0.72</v>
      </c>
      <c r="L156" s="4">
        <v>0.20399999999999999</v>
      </c>
      <c r="M156" s="4">
        <v>0.38700000000000001</v>
      </c>
      <c r="N156" s="4">
        <v>0.11799999999999999</v>
      </c>
      <c r="O156" s="4">
        <v>1.0999999999999999E-2</v>
      </c>
      <c r="P156" s="4">
        <v>0.28000000000000003</v>
      </c>
      <c r="Q156" s="4"/>
      <c r="R156" s="4">
        <v>0.433</v>
      </c>
      <c r="S156" s="4">
        <v>0.47399999999999998</v>
      </c>
      <c r="T156" s="4">
        <v>0.47199999999999998</v>
      </c>
      <c r="U156" s="4">
        <v>0.182</v>
      </c>
      <c r="V156" s="4">
        <v>1</v>
      </c>
      <c r="W156" s="4">
        <v>0.308</v>
      </c>
      <c r="X156" s="4"/>
      <c r="Y156" s="4">
        <v>0.82799999999999996</v>
      </c>
      <c r="Z156" s="4">
        <v>1</v>
      </c>
      <c r="AA156" s="4"/>
      <c r="AB156" s="4">
        <v>0.154</v>
      </c>
      <c r="AC156" s="4">
        <v>0.25</v>
      </c>
      <c r="AD156" s="10">
        <f t="shared" si="24"/>
        <v>0.87615999999999994</v>
      </c>
      <c r="AE156" s="9"/>
      <c r="AF156" s="9"/>
      <c r="AG156" s="12">
        <f t="shared" si="33"/>
        <v>6</v>
      </c>
      <c r="AH156" s="12">
        <f t="shared" si="33"/>
        <v>16</v>
      </c>
      <c r="AI156" s="12">
        <f t="shared" si="33"/>
        <v>27.6</v>
      </c>
      <c r="AJ156" s="12">
        <f t="shared" si="23"/>
        <v>23.7</v>
      </c>
      <c r="AK156" s="12"/>
      <c r="AL156" s="12">
        <f t="shared" si="31"/>
        <v>73.400000000000006</v>
      </c>
      <c r="AM156" s="12">
        <f t="shared" si="31"/>
        <v>54.1</v>
      </c>
      <c r="AN156" s="12">
        <f t="shared" si="31"/>
        <v>85.6</v>
      </c>
      <c r="AO156" s="12">
        <f t="shared" si="31"/>
        <v>79.5</v>
      </c>
      <c r="AP156" s="12">
        <f t="shared" si="31"/>
        <v>12.1</v>
      </c>
      <c r="AQ156" s="12">
        <f t="shared" si="31"/>
        <v>26.5</v>
      </c>
      <c r="AR156" s="12"/>
      <c r="AS156" s="12">
        <f t="shared" si="32"/>
        <v>15.4</v>
      </c>
      <c r="AT156" s="12">
        <f t="shared" si="32"/>
        <v>6.6000000000000005</v>
      </c>
      <c r="AU156" s="12">
        <f t="shared" si="32"/>
        <v>60.699999999999996</v>
      </c>
      <c r="AV156" s="12">
        <f t="shared" si="32"/>
        <v>23.7</v>
      </c>
      <c r="AW156" s="12">
        <f t="shared" si="32"/>
        <v>98.3</v>
      </c>
      <c r="AX156" s="12">
        <f t="shared" si="32"/>
        <v>38.1</v>
      </c>
      <c r="AY156" s="12"/>
      <c r="AZ156" s="12">
        <f t="shared" si="26"/>
        <v>9.3999999999999915</v>
      </c>
      <c r="BA156" s="12">
        <f t="shared" si="27"/>
        <v>33.799999999999997</v>
      </c>
      <c r="BB156" s="12"/>
      <c r="BC156" s="12">
        <f t="shared" si="28"/>
        <v>32</v>
      </c>
      <c r="BD156" s="12">
        <f t="shared" si="29"/>
        <v>23.200000000000003</v>
      </c>
      <c r="BE156" s="12">
        <f t="shared" si="30"/>
        <v>14.400000000000006</v>
      </c>
    </row>
    <row r="157" spans="1:57" ht="15.75" customHeight="1">
      <c r="A157" s="1" t="s">
        <v>202</v>
      </c>
      <c r="B157" s="3" t="s">
        <v>117</v>
      </c>
      <c r="C157" s="4" t="s">
        <v>85</v>
      </c>
      <c r="D157" s="4">
        <v>27</v>
      </c>
      <c r="E157" s="4">
        <v>268</v>
      </c>
      <c r="F157" s="4">
        <v>27</v>
      </c>
      <c r="G157" s="4">
        <v>268</v>
      </c>
      <c r="H157" s="4">
        <v>0.27900000000000003</v>
      </c>
      <c r="I157" s="4">
        <v>20.399999999999999</v>
      </c>
      <c r="J157" s="4"/>
      <c r="K157" s="4">
        <v>0.27900000000000003</v>
      </c>
      <c r="L157" s="4">
        <v>4.3999999999999997E-2</v>
      </c>
      <c r="M157" s="4">
        <v>0.14699999999999999</v>
      </c>
      <c r="N157" s="4">
        <v>5.8999999999999997E-2</v>
      </c>
      <c r="O157" s="4">
        <v>2.9000000000000001E-2</v>
      </c>
      <c r="P157" s="4">
        <v>0.72099999999999997</v>
      </c>
      <c r="Q157" s="4"/>
      <c r="R157" s="4">
        <v>0.36799999999999999</v>
      </c>
      <c r="S157" s="4">
        <v>1</v>
      </c>
      <c r="T157" s="4">
        <v>0.4</v>
      </c>
      <c r="U157" s="4">
        <v>0</v>
      </c>
      <c r="V157" s="4">
        <v>0</v>
      </c>
      <c r="W157" s="4">
        <v>0.245</v>
      </c>
      <c r="X157" s="4"/>
      <c r="Y157" s="4">
        <v>0.71399999999999997</v>
      </c>
      <c r="Z157" s="4">
        <v>1</v>
      </c>
      <c r="AA157" s="4"/>
      <c r="AB157" s="4">
        <v>0.32700000000000001</v>
      </c>
      <c r="AC157" s="4">
        <v>0.313</v>
      </c>
      <c r="AD157" s="10">
        <f t="shared" si="24"/>
        <v>0.92020599999999997</v>
      </c>
      <c r="AE157" s="9"/>
      <c r="AF157" s="9"/>
      <c r="AG157" s="12">
        <f t="shared" si="33"/>
        <v>24.8</v>
      </c>
      <c r="AH157" s="12">
        <f t="shared" si="33"/>
        <v>15.4</v>
      </c>
      <c r="AI157" s="12">
        <f t="shared" si="33"/>
        <v>0.5</v>
      </c>
      <c r="AJ157" s="12">
        <f t="shared" si="23"/>
        <v>95.5</v>
      </c>
      <c r="AK157" s="12"/>
      <c r="AL157" s="12">
        <f t="shared" si="31"/>
        <v>4.9000000000000004</v>
      </c>
      <c r="AM157" s="12">
        <f t="shared" si="31"/>
        <v>4.3999999999999995</v>
      </c>
      <c r="AN157" s="12">
        <f t="shared" si="31"/>
        <v>14.899999999999999</v>
      </c>
      <c r="AO157" s="12">
        <f t="shared" si="31"/>
        <v>43</v>
      </c>
      <c r="AP157" s="12">
        <f t="shared" si="31"/>
        <v>38.1</v>
      </c>
      <c r="AQ157" s="12">
        <f t="shared" si="31"/>
        <v>95</v>
      </c>
      <c r="AR157" s="12"/>
      <c r="AS157" s="12">
        <f t="shared" si="32"/>
        <v>3.8</v>
      </c>
      <c r="AT157" s="12">
        <f t="shared" si="32"/>
        <v>98.3</v>
      </c>
      <c r="AU157" s="12">
        <f t="shared" si="32"/>
        <v>32.5</v>
      </c>
      <c r="AV157" s="12">
        <f t="shared" si="32"/>
        <v>0</v>
      </c>
      <c r="AW157" s="12">
        <f t="shared" si="32"/>
        <v>0</v>
      </c>
      <c r="AX157" s="12">
        <f t="shared" si="32"/>
        <v>16.5</v>
      </c>
      <c r="AY157" s="12"/>
      <c r="AZ157" s="12">
        <f t="shared" si="26"/>
        <v>31.5</v>
      </c>
      <c r="BA157" s="12">
        <f t="shared" si="27"/>
        <v>33.799999999999997</v>
      </c>
      <c r="BB157" s="12"/>
      <c r="BC157" s="12">
        <f t="shared" si="28"/>
        <v>80.600000000000009</v>
      </c>
      <c r="BD157" s="12">
        <f t="shared" si="29"/>
        <v>41.9</v>
      </c>
      <c r="BE157" s="12">
        <f t="shared" si="30"/>
        <v>6.1000000000000085</v>
      </c>
    </row>
    <row r="158" spans="1:57" ht="15.75" customHeight="1">
      <c r="A158" s="1" t="s">
        <v>266</v>
      </c>
      <c r="B158" s="3" t="s">
        <v>96</v>
      </c>
      <c r="C158" s="4" t="s">
        <v>85</v>
      </c>
      <c r="D158" s="4">
        <v>18</v>
      </c>
      <c r="E158" s="4">
        <v>261</v>
      </c>
      <c r="F158" s="4">
        <v>18</v>
      </c>
      <c r="G158" s="4">
        <v>261</v>
      </c>
      <c r="H158" s="4">
        <v>0.38500000000000001</v>
      </c>
      <c r="I158" s="4">
        <v>19</v>
      </c>
      <c r="J158" s="4"/>
      <c r="K158" s="4">
        <v>0.308</v>
      </c>
      <c r="L158" s="4">
        <v>0.108</v>
      </c>
      <c r="M158" s="4">
        <v>0.108</v>
      </c>
      <c r="N158" s="4">
        <v>4.5999999999999999E-2</v>
      </c>
      <c r="O158" s="4">
        <v>4.5999999999999999E-2</v>
      </c>
      <c r="P158" s="4">
        <v>0.69199999999999995</v>
      </c>
      <c r="Q158" s="4"/>
      <c r="R158" s="4">
        <v>0.55000000000000004</v>
      </c>
      <c r="S158" s="4">
        <v>0.85699999999999998</v>
      </c>
      <c r="T158" s="4">
        <v>0.42899999999999999</v>
      </c>
      <c r="U158" s="4">
        <v>0.33300000000000002</v>
      </c>
      <c r="V158" s="4">
        <v>0.33300000000000002</v>
      </c>
      <c r="W158" s="4">
        <v>0.311</v>
      </c>
      <c r="X158" s="4"/>
      <c r="Y158" s="4">
        <v>0.81799999999999995</v>
      </c>
      <c r="Z158" s="4">
        <v>1</v>
      </c>
      <c r="AA158" s="4"/>
      <c r="AB158" s="4">
        <v>0.156</v>
      </c>
      <c r="AC158" s="4">
        <v>0.42899999999999999</v>
      </c>
      <c r="AD158" s="10">
        <f t="shared" si="24"/>
        <v>0.94394399999999989</v>
      </c>
      <c r="AE158" s="9"/>
      <c r="AF158" s="9"/>
      <c r="AG158" s="12">
        <f t="shared" si="33"/>
        <v>12.7</v>
      </c>
      <c r="AH158" s="12">
        <f t="shared" si="33"/>
        <v>14.899999999999999</v>
      </c>
      <c r="AI158" s="12">
        <f t="shared" si="33"/>
        <v>22</v>
      </c>
      <c r="AJ158" s="12">
        <f t="shared" si="23"/>
        <v>89.5</v>
      </c>
      <c r="AK158" s="12"/>
      <c r="AL158" s="12">
        <f t="shared" si="31"/>
        <v>8.2000000000000011</v>
      </c>
      <c r="AM158" s="12">
        <f t="shared" si="31"/>
        <v>18.2</v>
      </c>
      <c r="AN158" s="12">
        <f t="shared" si="31"/>
        <v>5.5</v>
      </c>
      <c r="AO158" s="12">
        <f t="shared" si="31"/>
        <v>34.799999999999997</v>
      </c>
      <c r="AP158" s="12">
        <f t="shared" si="31"/>
        <v>57.4</v>
      </c>
      <c r="AQ158" s="12">
        <f t="shared" si="31"/>
        <v>91.7</v>
      </c>
      <c r="AR158" s="12"/>
      <c r="AS158" s="12">
        <f t="shared" si="32"/>
        <v>71.2</v>
      </c>
      <c r="AT158" s="12">
        <f t="shared" si="32"/>
        <v>96.1</v>
      </c>
      <c r="AU158" s="12">
        <f t="shared" si="32"/>
        <v>42.5</v>
      </c>
      <c r="AV158" s="12">
        <f t="shared" si="32"/>
        <v>42.5</v>
      </c>
      <c r="AW158" s="12">
        <f t="shared" si="32"/>
        <v>45.800000000000004</v>
      </c>
      <c r="AX158" s="12">
        <f t="shared" si="32"/>
        <v>40.799999999999997</v>
      </c>
      <c r="AY158" s="12"/>
      <c r="AZ158" s="12">
        <f t="shared" si="26"/>
        <v>11.099999999999994</v>
      </c>
      <c r="BA158" s="12">
        <f t="shared" si="27"/>
        <v>33.799999999999997</v>
      </c>
      <c r="BB158" s="12"/>
      <c r="BC158" s="12">
        <f t="shared" si="28"/>
        <v>34.799999999999997</v>
      </c>
      <c r="BD158" s="12">
        <f t="shared" si="29"/>
        <v>68.5</v>
      </c>
      <c r="BE158" s="12">
        <f t="shared" si="30"/>
        <v>2.2999999999999972</v>
      </c>
    </row>
    <row r="159" spans="1:57" ht="15.75" customHeight="1">
      <c r="A159" s="1" t="s">
        <v>222</v>
      </c>
      <c r="B159" s="3" t="s">
        <v>240</v>
      </c>
      <c r="C159" s="4" t="s">
        <v>8</v>
      </c>
      <c r="D159" s="4">
        <v>25</v>
      </c>
      <c r="E159" s="4">
        <v>257</v>
      </c>
      <c r="F159" s="4">
        <v>25</v>
      </c>
      <c r="G159" s="4">
        <v>257</v>
      </c>
      <c r="H159" s="4">
        <v>0.45900000000000002</v>
      </c>
      <c r="I159" s="4">
        <v>13.5</v>
      </c>
      <c r="J159" s="4"/>
      <c r="K159" s="4">
        <v>0.64900000000000002</v>
      </c>
      <c r="L159" s="4">
        <v>0.16200000000000001</v>
      </c>
      <c r="M159" s="4">
        <v>0.32400000000000001</v>
      </c>
      <c r="N159" s="4">
        <v>0.13500000000000001</v>
      </c>
      <c r="O159" s="4">
        <v>2.7E-2</v>
      </c>
      <c r="P159" s="4">
        <v>0.35099999999999998</v>
      </c>
      <c r="Q159" s="4"/>
      <c r="R159" s="4">
        <v>0.56299999999999994</v>
      </c>
      <c r="S159" s="4">
        <v>0.75</v>
      </c>
      <c r="T159" s="4">
        <v>0.5</v>
      </c>
      <c r="U159" s="4">
        <v>0.6</v>
      </c>
      <c r="V159" s="4">
        <v>0</v>
      </c>
      <c r="W159" s="4">
        <v>0.26900000000000002</v>
      </c>
      <c r="X159" s="4"/>
      <c r="Y159" s="4">
        <v>0.111</v>
      </c>
      <c r="Z159" s="4">
        <v>0.71399999999999997</v>
      </c>
      <c r="AA159" s="4"/>
      <c r="AB159" s="4">
        <v>0.154</v>
      </c>
      <c r="AC159" s="4">
        <v>0.25</v>
      </c>
      <c r="AD159" s="10">
        <f t="shared" si="24"/>
        <v>0.32265299999999997</v>
      </c>
      <c r="AE159" s="9"/>
      <c r="AF159" s="9"/>
      <c r="AG159" s="12">
        <f t="shared" si="33"/>
        <v>22</v>
      </c>
      <c r="AH159" s="12">
        <f t="shared" si="33"/>
        <v>14.299999999999999</v>
      </c>
      <c r="AI159" s="12">
        <f t="shared" si="33"/>
        <v>61.8</v>
      </c>
      <c r="AJ159" s="12">
        <f t="shared" si="23"/>
        <v>45.300000000000004</v>
      </c>
      <c r="AK159" s="12"/>
      <c r="AL159" s="12">
        <f t="shared" si="31"/>
        <v>62.4</v>
      </c>
      <c r="AM159" s="12">
        <f t="shared" si="31"/>
        <v>39.200000000000003</v>
      </c>
      <c r="AN159" s="12">
        <f t="shared" si="31"/>
        <v>72.899999999999991</v>
      </c>
      <c r="AO159" s="12">
        <f t="shared" si="31"/>
        <v>83.899999999999991</v>
      </c>
      <c r="AP159" s="12">
        <f t="shared" si="31"/>
        <v>34.799999999999997</v>
      </c>
      <c r="AQ159" s="12">
        <f t="shared" si="31"/>
        <v>37.5</v>
      </c>
      <c r="AR159" s="12"/>
      <c r="AS159" s="12">
        <f t="shared" si="32"/>
        <v>78.400000000000006</v>
      </c>
      <c r="AT159" s="12">
        <f t="shared" si="32"/>
        <v>77.3</v>
      </c>
      <c r="AU159" s="12">
        <f t="shared" si="32"/>
        <v>74</v>
      </c>
      <c r="AV159" s="12">
        <f t="shared" si="32"/>
        <v>92.2</v>
      </c>
      <c r="AW159" s="12">
        <f t="shared" si="32"/>
        <v>0</v>
      </c>
      <c r="AX159" s="12">
        <f t="shared" si="32"/>
        <v>23.7</v>
      </c>
      <c r="AY159" s="12"/>
      <c r="AZ159" s="12">
        <f t="shared" si="26"/>
        <v>98.9</v>
      </c>
      <c r="BA159" s="12">
        <f t="shared" si="27"/>
        <v>85.1</v>
      </c>
      <c r="BB159" s="12"/>
      <c r="BC159" s="12">
        <f t="shared" si="28"/>
        <v>32</v>
      </c>
      <c r="BD159" s="12">
        <f t="shared" si="29"/>
        <v>23.200000000000003</v>
      </c>
      <c r="BE159" s="12">
        <f t="shared" si="30"/>
        <v>98.4</v>
      </c>
    </row>
    <row r="160" spans="1:57" ht="15.75" customHeight="1">
      <c r="A160" s="1" t="s">
        <v>197</v>
      </c>
      <c r="B160" s="3" t="s">
        <v>114</v>
      </c>
      <c r="C160" s="4" t="s">
        <v>85</v>
      </c>
      <c r="D160" s="4">
        <v>26</v>
      </c>
      <c r="E160" s="4">
        <v>252</v>
      </c>
      <c r="F160" s="4">
        <v>26</v>
      </c>
      <c r="G160" s="4">
        <v>252</v>
      </c>
      <c r="H160" s="4">
        <v>0.55300000000000005</v>
      </c>
      <c r="I160" s="4">
        <v>9.4</v>
      </c>
      <c r="J160" s="4"/>
      <c r="K160" s="4">
        <v>0.76600000000000001</v>
      </c>
      <c r="L160" s="4">
        <v>0.255</v>
      </c>
      <c r="M160" s="4">
        <v>0.42599999999999999</v>
      </c>
      <c r="N160" s="4">
        <v>4.2999999999999997E-2</v>
      </c>
      <c r="O160" s="4">
        <v>4.2999999999999997E-2</v>
      </c>
      <c r="P160" s="4">
        <v>0.23400000000000001</v>
      </c>
      <c r="Q160" s="4"/>
      <c r="R160" s="4">
        <v>0.55600000000000005</v>
      </c>
      <c r="S160" s="4">
        <v>0.66700000000000004</v>
      </c>
      <c r="T160" s="4">
        <v>0.55000000000000004</v>
      </c>
      <c r="U160" s="4">
        <v>0</v>
      </c>
      <c r="V160" s="4">
        <v>0.5</v>
      </c>
      <c r="W160" s="4">
        <v>0.54500000000000004</v>
      </c>
      <c r="X160" s="4"/>
      <c r="Y160" s="4">
        <v>0.85</v>
      </c>
      <c r="Z160" s="4">
        <v>1</v>
      </c>
      <c r="AA160" s="4"/>
      <c r="AB160" s="4">
        <v>0.45500000000000002</v>
      </c>
      <c r="AC160" s="4">
        <v>0.6</v>
      </c>
      <c r="AD160" s="10">
        <f t="shared" si="24"/>
        <v>0.8851</v>
      </c>
      <c r="AE160" s="9"/>
      <c r="AF160" s="9"/>
      <c r="AG160" s="12">
        <f t="shared" si="33"/>
        <v>23.200000000000003</v>
      </c>
      <c r="AH160" s="12">
        <f t="shared" si="33"/>
        <v>13.8</v>
      </c>
      <c r="AI160" s="12">
        <f t="shared" si="33"/>
        <v>95</v>
      </c>
      <c r="AJ160" s="12">
        <f t="shared" si="23"/>
        <v>17.599999999999998</v>
      </c>
      <c r="AK160" s="12"/>
      <c r="AL160" s="12">
        <f t="shared" si="31"/>
        <v>79.5</v>
      </c>
      <c r="AM160" s="12">
        <f t="shared" si="31"/>
        <v>67.400000000000006</v>
      </c>
      <c r="AN160" s="12">
        <f t="shared" si="31"/>
        <v>91.100000000000009</v>
      </c>
      <c r="AO160" s="12">
        <f t="shared" si="31"/>
        <v>32</v>
      </c>
      <c r="AP160" s="12">
        <f t="shared" si="31"/>
        <v>55.2</v>
      </c>
      <c r="AQ160" s="12">
        <f t="shared" si="31"/>
        <v>20.399999999999999</v>
      </c>
      <c r="AR160" s="12"/>
      <c r="AS160" s="12">
        <f t="shared" si="32"/>
        <v>75.099999999999994</v>
      </c>
      <c r="AT160" s="12">
        <f t="shared" si="32"/>
        <v>46.9</v>
      </c>
      <c r="AU160" s="12">
        <f t="shared" si="32"/>
        <v>88.9</v>
      </c>
      <c r="AV160" s="12">
        <f t="shared" si="32"/>
        <v>0</v>
      </c>
      <c r="AW160" s="12">
        <f t="shared" si="32"/>
        <v>80.100000000000009</v>
      </c>
      <c r="AX160" s="12">
        <f t="shared" si="32"/>
        <v>99.4</v>
      </c>
      <c r="AY160" s="12"/>
      <c r="AZ160" s="12">
        <f t="shared" si="26"/>
        <v>5.6000000000000085</v>
      </c>
      <c r="BA160" s="12">
        <f t="shared" si="27"/>
        <v>33.799999999999997</v>
      </c>
      <c r="BB160" s="12"/>
      <c r="BC160" s="12">
        <f t="shared" si="28"/>
        <v>94.399999999999991</v>
      </c>
      <c r="BD160" s="12">
        <f t="shared" si="29"/>
        <v>88.9</v>
      </c>
      <c r="BE160" s="12">
        <f t="shared" si="30"/>
        <v>13.900000000000006</v>
      </c>
    </row>
    <row r="161" spans="1:57" ht="15.75" customHeight="1">
      <c r="A161" s="1" t="s">
        <v>270</v>
      </c>
      <c r="B161" s="3" t="s">
        <v>84</v>
      </c>
      <c r="C161" s="4" t="s">
        <v>8</v>
      </c>
      <c r="D161" s="4">
        <v>19</v>
      </c>
      <c r="E161" s="4">
        <v>236</v>
      </c>
      <c r="F161" s="4">
        <v>19</v>
      </c>
      <c r="G161" s="4">
        <v>236</v>
      </c>
      <c r="H161" s="4">
        <v>0.36799999999999999</v>
      </c>
      <c r="I161" s="4">
        <v>18.2</v>
      </c>
      <c r="J161" s="4"/>
      <c r="K161" s="4">
        <v>0.38600000000000001</v>
      </c>
      <c r="L161" s="4">
        <v>0.14000000000000001</v>
      </c>
      <c r="M161" s="4">
        <v>0.193</v>
      </c>
      <c r="N161" s="4">
        <v>3.5000000000000003E-2</v>
      </c>
      <c r="O161" s="4">
        <v>1.7999999999999999E-2</v>
      </c>
      <c r="P161" s="4">
        <v>0.61399999999999999</v>
      </c>
      <c r="Q161" s="4"/>
      <c r="R161" s="4">
        <v>0.45500000000000002</v>
      </c>
      <c r="S161" s="4">
        <v>0.75</v>
      </c>
      <c r="T161" s="4">
        <v>0.36399999999999999</v>
      </c>
      <c r="U161" s="4">
        <v>0</v>
      </c>
      <c r="V161" s="4">
        <v>0</v>
      </c>
      <c r="W161" s="4">
        <v>0.314</v>
      </c>
      <c r="X161" s="4"/>
      <c r="Y161" s="4">
        <v>0.3</v>
      </c>
      <c r="Z161" s="4">
        <v>0.54500000000000004</v>
      </c>
      <c r="AA161" s="4"/>
      <c r="AB161" s="4">
        <v>0.2</v>
      </c>
      <c r="AC161" s="4">
        <v>0.28599999999999998</v>
      </c>
      <c r="AD161" s="10">
        <f t="shared" si="24"/>
        <v>0.45043000000000005</v>
      </c>
      <c r="AE161" s="9"/>
      <c r="AF161" s="9"/>
      <c r="AG161" s="12">
        <f t="shared" si="33"/>
        <v>14.899999999999999</v>
      </c>
      <c r="AH161" s="12">
        <f t="shared" si="33"/>
        <v>13.200000000000001</v>
      </c>
      <c r="AI161" s="12">
        <f t="shared" si="33"/>
        <v>13.8</v>
      </c>
      <c r="AJ161" s="12">
        <f t="shared" si="23"/>
        <v>85.6</v>
      </c>
      <c r="AK161" s="12"/>
      <c r="AL161" s="12">
        <f t="shared" ref="AL161:AQ176" si="34">(PERCENTRANK(K$4:K$298,K161))*100</f>
        <v>14.899999999999999</v>
      </c>
      <c r="AM161" s="12">
        <f t="shared" si="34"/>
        <v>32.5</v>
      </c>
      <c r="AN161" s="12">
        <f t="shared" si="34"/>
        <v>29.799999999999997</v>
      </c>
      <c r="AO161" s="12">
        <f t="shared" si="34"/>
        <v>24.3</v>
      </c>
      <c r="AP161" s="12">
        <f t="shared" si="34"/>
        <v>22</v>
      </c>
      <c r="AQ161" s="12">
        <f t="shared" si="34"/>
        <v>85</v>
      </c>
      <c r="AR161" s="12"/>
      <c r="AS161" s="12">
        <f t="shared" ref="AS161:AX176" si="35">(PERCENTRANK(R$4:R$298,R161))*100</f>
        <v>20.399999999999999</v>
      </c>
      <c r="AT161" s="12">
        <f t="shared" si="35"/>
        <v>77.3</v>
      </c>
      <c r="AU161" s="12">
        <f t="shared" si="35"/>
        <v>20.399999999999999</v>
      </c>
      <c r="AV161" s="12">
        <f t="shared" si="35"/>
        <v>0</v>
      </c>
      <c r="AW161" s="12">
        <f t="shared" si="35"/>
        <v>0</v>
      </c>
      <c r="AX161" s="12">
        <f t="shared" si="35"/>
        <v>41.9</v>
      </c>
      <c r="AY161" s="12"/>
      <c r="AZ161" s="12">
        <f t="shared" si="26"/>
        <v>90.1</v>
      </c>
      <c r="BA161" s="12">
        <f t="shared" si="27"/>
        <v>92.3</v>
      </c>
      <c r="BB161" s="12"/>
      <c r="BC161" s="12">
        <f t="shared" si="28"/>
        <v>56.899999999999991</v>
      </c>
      <c r="BD161" s="12">
        <f t="shared" si="29"/>
        <v>34.799999999999997</v>
      </c>
      <c r="BE161" s="12">
        <f t="shared" si="30"/>
        <v>92.9</v>
      </c>
    </row>
    <row r="162" spans="1:57" ht="15.75" customHeight="1">
      <c r="A162" s="1" t="s">
        <v>155</v>
      </c>
      <c r="B162" s="3" t="s">
        <v>117</v>
      </c>
      <c r="C162" s="4" t="s">
        <v>8</v>
      </c>
      <c r="D162" s="4">
        <v>13</v>
      </c>
      <c r="E162" s="4">
        <v>220</v>
      </c>
      <c r="F162" s="4">
        <v>13</v>
      </c>
      <c r="G162" s="4">
        <v>220</v>
      </c>
      <c r="H162" s="4">
        <v>0.6</v>
      </c>
      <c r="I162" s="4">
        <v>10.7</v>
      </c>
      <c r="J162" s="4"/>
      <c r="K162" s="4">
        <v>0.79</v>
      </c>
      <c r="L162" s="4">
        <v>0.33</v>
      </c>
      <c r="M162" s="4">
        <v>0.23</v>
      </c>
      <c r="N162" s="4">
        <v>0.11</v>
      </c>
      <c r="O162" s="4">
        <v>0.12</v>
      </c>
      <c r="P162" s="4">
        <v>0.21</v>
      </c>
      <c r="Q162" s="4"/>
      <c r="R162" s="4">
        <v>0.62</v>
      </c>
      <c r="S162" s="4">
        <v>0.84799999999999998</v>
      </c>
      <c r="T162" s="4">
        <v>0.39100000000000001</v>
      </c>
      <c r="U162" s="4">
        <v>0.63600000000000001</v>
      </c>
      <c r="V162" s="4">
        <v>0.41699999999999998</v>
      </c>
      <c r="W162" s="4">
        <v>0.52400000000000002</v>
      </c>
      <c r="X162" s="4"/>
      <c r="Y162" s="4">
        <v>0.245</v>
      </c>
      <c r="Z162" s="4">
        <v>0.72699999999999998</v>
      </c>
      <c r="AA162" s="4"/>
      <c r="AB162" s="4">
        <v>0.19</v>
      </c>
      <c r="AC162" s="4">
        <v>0.5</v>
      </c>
      <c r="AD162" s="10">
        <f t="shared" si="24"/>
        <v>0.34621999999999997</v>
      </c>
      <c r="AE162" s="9"/>
      <c r="AF162" s="9"/>
      <c r="AG162" s="12">
        <f t="shared" si="33"/>
        <v>4.3999999999999995</v>
      </c>
      <c r="AH162" s="12">
        <f t="shared" si="33"/>
        <v>12.7</v>
      </c>
      <c r="AI162" s="12">
        <f t="shared" si="33"/>
        <v>98.3</v>
      </c>
      <c r="AJ162" s="12">
        <f t="shared" si="23"/>
        <v>23.200000000000003</v>
      </c>
      <c r="AK162" s="12"/>
      <c r="AL162" s="12">
        <f t="shared" si="34"/>
        <v>82.8</v>
      </c>
      <c r="AM162" s="12">
        <f t="shared" si="34"/>
        <v>81.2</v>
      </c>
      <c r="AN162" s="12">
        <f t="shared" si="34"/>
        <v>43.6</v>
      </c>
      <c r="AO162" s="12">
        <f t="shared" si="34"/>
        <v>75.599999999999994</v>
      </c>
      <c r="AP162" s="12">
        <f t="shared" si="34"/>
        <v>92.2</v>
      </c>
      <c r="AQ162" s="12">
        <f t="shared" si="34"/>
        <v>17.100000000000001</v>
      </c>
      <c r="AR162" s="12"/>
      <c r="AS162" s="12">
        <f t="shared" si="35"/>
        <v>95</v>
      </c>
      <c r="AT162" s="12">
        <f t="shared" si="35"/>
        <v>95</v>
      </c>
      <c r="AU162" s="12">
        <f t="shared" si="35"/>
        <v>29.799999999999997</v>
      </c>
      <c r="AV162" s="12">
        <f t="shared" si="35"/>
        <v>94.399999999999991</v>
      </c>
      <c r="AW162" s="12">
        <f t="shared" si="35"/>
        <v>71.2</v>
      </c>
      <c r="AX162" s="12">
        <f t="shared" si="35"/>
        <v>98.8</v>
      </c>
      <c r="AY162" s="12"/>
      <c r="AZ162" s="12">
        <f t="shared" si="26"/>
        <v>94</v>
      </c>
      <c r="BA162" s="12">
        <f t="shared" si="27"/>
        <v>84.6</v>
      </c>
      <c r="BB162" s="12"/>
      <c r="BC162" s="12">
        <f t="shared" si="28"/>
        <v>51.9</v>
      </c>
      <c r="BD162" s="12">
        <f t="shared" si="29"/>
        <v>79</v>
      </c>
      <c r="BE162" s="12">
        <f t="shared" si="30"/>
        <v>96.7</v>
      </c>
    </row>
    <row r="163" spans="1:57" ht="15.75" customHeight="1">
      <c r="A163" s="1" t="s">
        <v>242</v>
      </c>
      <c r="B163" s="3" t="s">
        <v>84</v>
      </c>
      <c r="C163" s="4" t="s">
        <v>85</v>
      </c>
      <c r="D163" s="4">
        <v>13</v>
      </c>
      <c r="E163" s="4">
        <v>218</v>
      </c>
      <c r="F163" s="4">
        <v>13</v>
      </c>
      <c r="G163" s="4">
        <v>218</v>
      </c>
      <c r="H163" s="4">
        <v>0.45900000000000002</v>
      </c>
      <c r="I163" s="4">
        <v>15.7</v>
      </c>
      <c r="J163" s="4"/>
      <c r="K163" s="4">
        <v>0.46899999999999997</v>
      </c>
      <c r="L163" s="4">
        <v>0.214</v>
      </c>
      <c r="M163" s="4">
        <v>0.19400000000000001</v>
      </c>
      <c r="N163" s="4">
        <v>3.1E-2</v>
      </c>
      <c r="O163" s="4">
        <v>3.1E-2</v>
      </c>
      <c r="P163" s="4">
        <v>0.53100000000000003</v>
      </c>
      <c r="Q163" s="4"/>
      <c r="R163" s="4">
        <v>0.54300000000000004</v>
      </c>
      <c r="S163" s="4">
        <v>0.85699999999999998</v>
      </c>
      <c r="T163" s="4">
        <v>0.316</v>
      </c>
      <c r="U163" s="4">
        <v>0</v>
      </c>
      <c r="V163" s="4">
        <v>0.33300000000000002</v>
      </c>
      <c r="W163" s="4">
        <v>0.38500000000000001</v>
      </c>
      <c r="X163" s="4"/>
      <c r="Y163" s="4">
        <v>0.48</v>
      </c>
      <c r="Z163" s="4">
        <v>0.9</v>
      </c>
      <c r="AA163" s="4"/>
      <c r="AB163" s="4">
        <v>0.154</v>
      </c>
      <c r="AC163" s="4">
        <v>0.625</v>
      </c>
      <c r="AD163" s="10">
        <f t="shared" si="24"/>
        <v>0.70301999999999998</v>
      </c>
      <c r="AE163" s="9"/>
      <c r="AF163" s="9"/>
      <c r="AG163" s="12">
        <f t="shared" si="33"/>
        <v>4.3999999999999995</v>
      </c>
      <c r="AH163" s="12">
        <f t="shared" si="33"/>
        <v>12.1</v>
      </c>
      <c r="AI163" s="12">
        <f t="shared" si="33"/>
        <v>61.8</v>
      </c>
      <c r="AJ163" s="12">
        <f t="shared" si="23"/>
        <v>64</v>
      </c>
      <c r="AK163" s="12"/>
      <c r="AL163" s="12">
        <f t="shared" si="34"/>
        <v>22</v>
      </c>
      <c r="AM163" s="12">
        <f t="shared" si="34"/>
        <v>56.899999999999991</v>
      </c>
      <c r="AN163" s="12">
        <f t="shared" si="34"/>
        <v>30.3</v>
      </c>
      <c r="AO163" s="12">
        <f t="shared" si="34"/>
        <v>21.5</v>
      </c>
      <c r="AP163" s="12">
        <f t="shared" si="34"/>
        <v>40.799999999999997</v>
      </c>
      <c r="AQ163" s="12">
        <f t="shared" si="34"/>
        <v>77.3</v>
      </c>
      <c r="AR163" s="12"/>
      <c r="AS163" s="12">
        <f t="shared" si="35"/>
        <v>66.8</v>
      </c>
      <c r="AT163" s="12">
        <f t="shared" si="35"/>
        <v>96.1</v>
      </c>
      <c r="AU163" s="12">
        <f t="shared" si="35"/>
        <v>11.600000000000001</v>
      </c>
      <c r="AV163" s="12">
        <f t="shared" si="35"/>
        <v>0</v>
      </c>
      <c r="AW163" s="12">
        <f t="shared" si="35"/>
        <v>45.800000000000004</v>
      </c>
      <c r="AX163" s="12">
        <f t="shared" si="35"/>
        <v>76.2</v>
      </c>
      <c r="AY163" s="12"/>
      <c r="AZ163" s="12">
        <f t="shared" si="26"/>
        <v>69.7</v>
      </c>
      <c r="BA163" s="12">
        <f t="shared" si="27"/>
        <v>62.5</v>
      </c>
      <c r="BB163" s="12"/>
      <c r="BC163" s="12">
        <f t="shared" si="28"/>
        <v>32</v>
      </c>
      <c r="BD163" s="12">
        <f t="shared" si="29"/>
        <v>91.100000000000009</v>
      </c>
      <c r="BE163" s="12">
        <f t="shared" si="30"/>
        <v>58.1</v>
      </c>
    </row>
    <row r="164" spans="1:57" ht="15.75" customHeight="1">
      <c r="A164" s="1" t="s">
        <v>281</v>
      </c>
      <c r="B164" s="3" t="s">
        <v>107</v>
      </c>
      <c r="C164" s="4" t="s">
        <v>8</v>
      </c>
      <c r="D164" s="4">
        <v>16</v>
      </c>
      <c r="E164" s="4">
        <v>202</v>
      </c>
      <c r="F164" s="4">
        <v>16</v>
      </c>
      <c r="G164" s="4">
        <v>202</v>
      </c>
      <c r="H164" s="4">
        <v>0.314</v>
      </c>
      <c r="I164" s="4">
        <v>20.5</v>
      </c>
      <c r="J164" s="4"/>
      <c r="K164" s="4">
        <v>0.27500000000000002</v>
      </c>
      <c r="L164" s="4">
        <v>7.8E-2</v>
      </c>
      <c r="M164" s="4">
        <v>9.8000000000000004E-2</v>
      </c>
      <c r="N164" s="4">
        <v>5.8999999999999997E-2</v>
      </c>
      <c r="O164" s="4">
        <v>3.9E-2</v>
      </c>
      <c r="P164" s="4">
        <v>0.72499999999999998</v>
      </c>
      <c r="Q164" s="4"/>
      <c r="R164" s="4">
        <v>0.57099999999999995</v>
      </c>
      <c r="S164" s="4">
        <v>1</v>
      </c>
      <c r="T164" s="4">
        <v>0.4</v>
      </c>
      <c r="U164" s="4">
        <v>0.33300000000000002</v>
      </c>
      <c r="V164" s="4">
        <v>0.5</v>
      </c>
      <c r="W164" s="4">
        <v>0.216</v>
      </c>
      <c r="X164" s="4"/>
      <c r="Y164" s="4">
        <v>0.5</v>
      </c>
      <c r="Z164" s="4">
        <v>1</v>
      </c>
      <c r="AA164" s="4"/>
      <c r="AB164" s="4">
        <v>0.189</v>
      </c>
      <c r="AC164" s="4">
        <v>0.14299999999999999</v>
      </c>
      <c r="AD164" s="10">
        <f t="shared" si="24"/>
        <v>0.86250000000000004</v>
      </c>
      <c r="AE164" s="9"/>
      <c r="AF164" s="9"/>
      <c r="AG164" s="12">
        <f t="shared" si="33"/>
        <v>8.2000000000000011</v>
      </c>
      <c r="AH164" s="12">
        <f t="shared" si="33"/>
        <v>11</v>
      </c>
      <c r="AI164" s="12">
        <f t="shared" si="33"/>
        <v>2.1999999999999997</v>
      </c>
      <c r="AJ164" s="12">
        <f t="shared" si="23"/>
        <v>96.6</v>
      </c>
      <c r="AK164" s="12"/>
      <c r="AL164" s="12">
        <f t="shared" si="34"/>
        <v>3.8</v>
      </c>
      <c r="AM164" s="12">
        <f t="shared" si="34"/>
        <v>8.7999999999999989</v>
      </c>
      <c r="AN164" s="12">
        <f t="shared" si="34"/>
        <v>3.8</v>
      </c>
      <c r="AO164" s="12">
        <f t="shared" si="34"/>
        <v>43</v>
      </c>
      <c r="AP164" s="12">
        <f t="shared" si="34"/>
        <v>50.2</v>
      </c>
      <c r="AQ164" s="12">
        <f t="shared" si="34"/>
        <v>95.5</v>
      </c>
      <c r="AR164" s="12"/>
      <c r="AS164" s="12">
        <f t="shared" si="35"/>
        <v>82.3</v>
      </c>
      <c r="AT164" s="12">
        <f t="shared" si="35"/>
        <v>98.3</v>
      </c>
      <c r="AU164" s="12">
        <f t="shared" si="35"/>
        <v>32.5</v>
      </c>
      <c r="AV164" s="12">
        <f t="shared" si="35"/>
        <v>42.5</v>
      </c>
      <c r="AW164" s="12">
        <f t="shared" si="35"/>
        <v>80.100000000000009</v>
      </c>
      <c r="AX164" s="12">
        <f t="shared" si="35"/>
        <v>13.200000000000001</v>
      </c>
      <c r="AY164" s="12"/>
      <c r="AZ164" s="12">
        <f t="shared" si="26"/>
        <v>69.099999999999994</v>
      </c>
      <c r="BA164" s="12">
        <f t="shared" si="27"/>
        <v>33.799999999999997</v>
      </c>
      <c r="BB164" s="12"/>
      <c r="BC164" s="12">
        <f t="shared" si="28"/>
        <v>51.300000000000004</v>
      </c>
      <c r="BD164" s="12">
        <f t="shared" si="29"/>
        <v>13.8</v>
      </c>
      <c r="BE164" s="12">
        <f t="shared" si="30"/>
        <v>17.700000000000003</v>
      </c>
    </row>
    <row r="165" spans="1:57" ht="15.75" customHeight="1">
      <c r="A165" s="1" t="s">
        <v>207</v>
      </c>
      <c r="B165" s="3" t="s">
        <v>93</v>
      </c>
      <c r="C165" s="4" t="s">
        <v>88</v>
      </c>
      <c r="D165" s="4">
        <v>19</v>
      </c>
      <c r="E165" s="4">
        <v>202</v>
      </c>
      <c r="F165" s="4">
        <v>19</v>
      </c>
      <c r="G165" s="4">
        <v>202</v>
      </c>
      <c r="H165" s="4">
        <v>0.32800000000000001</v>
      </c>
      <c r="I165" s="4">
        <v>15.6</v>
      </c>
      <c r="J165" s="4"/>
      <c r="K165" s="4">
        <v>0.55200000000000005</v>
      </c>
      <c r="L165" s="4">
        <v>0.10299999999999999</v>
      </c>
      <c r="M165" s="4">
        <v>0.29299999999999998</v>
      </c>
      <c r="N165" s="4">
        <v>1.7000000000000001E-2</v>
      </c>
      <c r="O165" s="4">
        <v>0.13800000000000001</v>
      </c>
      <c r="P165" s="4">
        <v>0.44800000000000001</v>
      </c>
      <c r="Q165" s="4"/>
      <c r="R165" s="4">
        <v>0.375</v>
      </c>
      <c r="S165" s="4">
        <v>0.33300000000000002</v>
      </c>
      <c r="T165" s="4">
        <v>0.52900000000000003</v>
      </c>
      <c r="U165" s="4">
        <v>0</v>
      </c>
      <c r="V165" s="4">
        <v>0.125</v>
      </c>
      <c r="W165" s="4">
        <v>0.26900000000000002</v>
      </c>
      <c r="X165" s="4"/>
      <c r="Y165" s="4">
        <v>0.91700000000000004</v>
      </c>
      <c r="Z165" s="4">
        <v>0.85699999999999998</v>
      </c>
      <c r="AA165" s="4"/>
      <c r="AB165" s="4">
        <v>0.34599999999999997</v>
      </c>
      <c r="AC165" s="4">
        <v>0.222</v>
      </c>
      <c r="AD165" s="10">
        <f t="shared" si="24"/>
        <v>0.89012000000000002</v>
      </c>
      <c r="AE165" s="9"/>
      <c r="AF165" s="9"/>
      <c r="AG165" s="12">
        <f t="shared" ref="AG165:AI176" si="36">(PERCENTRANK(F$4:F$298,F165))*100</f>
        <v>14.899999999999999</v>
      </c>
      <c r="AH165" s="12">
        <f t="shared" si="36"/>
        <v>11</v>
      </c>
      <c r="AI165" s="12">
        <f t="shared" si="36"/>
        <v>2.7</v>
      </c>
      <c r="AJ165" s="12">
        <f t="shared" si="23"/>
        <v>61.8</v>
      </c>
      <c r="AK165" s="12"/>
      <c r="AL165" s="12">
        <f t="shared" si="34"/>
        <v>41.4</v>
      </c>
      <c r="AM165" s="12">
        <f t="shared" si="34"/>
        <v>17.100000000000001</v>
      </c>
      <c r="AN165" s="12">
        <f t="shared" si="34"/>
        <v>64</v>
      </c>
      <c r="AO165" s="12">
        <f t="shared" si="34"/>
        <v>9.9</v>
      </c>
      <c r="AP165" s="12">
        <f t="shared" si="34"/>
        <v>96.1</v>
      </c>
      <c r="AQ165" s="12">
        <f t="shared" si="34"/>
        <v>58.5</v>
      </c>
      <c r="AR165" s="12"/>
      <c r="AS165" s="12">
        <f t="shared" si="35"/>
        <v>4.9000000000000004</v>
      </c>
      <c r="AT165" s="12">
        <f t="shared" si="35"/>
        <v>1.6</v>
      </c>
      <c r="AU165" s="12">
        <f t="shared" si="35"/>
        <v>84.5</v>
      </c>
      <c r="AV165" s="12">
        <f t="shared" si="35"/>
        <v>0</v>
      </c>
      <c r="AW165" s="12">
        <f t="shared" si="35"/>
        <v>24.3</v>
      </c>
      <c r="AX165" s="12">
        <f t="shared" si="35"/>
        <v>23.7</v>
      </c>
      <c r="AY165" s="12"/>
      <c r="AZ165" s="12">
        <f t="shared" si="26"/>
        <v>1.7000000000000028</v>
      </c>
      <c r="BA165" s="12">
        <f t="shared" si="27"/>
        <v>69.099999999999994</v>
      </c>
      <c r="BB165" s="12"/>
      <c r="BC165" s="12">
        <f t="shared" si="28"/>
        <v>82.8</v>
      </c>
      <c r="BD165" s="12">
        <f t="shared" si="29"/>
        <v>20.399999999999999</v>
      </c>
      <c r="BE165" s="12">
        <f t="shared" si="30"/>
        <v>11.099999999999994</v>
      </c>
    </row>
    <row r="166" spans="1:57" ht="15.75" customHeight="1">
      <c r="A166" s="1" t="s">
        <v>271</v>
      </c>
      <c r="B166" s="3" t="s">
        <v>117</v>
      </c>
      <c r="C166" s="4" t="s">
        <v>8</v>
      </c>
      <c r="D166" s="4">
        <v>12</v>
      </c>
      <c r="E166" s="4">
        <v>196</v>
      </c>
      <c r="F166" s="4">
        <v>12</v>
      </c>
      <c r="G166" s="4">
        <v>196</v>
      </c>
      <c r="H166" s="4">
        <v>0.27900000000000003</v>
      </c>
      <c r="I166" s="4">
        <v>17.399999999999999</v>
      </c>
      <c r="J166" s="4"/>
      <c r="K166" s="4">
        <v>0.52500000000000002</v>
      </c>
      <c r="L166" s="4">
        <v>4.9000000000000002E-2</v>
      </c>
      <c r="M166" s="4">
        <v>0.23</v>
      </c>
      <c r="N166" s="4">
        <v>0.115</v>
      </c>
      <c r="O166" s="4">
        <v>0.13100000000000001</v>
      </c>
      <c r="P166" s="4">
        <v>0.47499999999999998</v>
      </c>
      <c r="Q166" s="4"/>
      <c r="R166" s="4">
        <v>0.188</v>
      </c>
      <c r="S166" s="4">
        <v>0</v>
      </c>
      <c r="T166" s="4">
        <v>0.28599999999999998</v>
      </c>
      <c r="U166" s="4">
        <v>0</v>
      </c>
      <c r="V166" s="4">
        <v>0.25</v>
      </c>
      <c r="W166" s="4">
        <v>0.379</v>
      </c>
      <c r="X166" s="4"/>
      <c r="Y166" s="4">
        <v>0</v>
      </c>
      <c r="Z166" s="4">
        <v>0.72699999999999998</v>
      </c>
      <c r="AA166" s="4"/>
      <c r="AB166" s="4">
        <v>0.17199999999999999</v>
      </c>
      <c r="AC166" s="4">
        <v>0.6</v>
      </c>
      <c r="AD166" s="10">
        <f t="shared" si="24"/>
        <v>0.34532499999999999</v>
      </c>
      <c r="AE166" s="9"/>
      <c r="AF166" s="9"/>
      <c r="AG166" s="12">
        <f t="shared" si="36"/>
        <v>3.8</v>
      </c>
      <c r="AH166" s="12">
        <f t="shared" si="36"/>
        <v>10.4</v>
      </c>
      <c r="AI166" s="12">
        <f t="shared" si="36"/>
        <v>0.5</v>
      </c>
      <c r="AJ166" s="12">
        <f t="shared" si="23"/>
        <v>80.600000000000009</v>
      </c>
      <c r="AK166" s="12"/>
      <c r="AL166" s="12">
        <f t="shared" si="34"/>
        <v>37</v>
      </c>
      <c r="AM166" s="12">
        <f t="shared" si="34"/>
        <v>4.9000000000000004</v>
      </c>
      <c r="AN166" s="12">
        <f t="shared" si="34"/>
        <v>43.6</v>
      </c>
      <c r="AO166" s="12">
        <f t="shared" si="34"/>
        <v>78.400000000000006</v>
      </c>
      <c r="AP166" s="12">
        <f t="shared" si="34"/>
        <v>95.5</v>
      </c>
      <c r="AQ166" s="12">
        <f t="shared" si="34"/>
        <v>62.9</v>
      </c>
      <c r="AR166" s="12"/>
      <c r="AS166" s="12">
        <f t="shared" si="35"/>
        <v>0</v>
      </c>
      <c r="AT166" s="12">
        <f t="shared" si="35"/>
        <v>0</v>
      </c>
      <c r="AU166" s="12">
        <f t="shared" si="35"/>
        <v>6.6000000000000005</v>
      </c>
      <c r="AV166" s="12">
        <f t="shared" si="35"/>
        <v>0</v>
      </c>
      <c r="AW166" s="12">
        <f t="shared" si="35"/>
        <v>32</v>
      </c>
      <c r="AX166" s="12">
        <f t="shared" si="35"/>
        <v>73.400000000000006</v>
      </c>
      <c r="AY166" s="12"/>
      <c r="AZ166" s="12">
        <f t="shared" si="26"/>
        <v>100</v>
      </c>
      <c r="BA166" s="12">
        <f t="shared" si="27"/>
        <v>84.6</v>
      </c>
      <c r="BB166" s="12"/>
      <c r="BC166" s="12">
        <f t="shared" si="28"/>
        <v>42.5</v>
      </c>
      <c r="BD166" s="12">
        <f t="shared" si="29"/>
        <v>88.9</v>
      </c>
      <c r="BE166" s="12">
        <f t="shared" si="30"/>
        <v>97.3</v>
      </c>
    </row>
    <row r="167" spans="1:57" ht="15.75" customHeight="1">
      <c r="A167" s="1" t="s">
        <v>279</v>
      </c>
      <c r="B167" s="3" t="s">
        <v>232</v>
      </c>
      <c r="C167" s="4" t="s">
        <v>8</v>
      </c>
      <c r="D167" s="4">
        <v>14</v>
      </c>
      <c r="E167" s="4">
        <v>187</v>
      </c>
      <c r="F167" s="4">
        <v>14</v>
      </c>
      <c r="G167" s="4">
        <v>187</v>
      </c>
      <c r="H167" s="4">
        <v>0.45300000000000001</v>
      </c>
      <c r="I167" s="4">
        <v>11.5</v>
      </c>
      <c r="J167" s="4"/>
      <c r="K167" s="4">
        <v>0.66</v>
      </c>
      <c r="L167" s="4">
        <v>0.189</v>
      </c>
      <c r="M167" s="4">
        <v>0.434</v>
      </c>
      <c r="N167" s="4">
        <v>3.7999999999999999E-2</v>
      </c>
      <c r="O167" s="4">
        <v>0</v>
      </c>
      <c r="P167" s="4">
        <v>0.34</v>
      </c>
      <c r="Q167" s="4"/>
      <c r="R167" s="4">
        <v>0.51400000000000001</v>
      </c>
      <c r="S167" s="4">
        <v>0.4</v>
      </c>
      <c r="T167" s="4">
        <v>0.52200000000000002</v>
      </c>
      <c r="U167" s="4">
        <v>1</v>
      </c>
      <c r="V167" s="4">
        <v>0</v>
      </c>
      <c r="W167" s="4">
        <v>0.33300000000000002</v>
      </c>
      <c r="X167" s="4"/>
      <c r="Y167" s="4">
        <v>0.16700000000000001</v>
      </c>
      <c r="Z167" s="4">
        <v>0.5</v>
      </c>
      <c r="AA167" s="4"/>
      <c r="AB167" s="4">
        <v>0.16700000000000001</v>
      </c>
      <c r="AC167" s="4">
        <v>0.33300000000000002</v>
      </c>
      <c r="AD167" s="10">
        <f t="shared" si="24"/>
        <v>0.28022000000000002</v>
      </c>
      <c r="AE167" s="9"/>
      <c r="AF167" s="9"/>
      <c r="AG167" s="12">
        <f t="shared" si="36"/>
        <v>6</v>
      </c>
      <c r="AH167" s="12">
        <f t="shared" si="36"/>
        <v>9.9</v>
      </c>
      <c r="AI167" s="12">
        <f t="shared" si="36"/>
        <v>58.5</v>
      </c>
      <c r="AJ167" s="12">
        <f t="shared" si="23"/>
        <v>27.6</v>
      </c>
      <c r="AK167" s="12"/>
      <c r="AL167" s="12">
        <f t="shared" si="34"/>
        <v>64</v>
      </c>
      <c r="AM167" s="12">
        <f t="shared" si="34"/>
        <v>46.400000000000006</v>
      </c>
      <c r="AN167" s="12">
        <f t="shared" si="34"/>
        <v>93.899999999999991</v>
      </c>
      <c r="AO167" s="12">
        <f t="shared" si="34"/>
        <v>27.6</v>
      </c>
      <c r="AP167" s="12">
        <f t="shared" si="34"/>
        <v>0</v>
      </c>
      <c r="AQ167" s="12">
        <f t="shared" si="34"/>
        <v>35.9</v>
      </c>
      <c r="AR167" s="12"/>
      <c r="AS167" s="12">
        <f t="shared" si="35"/>
        <v>49.1</v>
      </c>
      <c r="AT167" s="12">
        <f t="shared" si="35"/>
        <v>4.3999999999999995</v>
      </c>
      <c r="AU167" s="12">
        <f t="shared" si="35"/>
        <v>80.600000000000009</v>
      </c>
      <c r="AV167" s="12">
        <f t="shared" si="35"/>
        <v>98.8</v>
      </c>
      <c r="AW167" s="12">
        <f t="shared" si="35"/>
        <v>0</v>
      </c>
      <c r="AX167" s="12">
        <f t="shared" si="35"/>
        <v>50.2</v>
      </c>
      <c r="AY167" s="12"/>
      <c r="AZ167" s="12">
        <f t="shared" si="26"/>
        <v>97.8</v>
      </c>
      <c r="BA167" s="12">
        <f t="shared" si="27"/>
        <v>92.9</v>
      </c>
      <c r="BB167" s="12"/>
      <c r="BC167" s="12">
        <f t="shared" si="28"/>
        <v>39.200000000000003</v>
      </c>
      <c r="BD167" s="12">
        <f t="shared" si="29"/>
        <v>43</v>
      </c>
      <c r="BE167" s="12">
        <f t="shared" si="30"/>
        <v>99.5</v>
      </c>
    </row>
    <row r="168" spans="1:57" ht="15.75" customHeight="1">
      <c r="A168" s="1" t="s">
        <v>276</v>
      </c>
      <c r="B168" s="3" t="s">
        <v>131</v>
      </c>
      <c r="C168" s="4" t="s">
        <v>94</v>
      </c>
      <c r="D168" s="4">
        <v>11</v>
      </c>
      <c r="E168" s="4">
        <v>178</v>
      </c>
      <c r="F168" s="4">
        <v>11</v>
      </c>
      <c r="G168" s="4">
        <v>178</v>
      </c>
      <c r="H168" s="4">
        <v>0.33</v>
      </c>
      <c r="I168" s="4">
        <v>12.2</v>
      </c>
      <c r="J168" s="4"/>
      <c r="K168" s="4">
        <v>0.73399999999999999</v>
      </c>
      <c r="L168" s="4">
        <v>0.191</v>
      </c>
      <c r="M168" s="4">
        <v>0.245</v>
      </c>
      <c r="N168" s="4">
        <v>0.26600000000000001</v>
      </c>
      <c r="O168" s="4">
        <v>3.2000000000000001E-2</v>
      </c>
      <c r="P168" s="4">
        <v>0.26600000000000001</v>
      </c>
      <c r="Q168" s="4"/>
      <c r="R168" s="4">
        <v>0.34799999999999998</v>
      </c>
      <c r="S168" s="4">
        <v>0.44400000000000001</v>
      </c>
      <c r="T168" s="4">
        <v>0.435</v>
      </c>
      <c r="U168" s="4">
        <v>0.24</v>
      </c>
      <c r="V168" s="4">
        <v>0</v>
      </c>
      <c r="W168" s="4">
        <v>0.28000000000000003</v>
      </c>
      <c r="X168" s="4"/>
      <c r="Y168" s="4">
        <v>0.54200000000000004</v>
      </c>
      <c r="Z168" s="4">
        <v>0.85699999999999998</v>
      </c>
      <c r="AA168" s="4"/>
      <c r="AB168" s="4">
        <v>0.16</v>
      </c>
      <c r="AC168" s="4">
        <v>0.25</v>
      </c>
      <c r="AD168" s="10">
        <f t="shared" si="24"/>
        <v>0.62579000000000007</v>
      </c>
      <c r="AE168" s="9"/>
      <c r="AF168" s="9"/>
      <c r="AG168" s="12">
        <f t="shared" si="36"/>
        <v>2.1999999999999997</v>
      </c>
      <c r="AH168" s="12">
        <f t="shared" si="36"/>
        <v>8.7999999999999989</v>
      </c>
      <c r="AI168" s="12">
        <f t="shared" si="36"/>
        <v>3.3000000000000003</v>
      </c>
      <c r="AJ168" s="12">
        <f t="shared" si="23"/>
        <v>32.5</v>
      </c>
      <c r="AK168" s="12"/>
      <c r="AL168" s="12">
        <f t="shared" si="34"/>
        <v>75.599999999999994</v>
      </c>
      <c r="AM168" s="12">
        <f t="shared" si="34"/>
        <v>47.5</v>
      </c>
      <c r="AN168" s="12">
        <f t="shared" si="34"/>
        <v>49.1</v>
      </c>
      <c r="AO168" s="12">
        <f t="shared" si="34"/>
        <v>99.4</v>
      </c>
      <c r="AP168" s="12">
        <f t="shared" si="34"/>
        <v>41.9</v>
      </c>
      <c r="AQ168" s="12">
        <f t="shared" si="34"/>
        <v>24.3</v>
      </c>
      <c r="AR168" s="12"/>
      <c r="AS168" s="12">
        <f t="shared" si="35"/>
        <v>2.7</v>
      </c>
      <c r="AT168" s="12">
        <f t="shared" si="35"/>
        <v>6</v>
      </c>
      <c r="AU168" s="12">
        <f t="shared" si="35"/>
        <v>46.9</v>
      </c>
      <c r="AV168" s="12">
        <f t="shared" si="35"/>
        <v>27</v>
      </c>
      <c r="AW168" s="12">
        <f t="shared" si="35"/>
        <v>0</v>
      </c>
      <c r="AX168" s="12">
        <f t="shared" si="35"/>
        <v>27.6</v>
      </c>
      <c r="AY168" s="12"/>
      <c r="AZ168" s="12">
        <f t="shared" si="26"/>
        <v>61.9</v>
      </c>
      <c r="BA168" s="12">
        <f t="shared" si="27"/>
        <v>69.099999999999994</v>
      </c>
      <c r="BB168" s="12"/>
      <c r="BC168" s="12">
        <f t="shared" si="28"/>
        <v>38.1</v>
      </c>
      <c r="BD168" s="12">
        <f t="shared" si="29"/>
        <v>23.200000000000003</v>
      </c>
      <c r="BE168" s="12">
        <f t="shared" si="30"/>
        <v>73.5</v>
      </c>
    </row>
    <row r="169" spans="1:57" ht="15.75" customHeight="1">
      <c r="A169" s="1" t="s">
        <v>260</v>
      </c>
      <c r="B169" s="3" t="s">
        <v>161</v>
      </c>
      <c r="C169" s="4" t="s">
        <v>8</v>
      </c>
      <c r="D169" s="4">
        <v>19</v>
      </c>
      <c r="E169" s="4">
        <v>178</v>
      </c>
      <c r="F169" s="4">
        <v>19</v>
      </c>
      <c r="G169" s="4">
        <v>178</v>
      </c>
      <c r="H169" s="4">
        <v>0.34499999999999997</v>
      </c>
      <c r="I169" s="4">
        <v>15.6</v>
      </c>
      <c r="J169" s="4"/>
      <c r="K169" s="4">
        <v>0.52700000000000002</v>
      </c>
      <c r="L169" s="4">
        <v>0.23599999999999999</v>
      </c>
      <c r="M169" s="4">
        <v>0.109</v>
      </c>
      <c r="N169" s="4">
        <v>9.0999999999999998E-2</v>
      </c>
      <c r="O169" s="4">
        <v>9.0999999999999998E-2</v>
      </c>
      <c r="P169" s="4">
        <v>0.47299999999999998</v>
      </c>
      <c r="Q169" s="4"/>
      <c r="R169" s="4">
        <v>0.379</v>
      </c>
      <c r="S169" s="4">
        <v>0.53800000000000003</v>
      </c>
      <c r="T169" s="4">
        <v>0.33300000000000002</v>
      </c>
      <c r="U169" s="4">
        <v>0</v>
      </c>
      <c r="V169" s="4">
        <v>0.4</v>
      </c>
      <c r="W169" s="4">
        <v>0.308</v>
      </c>
      <c r="X169" s="4"/>
      <c r="Y169" s="4">
        <v>0.63600000000000001</v>
      </c>
      <c r="Z169" s="4">
        <v>1</v>
      </c>
      <c r="AA169" s="4"/>
      <c r="AB169" s="4">
        <v>0.23100000000000001</v>
      </c>
      <c r="AC169" s="4">
        <v>0.33300000000000002</v>
      </c>
      <c r="AD169" s="10">
        <f t="shared" si="24"/>
        <v>0.808172</v>
      </c>
      <c r="AE169" s="9"/>
      <c r="AF169" s="9"/>
      <c r="AG169" s="12">
        <f t="shared" si="36"/>
        <v>14.899999999999999</v>
      </c>
      <c r="AH169" s="12">
        <f t="shared" si="36"/>
        <v>8.7999999999999989</v>
      </c>
      <c r="AI169" s="12">
        <f t="shared" si="36"/>
        <v>7.7</v>
      </c>
      <c r="AJ169" s="12">
        <f t="shared" si="23"/>
        <v>61.8</v>
      </c>
      <c r="AK169" s="12"/>
      <c r="AL169" s="12">
        <f t="shared" si="34"/>
        <v>38.1</v>
      </c>
      <c r="AM169" s="12">
        <f t="shared" si="34"/>
        <v>65.100000000000009</v>
      </c>
      <c r="AN169" s="12">
        <f t="shared" si="34"/>
        <v>6</v>
      </c>
      <c r="AO169" s="12">
        <f t="shared" si="34"/>
        <v>65.100000000000009</v>
      </c>
      <c r="AP169" s="12">
        <f t="shared" si="34"/>
        <v>86.1</v>
      </c>
      <c r="AQ169" s="12">
        <f t="shared" si="34"/>
        <v>61.8</v>
      </c>
      <c r="AR169" s="12"/>
      <c r="AS169" s="12">
        <f t="shared" si="35"/>
        <v>6</v>
      </c>
      <c r="AT169" s="12">
        <f t="shared" si="35"/>
        <v>12.1</v>
      </c>
      <c r="AU169" s="12">
        <f t="shared" si="35"/>
        <v>12.7</v>
      </c>
      <c r="AV169" s="12">
        <f t="shared" si="35"/>
        <v>0</v>
      </c>
      <c r="AW169" s="12">
        <f t="shared" si="35"/>
        <v>62.9</v>
      </c>
      <c r="AX169" s="12">
        <f t="shared" si="35"/>
        <v>38.1</v>
      </c>
      <c r="AY169" s="12"/>
      <c r="AZ169" s="12">
        <f t="shared" si="26"/>
        <v>47.599999999999994</v>
      </c>
      <c r="BA169" s="12">
        <f t="shared" si="27"/>
        <v>33.799999999999997</v>
      </c>
      <c r="BB169" s="12"/>
      <c r="BC169" s="12">
        <f t="shared" si="28"/>
        <v>64</v>
      </c>
      <c r="BD169" s="12">
        <f t="shared" si="29"/>
        <v>43</v>
      </c>
      <c r="BE169" s="12">
        <f t="shared" si="30"/>
        <v>31.5</v>
      </c>
    </row>
    <row r="170" spans="1:57" ht="15.75" customHeight="1">
      <c r="A170" s="1" t="s">
        <v>261</v>
      </c>
      <c r="B170" s="3" t="s">
        <v>128</v>
      </c>
      <c r="C170" s="4" t="s">
        <v>85</v>
      </c>
      <c r="D170" s="4">
        <v>33</v>
      </c>
      <c r="E170" s="4">
        <v>167</v>
      </c>
      <c r="F170" s="4">
        <v>33</v>
      </c>
      <c r="G170" s="4">
        <v>167</v>
      </c>
      <c r="H170" s="4">
        <v>0.33300000000000002</v>
      </c>
      <c r="I170" s="4">
        <v>15.2</v>
      </c>
      <c r="J170" s="4"/>
      <c r="K170" s="4">
        <v>0.49099999999999999</v>
      </c>
      <c r="L170" s="4">
        <v>0.26300000000000001</v>
      </c>
      <c r="M170" s="4">
        <v>0.158</v>
      </c>
      <c r="N170" s="4">
        <v>1.7999999999999999E-2</v>
      </c>
      <c r="O170" s="4">
        <v>5.2999999999999999E-2</v>
      </c>
      <c r="P170" s="4">
        <v>0.50900000000000001</v>
      </c>
      <c r="Q170" s="4"/>
      <c r="R170" s="4">
        <v>0.46400000000000002</v>
      </c>
      <c r="S170" s="4">
        <v>0.66700000000000004</v>
      </c>
      <c r="T170" s="4">
        <v>0.33300000000000002</v>
      </c>
      <c r="U170" s="4">
        <v>0</v>
      </c>
      <c r="V170" s="4">
        <v>0</v>
      </c>
      <c r="W170" s="4">
        <v>0.20699999999999999</v>
      </c>
      <c r="X170" s="4"/>
      <c r="Y170" s="4">
        <v>0.84599999999999997</v>
      </c>
      <c r="Z170" s="4">
        <v>1</v>
      </c>
      <c r="AA170" s="4"/>
      <c r="AB170" s="4">
        <v>0.41399999999999998</v>
      </c>
      <c r="AC170" s="4">
        <v>0.25</v>
      </c>
      <c r="AD170" s="10">
        <f t="shared" si="24"/>
        <v>0.92438599999999993</v>
      </c>
      <c r="AE170" s="9"/>
      <c r="AF170" s="9"/>
      <c r="AG170" s="12">
        <f t="shared" si="36"/>
        <v>39.700000000000003</v>
      </c>
      <c r="AH170" s="12">
        <f t="shared" si="36"/>
        <v>7.7</v>
      </c>
      <c r="AI170" s="12">
        <f t="shared" si="36"/>
        <v>4.3999999999999995</v>
      </c>
      <c r="AJ170" s="12">
        <f t="shared" si="23"/>
        <v>59.599999999999994</v>
      </c>
      <c r="AK170" s="12"/>
      <c r="AL170" s="12">
        <f t="shared" si="34"/>
        <v>27</v>
      </c>
      <c r="AM170" s="12">
        <f t="shared" si="34"/>
        <v>70.099999999999994</v>
      </c>
      <c r="AN170" s="12">
        <f t="shared" si="34"/>
        <v>20.399999999999999</v>
      </c>
      <c r="AO170" s="12">
        <f t="shared" si="34"/>
        <v>11</v>
      </c>
      <c r="AP170" s="12">
        <f t="shared" si="34"/>
        <v>64</v>
      </c>
      <c r="AQ170" s="12">
        <f t="shared" si="34"/>
        <v>71.8</v>
      </c>
      <c r="AR170" s="12"/>
      <c r="AS170" s="12">
        <f t="shared" si="35"/>
        <v>25.4</v>
      </c>
      <c r="AT170" s="12">
        <f t="shared" si="35"/>
        <v>46.9</v>
      </c>
      <c r="AU170" s="12">
        <f t="shared" si="35"/>
        <v>12.7</v>
      </c>
      <c r="AV170" s="12">
        <f t="shared" si="35"/>
        <v>0</v>
      </c>
      <c r="AW170" s="12">
        <f t="shared" si="35"/>
        <v>0</v>
      </c>
      <c r="AX170" s="12">
        <f t="shared" si="35"/>
        <v>12.7</v>
      </c>
      <c r="AY170" s="12"/>
      <c r="AZ170" s="12">
        <f t="shared" si="26"/>
        <v>6.6999999999999886</v>
      </c>
      <c r="BA170" s="12">
        <f t="shared" si="27"/>
        <v>33.799999999999997</v>
      </c>
      <c r="BB170" s="12"/>
      <c r="BC170" s="12">
        <f t="shared" si="28"/>
        <v>90</v>
      </c>
      <c r="BD170" s="12">
        <f t="shared" si="29"/>
        <v>23.200000000000003</v>
      </c>
      <c r="BE170" s="12">
        <f t="shared" si="30"/>
        <v>3.9000000000000057</v>
      </c>
    </row>
    <row r="171" spans="1:57" ht="15.75" customHeight="1">
      <c r="A171" s="1" t="s">
        <v>280</v>
      </c>
      <c r="B171" s="3" t="s">
        <v>117</v>
      </c>
      <c r="C171" s="4" t="s">
        <v>8</v>
      </c>
      <c r="D171" s="4">
        <v>11</v>
      </c>
      <c r="E171" s="4">
        <v>167</v>
      </c>
      <c r="F171" s="4">
        <v>11</v>
      </c>
      <c r="G171" s="4">
        <v>167</v>
      </c>
      <c r="H171" s="4">
        <v>0.36699999999999999</v>
      </c>
      <c r="I171" s="4">
        <v>19.8</v>
      </c>
      <c r="J171" s="4"/>
      <c r="K171" s="4">
        <v>0.30599999999999999</v>
      </c>
      <c r="L171" s="4">
        <v>4.1000000000000002E-2</v>
      </c>
      <c r="M171" s="4">
        <v>0.224</v>
      </c>
      <c r="N171" s="4">
        <v>0.02</v>
      </c>
      <c r="O171" s="4">
        <v>0.02</v>
      </c>
      <c r="P171" s="4">
        <v>0.69399999999999995</v>
      </c>
      <c r="Q171" s="4"/>
      <c r="R171" s="4">
        <v>0.33300000000000002</v>
      </c>
      <c r="S171" s="4">
        <v>0.5</v>
      </c>
      <c r="T171" s="4">
        <v>0.36399999999999999</v>
      </c>
      <c r="U171" s="4">
        <v>0</v>
      </c>
      <c r="V171" s="4">
        <v>0</v>
      </c>
      <c r="W171" s="4">
        <v>0.38200000000000001</v>
      </c>
      <c r="X171" s="4"/>
      <c r="Y171" s="4">
        <v>0.2</v>
      </c>
      <c r="Z171" s="4">
        <v>0.76900000000000002</v>
      </c>
      <c r="AA171" s="4"/>
      <c r="AB171" s="4">
        <v>0.17599999999999999</v>
      </c>
      <c r="AC171" s="4">
        <v>0.5</v>
      </c>
      <c r="AD171" s="10">
        <f t="shared" si="24"/>
        <v>0.59488600000000003</v>
      </c>
      <c r="AE171" s="9"/>
      <c r="AF171" s="9"/>
      <c r="AG171" s="12">
        <f t="shared" si="36"/>
        <v>2.1999999999999997</v>
      </c>
      <c r="AH171" s="12">
        <f t="shared" si="36"/>
        <v>7.7</v>
      </c>
      <c r="AI171" s="12">
        <f t="shared" si="36"/>
        <v>13.200000000000001</v>
      </c>
      <c r="AJ171" s="12">
        <f t="shared" si="23"/>
        <v>93.899999999999991</v>
      </c>
      <c r="AK171" s="12"/>
      <c r="AL171" s="12">
        <f t="shared" si="34"/>
        <v>7.7</v>
      </c>
      <c r="AM171" s="12">
        <f t="shared" si="34"/>
        <v>3.8</v>
      </c>
      <c r="AN171" s="12">
        <f t="shared" si="34"/>
        <v>40.799999999999997</v>
      </c>
      <c r="AO171" s="12">
        <f t="shared" si="34"/>
        <v>13.8</v>
      </c>
      <c r="AP171" s="12">
        <f t="shared" si="34"/>
        <v>26.5</v>
      </c>
      <c r="AQ171" s="12">
        <f t="shared" si="34"/>
        <v>92.2</v>
      </c>
      <c r="AR171" s="12"/>
      <c r="AS171" s="12">
        <f t="shared" si="35"/>
        <v>1.6</v>
      </c>
      <c r="AT171" s="12">
        <f t="shared" si="35"/>
        <v>8.2000000000000011</v>
      </c>
      <c r="AU171" s="12">
        <f t="shared" si="35"/>
        <v>20.399999999999999</v>
      </c>
      <c r="AV171" s="12">
        <f t="shared" si="35"/>
        <v>0</v>
      </c>
      <c r="AW171" s="12">
        <f t="shared" si="35"/>
        <v>0</v>
      </c>
      <c r="AX171" s="12">
        <f t="shared" si="35"/>
        <v>74.5</v>
      </c>
      <c r="AY171" s="12"/>
      <c r="AZ171" s="12">
        <f t="shared" si="26"/>
        <v>95.1</v>
      </c>
      <c r="BA171" s="12">
        <f t="shared" si="27"/>
        <v>79.599999999999994</v>
      </c>
      <c r="BB171" s="12"/>
      <c r="BC171" s="12">
        <f t="shared" si="28"/>
        <v>45.300000000000004</v>
      </c>
      <c r="BD171" s="12">
        <f t="shared" si="29"/>
        <v>79</v>
      </c>
      <c r="BE171" s="12">
        <f t="shared" si="30"/>
        <v>78.5</v>
      </c>
    </row>
    <row r="172" spans="1:57" ht="15.75" customHeight="1">
      <c r="A172" s="1" t="s">
        <v>284</v>
      </c>
      <c r="B172" s="3" t="s">
        <v>161</v>
      </c>
      <c r="C172" s="4" t="s">
        <v>85</v>
      </c>
      <c r="D172" s="4">
        <v>11</v>
      </c>
      <c r="E172" s="4">
        <v>154</v>
      </c>
      <c r="F172" s="4">
        <v>11</v>
      </c>
      <c r="G172" s="4">
        <v>154</v>
      </c>
      <c r="H172" s="4">
        <v>0.48099999999999998</v>
      </c>
      <c r="I172" s="4">
        <v>12.9</v>
      </c>
      <c r="J172" s="4"/>
      <c r="K172" s="4">
        <v>0.59299999999999997</v>
      </c>
      <c r="L172" s="4">
        <v>0.29599999999999999</v>
      </c>
      <c r="M172" s="4">
        <v>0.222</v>
      </c>
      <c r="N172" s="4">
        <v>0</v>
      </c>
      <c r="O172" s="4">
        <v>7.3999999999999996E-2</v>
      </c>
      <c r="P172" s="4">
        <v>0.40699999999999997</v>
      </c>
      <c r="Q172" s="4"/>
      <c r="R172" s="4">
        <v>0.5</v>
      </c>
      <c r="S172" s="4">
        <v>0.75</v>
      </c>
      <c r="T172" s="4">
        <v>0.33300000000000002</v>
      </c>
      <c r="U172" s="4">
        <v>0</v>
      </c>
      <c r="V172" s="4">
        <v>0</v>
      </c>
      <c r="W172" s="4">
        <v>0.45500000000000002</v>
      </c>
      <c r="X172" s="4"/>
      <c r="Y172" s="4">
        <v>0.375</v>
      </c>
      <c r="Z172" s="4">
        <v>1</v>
      </c>
      <c r="AA172" s="4"/>
      <c r="AB172" s="4">
        <v>0.54500000000000004</v>
      </c>
      <c r="AC172" s="4">
        <v>0.83299999999999996</v>
      </c>
      <c r="AD172" s="10">
        <f t="shared" si="24"/>
        <v>0.62937500000000002</v>
      </c>
      <c r="AE172" s="9"/>
      <c r="AF172" s="9"/>
      <c r="AG172" s="12">
        <f t="shared" si="36"/>
        <v>2.1999999999999997</v>
      </c>
      <c r="AH172" s="12">
        <f t="shared" si="36"/>
        <v>7.1</v>
      </c>
      <c r="AI172" s="12">
        <f t="shared" si="36"/>
        <v>72.3</v>
      </c>
      <c r="AJ172" s="12">
        <f t="shared" si="23"/>
        <v>39.700000000000003</v>
      </c>
      <c r="AK172" s="12"/>
      <c r="AL172" s="12">
        <f t="shared" si="34"/>
        <v>49.7</v>
      </c>
      <c r="AM172" s="12">
        <f t="shared" si="34"/>
        <v>77.3</v>
      </c>
      <c r="AN172" s="12">
        <f t="shared" si="34"/>
        <v>39.200000000000003</v>
      </c>
      <c r="AO172" s="12">
        <f t="shared" si="34"/>
        <v>0</v>
      </c>
      <c r="AP172" s="12">
        <f t="shared" si="34"/>
        <v>78.400000000000006</v>
      </c>
      <c r="AQ172" s="12">
        <f t="shared" si="34"/>
        <v>50.2</v>
      </c>
      <c r="AR172" s="12"/>
      <c r="AS172" s="12">
        <f t="shared" si="35"/>
        <v>41.9</v>
      </c>
      <c r="AT172" s="12">
        <f t="shared" si="35"/>
        <v>77.3</v>
      </c>
      <c r="AU172" s="12">
        <f t="shared" si="35"/>
        <v>12.7</v>
      </c>
      <c r="AV172" s="12">
        <f t="shared" si="35"/>
        <v>0</v>
      </c>
      <c r="AW172" s="12">
        <f t="shared" si="35"/>
        <v>0</v>
      </c>
      <c r="AX172" s="12">
        <f t="shared" si="35"/>
        <v>96.1</v>
      </c>
      <c r="AY172" s="12"/>
      <c r="AZ172" s="12">
        <f t="shared" si="26"/>
        <v>84</v>
      </c>
      <c r="BA172" s="12">
        <f t="shared" si="27"/>
        <v>33.799999999999997</v>
      </c>
      <c r="BB172" s="12"/>
      <c r="BC172" s="12">
        <f t="shared" si="28"/>
        <v>97.2</v>
      </c>
      <c r="BD172" s="12">
        <f t="shared" si="29"/>
        <v>96.6</v>
      </c>
      <c r="BE172" s="12">
        <f t="shared" si="30"/>
        <v>72.400000000000006</v>
      </c>
    </row>
    <row r="173" spans="1:57" ht="15.75" customHeight="1">
      <c r="A173" s="1" t="s">
        <v>274</v>
      </c>
      <c r="B173" s="3" t="s">
        <v>128</v>
      </c>
      <c r="C173" s="4" t="s">
        <v>85</v>
      </c>
      <c r="D173" s="4">
        <v>9</v>
      </c>
      <c r="E173" s="4">
        <v>152</v>
      </c>
      <c r="F173" s="4">
        <v>9</v>
      </c>
      <c r="G173" s="4">
        <v>152</v>
      </c>
      <c r="H173" s="4">
        <v>0.51900000000000002</v>
      </c>
      <c r="I173" s="4">
        <v>5.4</v>
      </c>
      <c r="J173" s="4"/>
      <c r="K173" s="4">
        <v>0.88500000000000001</v>
      </c>
      <c r="L173" s="4">
        <v>0.59599999999999997</v>
      </c>
      <c r="M173" s="4">
        <v>0.26900000000000002</v>
      </c>
      <c r="N173" s="4">
        <v>0</v>
      </c>
      <c r="O173" s="4">
        <v>1.9E-2</v>
      </c>
      <c r="P173" s="4">
        <v>0.115</v>
      </c>
      <c r="Q173" s="4"/>
      <c r="R173" s="4">
        <v>0.56499999999999995</v>
      </c>
      <c r="S173" s="4">
        <v>0.67700000000000005</v>
      </c>
      <c r="T173" s="4">
        <v>0.35699999999999998</v>
      </c>
      <c r="U173" s="4">
        <v>0</v>
      </c>
      <c r="V173" s="4">
        <v>0</v>
      </c>
      <c r="W173" s="4">
        <v>0.16700000000000001</v>
      </c>
      <c r="X173" s="4"/>
      <c r="Y173" s="4">
        <v>0.76900000000000002</v>
      </c>
      <c r="Z173" s="4">
        <v>1</v>
      </c>
      <c r="AA173" s="4"/>
      <c r="AB173" s="4">
        <v>0</v>
      </c>
      <c r="AC173" s="4">
        <v>0</v>
      </c>
      <c r="AD173" s="10">
        <f t="shared" si="24"/>
        <v>0.79556499999999997</v>
      </c>
      <c r="AE173" s="9"/>
      <c r="AF173" s="9"/>
      <c r="AG173" s="12">
        <f t="shared" si="36"/>
        <v>0.5</v>
      </c>
      <c r="AH173" s="12">
        <f t="shared" si="36"/>
        <v>6.6000000000000005</v>
      </c>
      <c r="AI173" s="12">
        <f t="shared" si="36"/>
        <v>85</v>
      </c>
      <c r="AJ173" s="12">
        <f t="shared" si="23"/>
        <v>5.5</v>
      </c>
      <c r="AK173" s="12"/>
      <c r="AL173" s="12">
        <f t="shared" si="34"/>
        <v>87.8</v>
      </c>
      <c r="AM173" s="12">
        <f t="shared" si="34"/>
        <v>98.8</v>
      </c>
      <c r="AN173" s="12">
        <f t="shared" si="34"/>
        <v>56.3</v>
      </c>
      <c r="AO173" s="12">
        <f t="shared" si="34"/>
        <v>0</v>
      </c>
      <c r="AP173" s="12">
        <f t="shared" si="34"/>
        <v>24.3</v>
      </c>
      <c r="AQ173" s="12">
        <f t="shared" si="34"/>
        <v>12.1</v>
      </c>
      <c r="AR173" s="12"/>
      <c r="AS173" s="12">
        <f t="shared" si="35"/>
        <v>79</v>
      </c>
      <c r="AT173" s="12">
        <f t="shared" si="35"/>
        <v>51.9</v>
      </c>
      <c r="AU173" s="12">
        <f t="shared" si="35"/>
        <v>19.3</v>
      </c>
      <c r="AV173" s="12">
        <f t="shared" si="35"/>
        <v>0</v>
      </c>
      <c r="AW173" s="12">
        <f t="shared" si="35"/>
        <v>0</v>
      </c>
      <c r="AX173" s="12">
        <f t="shared" si="35"/>
        <v>7.7</v>
      </c>
      <c r="AY173" s="12"/>
      <c r="AZ173" s="12">
        <f t="shared" si="26"/>
        <v>19.899999999999991</v>
      </c>
      <c r="BA173" s="12">
        <f t="shared" si="27"/>
        <v>33.799999999999997</v>
      </c>
      <c r="BB173" s="12"/>
      <c r="BC173" s="12">
        <f t="shared" si="28"/>
        <v>0</v>
      </c>
      <c r="BD173" s="12">
        <f t="shared" si="29"/>
        <v>0</v>
      </c>
      <c r="BE173" s="12">
        <f t="shared" si="30"/>
        <v>36</v>
      </c>
    </row>
    <row r="174" spans="1:57" ht="15.75" customHeight="1">
      <c r="A174" s="1" t="s">
        <v>265</v>
      </c>
      <c r="B174" s="3" t="s">
        <v>93</v>
      </c>
      <c r="C174" s="4" t="s">
        <v>85</v>
      </c>
      <c r="D174" s="4">
        <v>16</v>
      </c>
      <c r="E174" s="4">
        <v>149</v>
      </c>
      <c r="F174" s="4">
        <v>16</v>
      </c>
      <c r="G174" s="4">
        <v>149</v>
      </c>
      <c r="H174" s="4">
        <v>0.48899999999999999</v>
      </c>
      <c r="I174" s="4">
        <v>10.6</v>
      </c>
      <c r="J174" s="4"/>
      <c r="K174" s="4">
        <v>0.66700000000000004</v>
      </c>
      <c r="L174" s="4">
        <v>0.378</v>
      </c>
      <c r="M174" s="4">
        <v>0.28899999999999998</v>
      </c>
      <c r="N174" s="4">
        <v>0</v>
      </c>
      <c r="O174" s="4">
        <v>0</v>
      </c>
      <c r="P174" s="4">
        <v>0.33300000000000002</v>
      </c>
      <c r="Q174" s="4"/>
      <c r="R174" s="4">
        <v>0.56699999999999995</v>
      </c>
      <c r="S174" s="4">
        <v>0.58799999999999997</v>
      </c>
      <c r="T174" s="4">
        <v>0.53800000000000003</v>
      </c>
      <c r="U174" s="4">
        <v>0</v>
      </c>
      <c r="V174" s="4">
        <v>0</v>
      </c>
      <c r="W174" s="4">
        <v>0.33300000000000002</v>
      </c>
      <c r="X174" s="4"/>
      <c r="Y174" s="4">
        <v>0.52900000000000003</v>
      </c>
      <c r="Z174" s="4">
        <v>1</v>
      </c>
      <c r="AA174" s="4"/>
      <c r="AB174" s="4">
        <v>0.13300000000000001</v>
      </c>
      <c r="AC174" s="4">
        <v>0.5</v>
      </c>
      <c r="AD174" s="10">
        <f t="shared" si="24"/>
        <v>0.68584299999999998</v>
      </c>
      <c r="AE174" s="9"/>
      <c r="AF174" s="9"/>
      <c r="AG174" s="12">
        <f t="shared" si="36"/>
        <v>8.2000000000000011</v>
      </c>
      <c r="AH174" s="12">
        <f t="shared" si="36"/>
        <v>6</v>
      </c>
      <c r="AI174" s="12">
        <f t="shared" si="36"/>
        <v>75.599999999999994</v>
      </c>
      <c r="AJ174" s="12">
        <f t="shared" si="23"/>
        <v>22</v>
      </c>
      <c r="AK174" s="12"/>
      <c r="AL174" s="12">
        <f t="shared" si="34"/>
        <v>65.100000000000009</v>
      </c>
      <c r="AM174" s="12">
        <f t="shared" si="34"/>
        <v>87.8</v>
      </c>
      <c r="AN174" s="12">
        <f t="shared" si="34"/>
        <v>62.9</v>
      </c>
      <c r="AO174" s="12">
        <f t="shared" si="34"/>
        <v>0</v>
      </c>
      <c r="AP174" s="12">
        <f t="shared" si="34"/>
        <v>0</v>
      </c>
      <c r="AQ174" s="12">
        <f t="shared" si="34"/>
        <v>34.799999999999997</v>
      </c>
      <c r="AR174" s="12"/>
      <c r="AS174" s="12">
        <f t="shared" si="35"/>
        <v>80.600000000000009</v>
      </c>
      <c r="AT174" s="12">
        <f t="shared" si="35"/>
        <v>22</v>
      </c>
      <c r="AU174" s="12">
        <f t="shared" si="35"/>
        <v>86.1</v>
      </c>
      <c r="AV174" s="12">
        <f t="shared" si="35"/>
        <v>0</v>
      </c>
      <c r="AW174" s="12">
        <f t="shared" si="35"/>
        <v>0</v>
      </c>
      <c r="AX174" s="12">
        <f t="shared" si="35"/>
        <v>50.2</v>
      </c>
      <c r="AY174" s="12"/>
      <c r="AZ174" s="12">
        <f t="shared" si="26"/>
        <v>63</v>
      </c>
      <c r="BA174" s="12">
        <f t="shared" si="27"/>
        <v>33.799999999999997</v>
      </c>
      <c r="BB174" s="12"/>
      <c r="BC174" s="12">
        <f t="shared" si="28"/>
        <v>26.5</v>
      </c>
      <c r="BD174" s="12">
        <f t="shared" si="29"/>
        <v>79</v>
      </c>
      <c r="BE174" s="12">
        <f t="shared" si="30"/>
        <v>61.4</v>
      </c>
    </row>
    <row r="175" spans="1:57" ht="15.75" customHeight="1">
      <c r="A175" s="1" t="s">
        <v>164</v>
      </c>
      <c r="B175" s="3" t="s">
        <v>114</v>
      </c>
      <c r="C175" s="4" t="s">
        <v>8</v>
      </c>
      <c r="D175" s="4">
        <v>10</v>
      </c>
      <c r="E175" s="4">
        <v>148</v>
      </c>
      <c r="F175" s="4">
        <v>10</v>
      </c>
      <c r="G175" s="4">
        <v>148</v>
      </c>
      <c r="H175" s="4">
        <v>0.46200000000000002</v>
      </c>
      <c r="I175" s="4">
        <v>20.5</v>
      </c>
      <c r="J175" s="4"/>
      <c r="K175" s="4">
        <v>0.23100000000000001</v>
      </c>
      <c r="L175" s="4">
        <v>3.7999999999999999E-2</v>
      </c>
      <c r="M175" s="4">
        <v>0.154</v>
      </c>
      <c r="N175" s="4">
        <v>0</v>
      </c>
      <c r="O175" s="4">
        <v>3.7999999999999999E-2</v>
      </c>
      <c r="P175" s="4">
        <v>0.76900000000000002</v>
      </c>
      <c r="Q175" s="4"/>
      <c r="R175" s="4">
        <v>0.5</v>
      </c>
      <c r="S175" s="4">
        <v>1</v>
      </c>
      <c r="T175" s="4">
        <v>0.5</v>
      </c>
      <c r="U175" s="4">
        <v>0</v>
      </c>
      <c r="V175" s="4">
        <v>0</v>
      </c>
      <c r="W175" s="4">
        <v>0.45</v>
      </c>
      <c r="X175" s="4"/>
      <c r="Y175" s="4">
        <v>0.33300000000000002</v>
      </c>
      <c r="Z175" s="4">
        <v>1</v>
      </c>
      <c r="AA175" s="4"/>
      <c r="AB175" s="4">
        <v>0.1</v>
      </c>
      <c r="AC175" s="4">
        <v>0</v>
      </c>
      <c r="AD175" s="10">
        <f t="shared" si="24"/>
        <v>0.84592299999999998</v>
      </c>
      <c r="AE175" s="9"/>
      <c r="AF175" s="9"/>
      <c r="AG175" s="12">
        <f t="shared" si="36"/>
        <v>1.6</v>
      </c>
      <c r="AH175" s="12">
        <f t="shared" si="36"/>
        <v>5.5</v>
      </c>
      <c r="AI175" s="12">
        <f t="shared" si="36"/>
        <v>64.600000000000009</v>
      </c>
      <c r="AJ175" s="12">
        <f t="shared" si="23"/>
        <v>96.6</v>
      </c>
      <c r="AK175" s="9"/>
      <c r="AL175" s="12">
        <f t="shared" si="34"/>
        <v>1.6</v>
      </c>
      <c r="AM175" s="12">
        <f t="shared" si="34"/>
        <v>3.3000000000000003</v>
      </c>
      <c r="AN175" s="12">
        <f t="shared" si="34"/>
        <v>17.599999999999998</v>
      </c>
      <c r="AO175" s="12">
        <f t="shared" si="34"/>
        <v>0</v>
      </c>
      <c r="AP175" s="12">
        <f t="shared" si="34"/>
        <v>48.6</v>
      </c>
      <c r="AQ175" s="12">
        <f t="shared" si="34"/>
        <v>98.3</v>
      </c>
      <c r="AR175" s="9"/>
      <c r="AS175" s="12">
        <f t="shared" si="35"/>
        <v>41.9</v>
      </c>
      <c r="AT175" s="12">
        <f t="shared" si="35"/>
        <v>98.3</v>
      </c>
      <c r="AU175" s="12">
        <f t="shared" si="35"/>
        <v>74</v>
      </c>
      <c r="AV175" s="12">
        <f t="shared" si="35"/>
        <v>0</v>
      </c>
      <c r="AW175" s="12">
        <f t="shared" si="35"/>
        <v>0</v>
      </c>
      <c r="AX175" s="12">
        <f t="shared" si="35"/>
        <v>95.5</v>
      </c>
      <c r="AY175" s="9"/>
      <c r="AZ175" s="12">
        <f t="shared" si="26"/>
        <v>88.4</v>
      </c>
      <c r="BA175" s="12">
        <f t="shared" si="27"/>
        <v>33.799999999999997</v>
      </c>
      <c r="BB175" s="9"/>
      <c r="BC175" s="12">
        <f t="shared" si="28"/>
        <v>17.100000000000001</v>
      </c>
      <c r="BD175" s="12">
        <f t="shared" si="29"/>
        <v>0</v>
      </c>
      <c r="BE175" s="12">
        <f t="shared" si="30"/>
        <v>23.299999999999997</v>
      </c>
    </row>
    <row r="176" spans="1:57" ht="15.75" customHeight="1">
      <c r="A176" s="1" t="s">
        <v>259</v>
      </c>
      <c r="B176" s="3" t="s">
        <v>140</v>
      </c>
      <c r="C176" s="4" t="s">
        <v>8</v>
      </c>
      <c r="D176" s="4">
        <v>20</v>
      </c>
      <c r="E176" s="4">
        <v>143</v>
      </c>
      <c r="F176" s="4">
        <v>20</v>
      </c>
      <c r="G176" s="4">
        <v>143</v>
      </c>
      <c r="H176" s="4">
        <v>0.432</v>
      </c>
      <c r="I176" s="4">
        <v>16</v>
      </c>
      <c r="J176" s="4"/>
      <c r="K176" s="4">
        <v>0.52300000000000002</v>
      </c>
      <c r="L176" s="4">
        <v>9.0999999999999998E-2</v>
      </c>
      <c r="M176" s="4">
        <v>0.20499999999999999</v>
      </c>
      <c r="N176" s="4">
        <v>0.20499999999999999</v>
      </c>
      <c r="O176" s="4">
        <v>2.3E-2</v>
      </c>
      <c r="P176" s="4">
        <v>0.47699999999999998</v>
      </c>
      <c r="Q176" s="4"/>
      <c r="R176" s="4">
        <v>0.47799999999999998</v>
      </c>
      <c r="S176" s="4">
        <v>0.5</v>
      </c>
      <c r="T176" s="4">
        <v>0.33300000000000002</v>
      </c>
      <c r="U176" s="4">
        <v>0.66700000000000004</v>
      </c>
      <c r="V176" s="4">
        <v>0</v>
      </c>
      <c r="W176" s="4">
        <v>0.38100000000000001</v>
      </c>
      <c r="X176" s="4"/>
      <c r="Y176" s="4">
        <v>0.45500000000000002</v>
      </c>
      <c r="Z176" s="4">
        <v>0.875</v>
      </c>
      <c r="AA176" s="4"/>
      <c r="AB176" s="4">
        <v>0.19</v>
      </c>
      <c r="AC176" s="4">
        <v>0.75</v>
      </c>
      <c r="AD176" s="10">
        <f t="shared" si="24"/>
        <v>0.65534000000000003</v>
      </c>
      <c r="AE176" s="9"/>
      <c r="AF176" s="9"/>
      <c r="AG176" s="12">
        <f t="shared" si="36"/>
        <v>17.100000000000001</v>
      </c>
      <c r="AH176" s="12">
        <f t="shared" si="36"/>
        <v>4.9000000000000004</v>
      </c>
      <c r="AI176" s="12">
        <f t="shared" si="36"/>
        <v>44.1</v>
      </c>
      <c r="AJ176" s="12">
        <f t="shared" si="23"/>
        <v>67.900000000000006</v>
      </c>
      <c r="AK176" s="9"/>
      <c r="AL176" s="12">
        <f t="shared" si="34"/>
        <v>36.4</v>
      </c>
      <c r="AM176" s="12">
        <f t="shared" si="34"/>
        <v>12.1</v>
      </c>
      <c r="AN176" s="12">
        <f t="shared" si="34"/>
        <v>35.299999999999997</v>
      </c>
      <c r="AO176" s="12">
        <f t="shared" si="34"/>
        <v>96.6</v>
      </c>
      <c r="AP176" s="12">
        <f t="shared" si="34"/>
        <v>31.4</v>
      </c>
      <c r="AQ176" s="12">
        <f t="shared" si="34"/>
        <v>63.5</v>
      </c>
      <c r="AR176" s="9"/>
      <c r="AS176" s="12">
        <f t="shared" si="35"/>
        <v>34.200000000000003</v>
      </c>
      <c r="AT176" s="12">
        <f t="shared" si="35"/>
        <v>8.2000000000000011</v>
      </c>
      <c r="AU176" s="12">
        <f t="shared" si="35"/>
        <v>12.7</v>
      </c>
      <c r="AV176" s="12">
        <f t="shared" si="35"/>
        <v>96.1</v>
      </c>
      <c r="AW176" s="12">
        <f t="shared" si="35"/>
        <v>0</v>
      </c>
      <c r="AX176" s="12">
        <f t="shared" si="35"/>
        <v>74</v>
      </c>
      <c r="AY176" s="9"/>
      <c r="AZ176" s="12">
        <f t="shared" si="26"/>
        <v>71.3</v>
      </c>
      <c r="BA176" s="12">
        <f t="shared" si="27"/>
        <v>65.8</v>
      </c>
      <c r="BB176" s="9"/>
      <c r="BC176" s="12">
        <f t="shared" si="28"/>
        <v>51.9</v>
      </c>
      <c r="BD176" s="12">
        <f t="shared" si="29"/>
        <v>94.399999999999991</v>
      </c>
      <c r="BE176" s="12">
        <f t="shared" si="30"/>
        <v>67.5</v>
      </c>
    </row>
    <row r="177" spans="1:57" ht="15.75" customHeight="1">
      <c r="A177" s="1" t="s">
        <v>285</v>
      </c>
      <c r="B177" s="3" t="s">
        <v>137</v>
      </c>
      <c r="C177" s="4" t="s">
        <v>8</v>
      </c>
      <c r="D177" s="4">
        <v>9</v>
      </c>
      <c r="E177" s="4">
        <v>138</v>
      </c>
      <c r="F177" s="4">
        <v>9</v>
      </c>
      <c r="G177" s="4">
        <v>138</v>
      </c>
      <c r="H177" s="4">
        <v>0.47099999999999997</v>
      </c>
      <c r="I177" s="4">
        <v>8.4</v>
      </c>
      <c r="J177" s="4"/>
      <c r="K177" s="4">
        <v>0.79400000000000004</v>
      </c>
      <c r="L177" s="4">
        <v>0.41199999999999998</v>
      </c>
      <c r="M177" s="4">
        <v>0.38200000000000001</v>
      </c>
      <c r="N177" s="4">
        <v>0</v>
      </c>
      <c r="O177" s="4">
        <v>0</v>
      </c>
      <c r="P177" s="4">
        <v>0.20599999999999999</v>
      </c>
      <c r="Q177" s="4"/>
      <c r="R177" s="4">
        <v>0.55600000000000005</v>
      </c>
      <c r="S177" s="4">
        <v>0.78600000000000003</v>
      </c>
      <c r="T177" s="4">
        <v>0.308</v>
      </c>
      <c r="U177" s="4">
        <v>0</v>
      </c>
      <c r="V177" s="4">
        <v>0</v>
      </c>
      <c r="W177" s="4">
        <v>0.14299999999999999</v>
      </c>
      <c r="X177" s="4"/>
      <c r="Y177" s="4">
        <v>0.26700000000000002</v>
      </c>
      <c r="Z177" s="4">
        <v>1</v>
      </c>
      <c r="AA177" s="4"/>
      <c r="AB177" s="4">
        <v>0.28599999999999998</v>
      </c>
      <c r="AC177" s="4">
        <v>0</v>
      </c>
      <c r="AD177" s="10">
        <f t="shared" si="24"/>
        <v>0.41799799999999998</v>
      </c>
      <c r="AE177" s="9"/>
      <c r="AF177" s="9"/>
      <c r="AG177" s="12">
        <f t="shared" ref="AG177" si="37">(PERCENTRANK(F$4:F$298,F177))*100</f>
        <v>0.5</v>
      </c>
      <c r="AH177" s="12">
        <f t="shared" ref="AH177" si="38">(PERCENTRANK(G$4:G$298,G177))*100</f>
        <v>4.3999999999999995</v>
      </c>
      <c r="AI177" s="12">
        <f t="shared" ref="AI177" si="39">(PERCENTRANK(H$4:H$298,H177))*100</f>
        <v>69</v>
      </c>
      <c r="AJ177" s="12">
        <f t="shared" ref="AJ177" si="40">(PERCENTRANK(I$4:I$298,I177))*100</f>
        <v>13.8</v>
      </c>
      <c r="AK177" s="9"/>
      <c r="AL177" s="12">
        <f t="shared" ref="AL177" si="41">(PERCENTRANK(K$4:K$298,K177))*100</f>
        <v>83.399999999999991</v>
      </c>
      <c r="AM177" s="12">
        <f t="shared" ref="AM177" si="42">(PERCENTRANK(L$4:L$298,L177))*100</f>
        <v>91.7</v>
      </c>
      <c r="AN177" s="12">
        <f t="shared" ref="AN177" si="43">(PERCENTRANK(M$4:M$298,M177))*100</f>
        <v>85</v>
      </c>
      <c r="AO177" s="12">
        <f t="shared" ref="AO177" si="44">(PERCENTRANK(N$4:N$298,N177))*100</f>
        <v>0</v>
      </c>
      <c r="AP177" s="12">
        <f t="shared" ref="AP177" si="45">(PERCENTRANK(O$4:O$298,O177))*100</f>
        <v>0</v>
      </c>
      <c r="AQ177" s="12">
        <f t="shared" ref="AQ177" si="46">(PERCENTRANK(P$4:P$298,P177))*100</f>
        <v>16.5</v>
      </c>
      <c r="AR177" s="9"/>
      <c r="AS177" s="12">
        <f t="shared" ref="AS177" si="47">(PERCENTRANK(R$4:R$298,R177))*100</f>
        <v>75.099999999999994</v>
      </c>
      <c r="AT177" s="12">
        <f t="shared" ref="AT177" si="48">(PERCENTRANK(S$4:S$298,S177))*100</f>
        <v>88.3</v>
      </c>
      <c r="AU177" s="12">
        <f t="shared" ref="AU177" si="49">(PERCENTRANK(T$4:T$298,T177))*100</f>
        <v>9.9</v>
      </c>
      <c r="AV177" s="12">
        <f t="shared" ref="AV177" si="50">(PERCENTRANK(U$4:U$298,U177))*100</f>
        <v>0</v>
      </c>
      <c r="AW177" s="12">
        <f t="shared" ref="AW177" si="51">(PERCENTRANK(V$4:V$298,V177))*100</f>
        <v>0</v>
      </c>
      <c r="AX177" s="12">
        <f t="shared" ref="AX177" si="52">(PERCENTRANK(W$4:W$298,W177))*100</f>
        <v>6.6000000000000005</v>
      </c>
      <c r="AY177" s="9"/>
      <c r="AZ177" s="12">
        <f t="shared" ref="AZ177" si="53">100-(PERCENTRANK(Y$4:Y$298,Y177))*100</f>
        <v>91.8</v>
      </c>
      <c r="BA177" s="12">
        <f t="shared" ref="BA177" si="54">100-(PERCENTRANK(Z$4:Z$298,Z177))*100</f>
        <v>33.799999999999997</v>
      </c>
      <c r="BB177" s="9"/>
      <c r="BC177" s="12">
        <f t="shared" ref="BC177" si="55">(PERCENTRANK(AB$4:AB$298,AB177))*100</f>
        <v>75.099999999999994</v>
      </c>
      <c r="BD177" s="12">
        <f t="shared" ref="BD177" si="56">(PERCENTRANK(AC$4:AC$298,AC177))*100</f>
        <v>0</v>
      </c>
      <c r="BE177" s="12">
        <f t="shared" ref="BE177" si="57">100-(PERCENTRANK(AD$4:AD$298,AD177))*100</f>
        <v>93.4</v>
      </c>
    </row>
    <row r="178" spans="1:57" ht="15.75" customHeight="1">
      <c r="A178" s="1" t="s">
        <v>263</v>
      </c>
      <c r="B178" s="3" t="s">
        <v>137</v>
      </c>
      <c r="C178" s="4" t="s">
        <v>8</v>
      </c>
      <c r="D178" s="4">
        <v>17</v>
      </c>
      <c r="E178" s="4">
        <v>120</v>
      </c>
      <c r="F178" s="4">
        <v>17</v>
      </c>
      <c r="G178" s="4">
        <v>120</v>
      </c>
      <c r="H178" s="4">
        <v>0.371</v>
      </c>
      <c r="I178" s="4">
        <v>20.100000000000001</v>
      </c>
      <c r="J178" s="4"/>
      <c r="K178" s="4">
        <v>0.25700000000000001</v>
      </c>
      <c r="L178" s="4">
        <v>0.114</v>
      </c>
      <c r="M178" s="4">
        <v>0.14299999999999999</v>
      </c>
      <c r="N178" s="4">
        <v>0</v>
      </c>
      <c r="O178" s="4">
        <v>0</v>
      </c>
      <c r="P178" s="4">
        <v>0.74299999999999999</v>
      </c>
      <c r="Q178" s="4"/>
      <c r="R178" s="4">
        <v>0.55600000000000005</v>
      </c>
      <c r="S178" s="4">
        <v>0.75</v>
      </c>
      <c r="T178" s="4">
        <v>0.4</v>
      </c>
      <c r="U178" s="4">
        <v>0</v>
      </c>
      <c r="V178" s="4">
        <v>0</v>
      </c>
      <c r="W178" s="4">
        <v>0.308</v>
      </c>
      <c r="X178" s="4"/>
      <c r="Y178" s="4">
        <v>0.8</v>
      </c>
      <c r="Z178" s="4">
        <v>1</v>
      </c>
      <c r="AA178" s="4"/>
      <c r="AB178" s="4">
        <v>0.34599999999999997</v>
      </c>
      <c r="AC178" s="4">
        <v>0.44400000000000001</v>
      </c>
      <c r="AD178" s="10">
        <f t="shared" si="24"/>
        <v>0.9486</v>
      </c>
      <c r="AE178" s="9"/>
      <c r="AF178" s="9"/>
      <c r="AG178" s="12">
        <f t="shared" ref="AG178:AG181" si="58">(PERCENTRANK(F$4:F$298,F178))*100</f>
        <v>10.4</v>
      </c>
      <c r="AH178" s="12">
        <f t="shared" ref="AH178:AH181" si="59">(PERCENTRANK(G$4:G$298,G178))*100</f>
        <v>3.3000000000000003</v>
      </c>
      <c r="AI178" s="12">
        <f t="shared" ref="AI178:AI181" si="60">(PERCENTRANK(H$4:H$298,H178))*100</f>
        <v>16</v>
      </c>
      <c r="AJ178" s="12">
        <f t="shared" ref="AJ178:AJ181" si="61">(PERCENTRANK(I$4:I$298,I178))*100</f>
        <v>94.399999999999991</v>
      </c>
      <c r="AK178" s="9"/>
      <c r="AL178" s="12">
        <f t="shared" ref="AL178:AL181" si="62">(PERCENTRANK(K$4:K$298,K178))*100</f>
        <v>2.7</v>
      </c>
      <c r="AM178" s="12">
        <f t="shared" ref="AM178:AM181" si="63">(PERCENTRANK(L$4:L$298,L178))*100</f>
        <v>20.399999999999999</v>
      </c>
      <c r="AN178" s="12">
        <f t="shared" ref="AN178:AN181" si="64">(PERCENTRANK(M$4:M$298,M178))*100</f>
        <v>14.299999999999999</v>
      </c>
      <c r="AO178" s="12">
        <f t="shared" ref="AO178:AO181" si="65">(PERCENTRANK(N$4:N$298,N178))*100</f>
        <v>0</v>
      </c>
      <c r="AP178" s="12">
        <f t="shared" ref="AP178:AP181" si="66">(PERCENTRANK(O$4:O$298,O178))*100</f>
        <v>0</v>
      </c>
      <c r="AQ178" s="12">
        <f t="shared" ref="AQ178:AQ181" si="67">(PERCENTRANK(P$4:P$298,P178))*100</f>
        <v>97.2</v>
      </c>
      <c r="AR178" s="9"/>
      <c r="AS178" s="12">
        <f t="shared" ref="AS178:AS181" si="68">(PERCENTRANK(R$4:R$298,R178))*100</f>
        <v>75.099999999999994</v>
      </c>
      <c r="AT178" s="12">
        <f t="shared" ref="AT178:AT181" si="69">(PERCENTRANK(S$4:S$298,S178))*100</f>
        <v>77.3</v>
      </c>
      <c r="AU178" s="12">
        <f t="shared" ref="AU178:AU181" si="70">(PERCENTRANK(T$4:T$298,T178))*100</f>
        <v>32.5</v>
      </c>
      <c r="AV178" s="12">
        <f t="shared" ref="AV178:AV181" si="71">(PERCENTRANK(U$4:U$298,U178))*100</f>
        <v>0</v>
      </c>
      <c r="AW178" s="12">
        <f t="shared" ref="AW178:AW181" si="72">(PERCENTRANK(V$4:V$298,V178))*100</f>
        <v>0</v>
      </c>
      <c r="AX178" s="12">
        <f t="shared" ref="AX178:AX181" si="73">(PERCENTRANK(W$4:W$298,W178))*100</f>
        <v>38.1</v>
      </c>
      <c r="AY178" s="9"/>
      <c r="AZ178" s="12">
        <f t="shared" ref="AZ178:AZ181" si="74">100-(PERCENTRANK(Y$4:Y$298,Y178))*100</f>
        <v>15</v>
      </c>
      <c r="BA178" s="12">
        <f t="shared" ref="BA178:BA181" si="75">100-(PERCENTRANK(Z$4:Z$298,Z178))*100</f>
        <v>33.799999999999997</v>
      </c>
      <c r="BB178" s="9"/>
      <c r="BC178" s="12">
        <f t="shared" ref="BC178:BC181" si="76">(PERCENTRANK(AB$4:AB$298,AB178))*100</f>
        <v>82.8</v>
      </c>
      <c r="BD178" s="12">
        <f t="shared" ref="BD178:BD181" si="77">(PERCENTRANK(AC$4:AC$298,AC178))*100</f>
        <v>72.3</v>
      </c>
      <c r="BE178" s="12">
        <f t="shared" ref="BE178:BE181" si="78">100-(PERCENTRANK(AD$4:AD$298,AD178))*100</f>
        <v>1.2000000000000028</v>
      </c>
    </row>
    <row r="179" spans="1:57" ht="15.75" customHeight="1">
      <c r="A179" s="1" t="s">
        <v>277</v>
      </c>
      <c r="B179" s="3" t="s">
        <v>84</v>
      </c>
      <c r="C179" s="4" t="s">
        <v>88</v>
      </c>
      <c r="D179" s="4">
        <v>22</v>
      </c>
      <c r="E179" s="4">
        <v>120</v>
      </c>
      <c r="F179" s="4">
        <v>22</v>
      </c>
      <c r="G179" s="4">
        <v>120</v>
      </c>
      <c r="H179" s="4">
        <v>0.55000000000000004</v>
      </c>
      <c r="I179" s="4">
        <v>11.4</v>
      </c>
      <c r="J179" s="4"/>
      <c r="K179" s="4">
        <v>0.6</v>
      </c>
      <c r="L179" s="4">
        <v>0.4</v>
      </c>
      <c r="M179" s="4">
        <v>0.2</v>
      </c>
      <c r="N179" s="4">
        <v>0</v>
      </c>
      <c r="O179" s="4">
        <v>0</v>
      </c>
      <c r="P179" s="4">
        <v>0.4</v>
      </c>
      <c r="Q179" s="4"/>
      <c r="R179" s="4">
        <v>0.75</v>
      </c>
      <c r="S179" s="4">
        <v>0.75</v>
      </c>
      <c r="T179" s="4">
        <v>0.75</v>
      </c>
      <c r="U179" s="4">
        <v>0</v>
      </c>
      <c r="V179" s="4">
        <v>0</v>
      </c>
      <c r="W179" s="4">
        <v>0.25</v>
      </c>
      <c r="X179" s="4"/>
      <c r="Y179" s="4">
        <v>0.77800000000000002</v>
      </c>
      <c r="Z179" s="4">
        <v>1</v>
      </c>
      <c r="AA179" s="4"/>
      <c r="AB179" s="4">
        <v>0.5</v>
      </c>
      <c r="AC179" s="4">
        <v>0.25</v>
      </c>
      <c r="AD179" s="10">
        <f t="shared" si="24"/>
        <v>0.86680000000000001</v>
      </c>
      <c r="AE179" s="9"/>
      <c r="AF179" s="9"/>
      <c r="AG179" s="12">
        <f t="shared" si="58"/>
        <v>19.3</v>
      </c>
      <c r="AH179" s="12">
        <f t="shared" si="59"/>
        <v>3.3000000000000003</v>
      </c>
      <c r="AI179" s="12">
        <f t="shared" si="60"/>
        <v>92.800000000000011</v>
      </c>
      <c r="AJ179" s="12">
        <f t="shared" si="61"/>
        <v>26.5</v>
      </c>
      <c r="AK179" s="9"/>
      <c r="AL179" s="12">
        <f t="shared" si="62"/>
        <v>50.8</v>
      </c>
      <c r="AM179" s="12">
        <f t="shared" si="63"/>
        <v>90</v>
      </c>
      <c r="AN179" s="12">
        <f t="shared" si="64"/>
        <v>34.200000000000003</v>
      </c>
      <c r="AO179" s="12">
        <f t="shared" si="65"/>
        <v>0</v>
      </c>
      <c r="AP179" s="12">
        <f t="shared" si="66"/>
        <v>0</v>
      </c>
      <c r="AQ179" s="12">
        <f t="shared" si="67"/>
        <v>49.1</v>
      </c>
      <c r="AR179" s="9"/>
      <c r="AS179" s="12">
        <f t="shared" si="68"/>
        <v>99.4</v>
      </c>
      <c r="AT179" s="12">
        <f t="shared" si="69"/>
        <v>77.3</v>
      </c>
      <c r="AU179" s="12">
        <f t="shared" si="70"/>
        <v>99.4</v>
      </c>
      <c r="AV179" s="12">
        <f t="shared" si="71"/>
        <v>0</v>
      </c>
      <c r="AW179" s="12">
        <f t="shared" si="72"/>
        <v>0</v>
      </c>
      <c r="AX179" s="12">
        <f t="shared" si="73"/>
        <v>17.599999999999998</v>
      </c>
      <c r="AY179" s="9"/>
      <c r="AZ179" s="12">
        <f t="shared" si="74"/>
        <v>17.700000000000003</v>
      </c>
      <c r="BA179" s="12">
        <f t="shared" si="75"/>
        <v>33.799999999999997</v>
      </c>
      <c r="BB179" s="9"/>
      <c r="BC179" s="12">
        <f t="shared" si="76"/>
        <v>96.1</v>
      </c>
      <c r="BD179" s="12">
        <f t="shared" si="77"/>
        <v>23.200000000000003</v>
      </c>
      <c r="BE179" s="12">
        <f t="shared" si="78"/>
        <v>16.600000000000009</v>
      </c>
    </row>
    <row r="180" spans="1:57" ht="15.75" customHeight="1">
      <c r="A180" s="1" t="s">
        <v>130</v>
      </c>
      <c r="B180" s="3" t="s">
        <v>131</v>
      </c>
      <c r="C180" s="4" t="s">
        <v>85</v>
      </c>
      <c r="D180" s="4">
        <v>4</v>
      </c>
      <c r="E180" s="4">
        <v>118</v>
      </c>
      <c r="F180" s="4">
        <v>4</v>
      </c>
      <c r="G180" s="4">
        <v>118</v>
      </c>
      <c r="H180" s="4">
        <v>0.4</v>
      </c>
      <c r="I180" s="4">
        <v>14.1</v>
      </c>
      <c r="J180" s="4"/>
      <c r="K180" s="4">
        <v>0.65</v>
      </c>
      <c r="L180" s="4">
        <v>0.1</v>
      </c>
      <c r="M180" s="4">
        <v>0.28299999999999997</v>
      </c>
      <c r="N180" s="4">
        <v>0.16700000000000001</v>
      </c>
      <c r="O180" s="4">
        <v>0.1</v>
      </c>
      <c r="P180" s="4">
        <v>0.35</v>
      </c>
      <c r="Q180" s="4"/>
      <c r="R180" s="4">
        <v>0.46200000000000002</v>
      </c>
      <c r="S180" s="4">
        <v>0.66700000000000004</v>
      </c>
      <c r="T180" s="4">
        <v>0.41199999999999998</v>
      </c>
      <c r="U180" s="4">
        <v>0.5</v>
      </c>
      <c r="V180" s="4">
        <v>0.33300000000000002</v>
      </c>
      <c r="W180" s="4">
        <v>0.28599999999999998</v>
      </c>
      <c r="X180" s="4"/>
      <c r="Y180" s="4">
        <v>0.55600000000000005</v>
      </c>
      <c r="Z180" s="4">
        <v>0.83299999999999996</v>
      </c>
      <c r="AA180" s="4"/>
      <c r="AB180" s="4">
        <v>0.19</v>
      </c>
      <c r="AC180" s="4">
        <v>0.75</v>
      </c>
      <c r="AD180" s="10">
        <f t="shared" si="24"/>
        <v>0.65295000000000003</v>
      </c>
      <c r="AE180" s="9"/>
      <c r="AF180" s="9"/>
      <c r="AG180" s="12">
        <f t="shared" si="58"/>
        <v>0</v>
      </c>
      <c r="AH180" s="12">
        <f t="shared" si="59"/>
        <v>2.7</v>
      </c>
      <c r="AI180" s="12">
        <f t="shared" si="60"/>
        <v>28.7</v>
      </c>
      <c r="AJ180" s="12">
        <f t="shared" si="61"/>
        <v>50.8</v>
      </c>
      <c r="AK180" s="9"/>
      <c r="AL180" s="12">
        <f t="shared" si="62"/>
        <v>62.9</v>
      </c>
      <c r="AM180" s="12">
        <f t="shared" si="63"/>
        <v>14.899999999999999</v>
      </c>
      <c r="AN180" s="12">
        <f t="shared" si="64"/>
        <v>61.8</v>
      </c>
      <c r="AO180" s="12">
        <f t="shared" si="65"/>
        <v>91.100000000000009</v>
      </c>
      <c r="AP180" s="12">
        <f t="shared" si="66"/>
        <v>88.9</v>
      </c>
      <c r="AQ180" s="12">
        <f t="shared" si="67"/>
        <v>37</v>
      </c>
      <c r="AR180" s="9"/>
      <c r="AS180" s="12">
        <f t="shared" si="68"/>
        <v>24.3</v>
      </c>
      <c r="AT180" s="12">
        <f t="shared" si="69"/>
        <v>46.9</v>
      </c>
      <c r="AU180" s="12">
        <f t="shared" si="70"/>
        <v>38.1</v>
      </c>
      <c r="AV180" s="12">
        <f t="shared" si="71"/>
        <v>81.2</v>
      </c>
      <c r="AW180" s="12">
        <f t="shared" si="72"/>
        <v>45.800000000000004</v>
      </c>
      <c r="AX180" s="12">
        <f t="shared" si="73"/>
        <v>30.3</v>
      </c>
      <c r="AY180" s="9"/>
      <c r="AZ180" s="12">
        <f t="shared" si="74"/>
        <v>60.3</v>
      </c>
      <c r="BA180" s="12">
        <f t="shared" si="75"/>
        <v>72.400000000000006</v>
      </c>
      <c r="BB180" s="9"/>
      <c r="BC180" s="12">
        <f t="shared" si="76"/>
        <v>51.9</v>
      </c>
      <c r="BD180" s="12">
        <f t="shared" si="77"/>
        <v>94.399999999999991</v>
      </c>
      <c r="BE180" s="12">
        <f t="shared" si="78"/>
        <v>69.099999999999994</v>
      </c>
    </row>
    <row r="181" spans="1:57" ht="15.75" customHeight="1">
      <c r="A181" s="1" t="s">
        <v>286</v>
      </c>
      <c r="B181" s="3" t="s">
        <v>91</v>
      </c>
      <c r="C181" s="4" t="s">
        <v>94</v>
      </c>
      <c r="D181" s="4">
        <v>15</v>
      </c>
      <c r="E181" s="4">
        <v>116</v>
      </c>
      <c r="F181" s="4">
        <v>15</v>
      </c>
      <c r="G181" s="4">
        <v>116</v>
      </c>
      <c r="H181" s="4">
        <v>0.33300000000000002</v>
      </c>
      <c r="I181" s="4">
        <v>19.100000000000001</v>
      </c>
      <c r="J181" s="4"/>
      <c r="K181" s="4">
        <v>0.41</v>
      </c>
      <c r="L181" s="4">
        <v>5.0999999999999997E-2</v>
      </c>
      <c r="M181" s="4">
        <v>0.128</v>
      </c>
      <c r="N181" s="4">
        <v>0.128</v>
      </c>
      <c r="O181" s="4">
        <v>0.10299999999999999</v>
      </c>
      <c r="P181" s="4">
        <v>0.59</v>
      </c>
      <c r="Q181" s="4"/>
      <c r="R181" s="4">
        <v>0.313</v>
      </c>
      <c r="S181" s="4">
        <v>0</v>
      </c>
      <c r="T181" s="4">
        <v>0.4</v>
      </c>
      <c r="U181" s="4">
        <v>0.6</v>
      </c>
      <c r="V181" s="4">
        <v>0</v>
      </c>
      <c r="W181" s="4">
        <v>0.34799999999999998</v>
      </c>
      <c r="X181" s="4"/>
      <c r="Y181" s="4">
        <v>0.6</v>
      </c>
      <c r="Z181" s="4">
        <v>0.875</v>
      </c>
      <c r="AA181" s="4"/>
      <c r="AB181" s="4">
        <v>0.13</v>
      </c>
      <c r="AC181" s="4">
        <v>0.66700000000000004</v>
      </c>
      <c r="AD181" s="10">
        <f t="shared" si="24"/>
        <v>0.76224999999999998</v>
      </c>
      <c r="AE181" s="9"/>
      <c r="AF181" s="9"/>
      <c r="AG181" s="12">
        <f t="shared" si="58"/>
        <v>7.7</v>
      </c>
      <c r="AH181" s="12">
        <f t="shared" si="59"/>
        <v>2.1999999999999997</v>
      </c>
      <c r="AI181" s="12">
        <f t="shared" si="60"/>
        <v>4.3999999999999995</v>
      </c>
      <c r="AJ181" s="12">
        <f t="shared" si="61"/>
        <v>91.100000000000009</v>
      </c>
      <c r="AK181" s="9"/>
      <c r="AL181" s="12">
        <f t="shared" si="62"/>
        <v>16</v>
      </c>
      <c r="AM181" s="12">
        <f t="shared" si="63"/>
        <v>5.5</v>
      </c>
      <c r="AN181" s="12">
        <f t="shared" si="64"/>
        <v>10.4</v>
      </c>
      <c r="AO181" s="12">
        <f t="shared" si="65"/>
        <v>82.3</v>
      </c>
      <c r="AP181" s="12">
        <f t="shared" si="66"/>
        <v>90.600000000000009</v>
      </c>
      <c r="AQ181" s="12">
        <f t="shared" si="67"/>
        <v>83.899999999999991</v>
      </c>
      <c r="AR181" s="9"/>
      <c r="AS181" s="12">
        <f t="shared" si="68"/>
        <v>1.0999999999999999</v>
      </c>
      <c r="AT181" s="12">
        <f t="shared" si="69"/>
        <v>0</v>
      </c>
      <c r="AU181" s="12">
        <f t="shared" si="70"/>
        <v>32.5</v>
      </c>
      <c r="AV181" s="12">
        <f t="shared" si="71"/>
        <v>92.2</v>
      </c>
      <c r="AW181" s="12">
        <f t="shared" si="72"/>
        <v>0</v>
      </c>
      <c r="AX181" s="12">
        <f t="shared" si="73"/>
        <v>59.099999999999994</v>
      </c>
      <c r="AY181" s="9"/>
      <c r="AZ181" s="12">
        <f t="shared" si="74"/>
        <v>53.599999999999994</v>
      </c>
      <c r="BA181" s="12">
        <f t="shared" si="75"/>
        <v>65.8</v>
      </c>
      <c r="BB181" s="9"/>
      <c r="BC181" s="12">
        <f t="shared" si="76"/>
        <v>23.7</v>
      </c>
      <c r="BD181" s="12">
        <f t="shared" si="77"/>
        <v>92.800000000000011</v>
      </c>
      <c r="BE181" s="12">
        <f t="shared" si="78"/>
        <v>43.7</v>
      </c>
    </row>
    <row r="182" spans="1:57" ht="15.75" customHeight="1">
      <c r="A182" s="1" t="s">
        <v>287</v>
      </c>
      <c r="B182" s="3" t="s">
        <v>96</v>
      </c>
      <c r="C182" s="4" t="s">
        <v>8</v>
      </c>
      <c r="D182" s="4">
        <v>21</v>
      </c>
      <c r="E182" s="4">
        <v>112</v>
      </c>
      <c r="F182" s="4">
        <v>21</v>
      </c>
      <c r="G182" s="4">
        <v>112</v>
      </c>
      <c r="H182" s="4">
        <v>0.435</v>
      </c>
      <c r="I182" s="4">
        <v>9.6</v>
      </c>
      <c r="J182" s="4"/>
      <c r="K182" s="4">
        <v>0.73899999999999999</v>
      </c>
      <c r="L182" s="4">
        <v>0.435</v>
      </c>
      <c r="M182" s="4">
        <v>0.26100000000000001</v>
      </c>
      <c r="N182" s="4">
        <v>4.2999999999999997E-2</v>
      </c>
      <c r="O182" s="4">
        <v>0</v>
      </c>
      <c r="P182" s="4">
        <v>0.26100000000000001</v>
      </c>
      <c r="Q182" s="4"/>
      <c r="R182" s="4">
        <v>0.58799999999999997</v>
      </c>
      <c r="S182" s="4">
        <v>0.7</v>
      </c>
      <c r="T182" s="4">
        <v>0.33300000000000002</v>
      </c>
      <c r="U182" s="4">
        <v>1</v>
      </c>
      <c r="V182" s="4">
        <v>0</v>
      </c>
      <c r="W182" s="4">
        <v>0</v>
      </c>
      <c r="X182" s="4"/>
      <c r="Y182" s="4">
        <v>0.5</v>
      </c>
      <c r="Z182" s="4">
        <v>0</v>
      </c>
      <c r="AA182" s="4"/>
      <c r="AB182" s="4">
        <v>0.16700000000000001</v>
      </c>
      <c r="AC182" s="4">
        <v>0</v>
      </c>
      <c r="AD182" s="10">
        <f t="shared" ref="AD182:AD185" si="79">(K182*Y182+P182*Z182)</f>
        <v>0.3695</v>
      </c>
      <c r="AE182" s="9"/>
      <c r="AF182" s="9"/>
      <c r="AG182" s="12">
        <f t="shared" ref="AG182:AG183" si="80">(PERCENTRANK(F$4:F$298,F182))*100</f>
        <v>18.2</v>
      </c>
      <c r="AH182" s="12">
        <f t="shared" ref="AH182:AH183" si="81">(PERCENTRANK(G$4:G$298,G182))*100</f>
        <v>1.6</v>
      </c>
      <c r="AI182" s="12">
        <f t="shared" ref="AI182:AI183" si="82">(PERCENTRANK(H$4:H$298,H182))*100</f>
        <v>48.6</v>
      </c>
      <c r="AJ182" s="12">
        <f t="shared" ref="AJ182:AJ183" si="83">(PERCENTRANK(I$4:I$298,I182))*100</f>
        <v>19.8</v>
      </c>
      <c r="AK182" s="9"/>
      <c r="AL182" s="12">
        <f t="shared" ref="AL182:AL183" si="84">(PERCENTRANK(K$4:K$298,K182))*100</f>
        <v>76.2</v>
      </c>
      <c r="AM182" s="12">
        <f t="shared" ref="AM182:AM183" si="85">(PERCENTRANK(L$4:L$298,L182))*100</f>
        <v>92.800000000000011</v>
      </c>
      <c r="AN182" s="12">
        <f t="shared" ref="AN182:AN183" si="86">(PERCENTRANK(M$4:M$298,M182))*100</f>
        <v>53.5</v>
      </c>
      <c r="AO182" s="12">
        <f t="shared" ref="AO182:AO183" si="87">(PERCENTRANK(N$4:N$298,N182))*100</f>
        <v>32</v>
      </c>
      <c r="AP182" s="12">
        <f t="shared" ref="AP182:AP183" si="88">(PERCENTRANK(O$4:O$298,O182))*100</f>
        <v>0</v>
      </c>
      <c r="AQ182" s="12">
        <f t="shared" ref="AQ182:AQ183" si="89">(PERCENTRANK(P$4:P$298,P182))*100</f>
        <v>23.7</v>
      </c>
      <c r="AR182" s="9"/>
      <c r="AS182" s="12">
        <f t="shared" ref="AS182:AS183" si="90">(PERCENTRANK(R$4:R$298,R182))*100</f>
        <v>87.8</v>
      </c>
      <c r="AT182" s="12">
        <f t="shared" ref="AT182:AT183" si="91">(PERCENTRANK(S$4:S$298,S182))*100</f>
        <v>60.699999999999996</v>
      </c>
      <c r="AU182" s="12">
        <f t="shared" ref="AU182:AU183" si="92">(PERCENTRANK(T$4:T$298,T182))*100</f>
        <v>12.7</v>
      </c>
      <c r="AV182" s="12">
        <f t="shared" ref="AV182:AV183" si="93">(PERCENTRANK(U$4:U$298,U182))*100</f>
        <v>98.8</v>
      </c>
      <c r="AW182" s="12">
        <f t="shared" ref="AW182:AW183" si="94">(PERCENTRANK(V$4:V$298,V182))*100</f>
        <v>0</v>
      </c>
      <c r="AX182" s="12">
        <f t="shared" ref="AX182:AX183" si="95">(PERCENTRANK(W$4:W$298,W182))*100</f>
        <v>0</v>
      </c>
      <c r="AY182" s="9"/>
      <c r="AZ182" s="12">
        <f t="shared" ref="AZ182:AZ183" si="96">100-(PERCENTRANK(Y$4:Y$298,Y182))*100</f>
        <v>69.099999999999994</v>
      </c>
      <c r="BA182" s="12">
        <f t="shared" ref="BA182:BA183" si="97">100-(PERCENTRANK(Z$4:Z$298,Z182))*100</f>
        <v>100</v>
      </c>
      <c r="BB182" s="9"/>
      <c r="BC182" s="12">
        <f t="shared" ref="BC182:BC183" si="98">(PERCENTRANK(AB$4:AB$298,AB182))*100</f>
        <v>39.200000000000003</v>
      </c>
      <c r="BD182" s="12">
        <f t="shared" ref="BD182:BD183" si="99">(PERCENTRANK(AC$4:AC$298,AC182))*100</f>
        <v>0</v>
      </c>
      <c r="BE182" s="12">
        <f t="shared" ref="BE182:BE183" si="100">100-(PERCENTRANK(AD$4:AD$298,AD182))*100</f>
        <v>96.2</v>
      </c>
    </row>
    <row r="183" spans="1:57" ht="15.75" customHeight="1">
      <c r="A183" s="1" t="s">
        <v>282</v>
      </c>
      <c r="B183" s="3" t="s">
        <v>137</v>
      </c>
      <c r="C183" s="4" t="s">
        <v>85</v>
      </c>
      <c r="D183" s="4">
        <v>16</v>
      </c>
      <c r="E183" s="4">
        <v>110</v>
      </c>
      <c r="F183" s="4">
        <v>16</v>
      </c>
      <c r="G183" s="4">
        <v>110</v>
      </c>
      <c r="H183" s="4">
        <v>0.5</v>
      </c>
      <c r="I183" s="4">
        <v>15.7</v>
      </c>
      <c r="J183" s="4"/>
      <c r="K183" s="4">
        <v>0.44400000000000001</v>
      </c>
      <c r="L183" s="4">
        <v>0.222</v>
      </c>
      <c r="M183" s="4">
        <v>0.16700000000000001</v>
      </c>
      <c r="N183" s="4">
        <v>2.8000000000000001E-2</v>
      </c>
      <c r="O183" s="4">
        <v>2.8000000000000001E-2</v>
      </c>
      <c r="P183" s="4">
        <v>0.55600000000000005</v>
      </c>
      <c r="Q183" s="4"/>
      <c r="R183" s="4">
        <v>0.5</v>
      </c>
      <c r="S183" s="4">
        <v>0.75</v>
      </c>
      <c r="T183" s="4">
        <v>0.33300000000000002</v>
      </c>
      <c r="U183" s="4">
        <v>0</v>
      </c>
      <c r="V183" s="4">
        <v>0</v>
      </c>
      <c r="W183" s="4">
        <v>0.5</v>
      </c>
      <c r="X183" s="4"/>
      <c r="Y183" s="4">
        <v>0.875</v>
      </c>
      <c r="Z183" s="4">
        <v>1</v>
      </c>
      <c r="AA183" s="4"/>
      <c r="AB183" s="4">
        <v>0.05</v>
      </c>
      <c r="AC183" s="4">
        <v>1</v>
      </c>
      <c r="AD183" s="10">
        <f t="shared" si="79"/>
        <v>0.94450000000000012</v>
      </c>
      <c r="AE183" s="9"/>
      <c r="AF183" s="9"/>
      <c r="AG183" s="12">
        <f t="shared" si="80"/>
        <v>8.2000000000000011</v>
      </c>
      <c r="AH183" s="12">
        <f t="shared" si="81"/>
        <v>1.0999999999999999</v>
      </c>
      <c r="AI183" s="12">
        <f t="shared" si="82"/>
        <v>79.5</v>
      </c>
      <c r="AJ183" s="12">
        <f t="shared" si="83"/>
        <v>64</v>
      </c>
      <c r="AK183" s="9"/>
      <c r="AL183" s="12">
        <f t="shared" si="84"/>
        <v>18.2</v>
      </c>
      <c r="AM183" s="12">
        <f t="shared" si="85"/>
        <v>59.599999999999994</v>
      </c>
      <c r="AN183" s="12">
        <f t="shared" si="86"/>
        <v>23.200000000000003</v>
      </c>
      <c r="AO183" s="12">
        <f t="shared" si="87"/>
        <v>18.2</v>
      </c>
      <c r="AP183" s="12">
        <f t="shared" si="88"/>
        <v>35.9</v>
      </c>
      <c r="AQ183" s="12">
        <f t="shared" si="89"/>
        <v>81.2</v>
      </c>
      <c r="AR183" s="9"/>
      <c r="AS183" s="12">
        <f t="shared" si="90"/>
        <v>41.9</v>
      </c>
      <c r="AT183" s="12">
        <f t="shared" si="91"/>
        <v>77.3</v>
      </c>
      <c r="AU183" s="12">
        <f t="shared" si="92"/>
        <v>12.7</v>
      </c>
      <c r="AV183" s="12">
        <f t="shared" si="93"/>
        <v>0</v>
      </c>
      <c r="AW183" s="12">
        <f t="shared" si="94"/>
        <v>0</v>
      </c>
      <c r="AX183" s="12">
        <f t="shared" si="95"/>
        <v>97.7</v>
      </c>
      <c r="AY183" s="9"/>
      <c r="AZ183" s="12">
        <f t="shared" si="96"/>
        <v>4.5</v>
      </c>
      <c r="BA183" s="12">
        <f t="shared" si="97"/>
        <v>33.799999999999997</v>
      </c>
      <c r="BB183" s="9"/>
      <c r="BC183" s="12">
        <f t="shared" si="98"/>
        <v>6.6000000000000005</v>
      </c>
      <c r="BD183" s="12">
        <f t="shared" si="99"/>
        <v>97.2</v>
      </c>
      <c r="BE183" s="12">
        <f t="shared" si="100"/>
        <v>1.7000000000000028</v>
      </c>
    </row>
    <row r="184" spans="1:57" ht="15.75" customHeight="1">
      <c r="A184" s="1" t="s">
        <v>288</v>
      </c>
      <c r="B184" s="3" t="s">
        <v>114</v>
      </c>
      <c r="C184" s="4" t="s">
        <v>94</v>
      </c>
      <c r="D184" s="4">
        <v>14</v>
      </c>
      <c r="E184" s="4">
        <v>104</v>
      </c>
      <c r="F184" s="4">
        <v>14</v>
      </c>
      <c r="G184" s="4">
        <v>104</v>
      </c>
      <c r="H184" s="4">
        <v>0.27800000000000002</v>
      </c>
      <c r="I184" s="4">
        <v>16.8</v>
      </c>
      <c r="J184" s="4"/>
      <c r="K184" s="4">
        <v>0.44400000000000001</v>
      </c>
      <c r="L184" s="4">
        <v>0</v>
      </c>
      <c r="M184" s="4">
        <v>0.33300000000000002</v>
      </c>
      <c r="N184" s="4">
        <v>5.6000000000000001E-2</v>
      </c>
      <c r="O184" s="4">
        <v>5.6000000000000001E-2</v>
      </c>
      <c r="P184" s="4">
        <v>0.55600000000000005</v>
      </c>
      <c r="Q184" s="4"/>
      <c r="R184" s="4">
        <v>0.25</v>
      </c>
      <c r="S184" s="4">
        <v>0</v>
      </c>
      <c r="T184" s="4">
        <v>0.16700000000000001</v>
      </c>
      <c r="U184" s="4">
        <v>0</v>
      </c>
      <c r="V184" s="4">
        <v>1</v>
      </c>
      <c r="W184" s="4">
        <v>0.3</v>
      </c>
      <c r="X184" s="4"/>
      <c r="Y184" s="4">
        <v>1</v>
      </c>
      <c r="Z184" s="4">
        <v>1</v>
      </c>
      <c r="AA184" s="4"/>
      <c r="AB184" s="4">
        <v>0.3</v>
      </c>
      <c r="AC184" s="4">
        <v>0</v>
      </c>
      <c r="AD184" s="10">
        <f t="shared" si="79"/>
        <v>1</v>
      </c>
      <c r="AE184" s="9"/>
      <c r="AF184" s="9"/>
      <c r="AG184" s="12">
        <f t="shared" ref="AG184:AG185" si="101">(PERCENTRANK(F$4:F$298,F184))*100</f>
        <v>6</v>
      </c>
      <c r="AH184" s="12">
        <f t="shared" ref="AH184:AH185" si="102">(PERCENTRANK(G$4:G$298,G184))*100</f>
        <v>0.5</v>
      </c>
      <c r="AI184" s="12">
        <f t="shared" ref="AI184:AI185" si="103">(PERCENTRANK(H$4:H$298,H184))*100</f>
        <v>0</v>
      </c>
      <c r="AJ184" s="12">
        <f t="shared" ref="AJ184:AJ185" si="104">(PERCENTRANK(I$4:I$298,I184))*100</f>
        <v>77.3</v>
      </c>
      <c r="AK184" s="9"/>
      <c r="AL184" s="12">
        <f t="shared" ref="AL184:AL185" si="105">(PERCENTRANK(K$4:K$298,K184))*100</f>
        <v>18.2</v>
      </c>
      <c r="AM184" s="12">
        <f t="shared" ref="AM184:AM185" si="106">(PERCENTRANK(L$4:L$298,L184))*100</f>
        <v>0</v>
      </c>
      <c r="AN184" s="12">
        <f t="shared" ref="AN184:AN185" si="107">(PERCENTRANK(M$4:M$298,M184))*100</f>
        <v>75.599999999999994</v>
      </c>
      <c r="AO184" s="12">
        <f t="shared" ref="AO184:AO185" si="108">(PERCENTRANK(N$4:N$298,N184))*100</f>
        <v>41.4</v>
      </c>
      <c r="AP184" s="12">
        <f t="shared" ref="AP184:AP185" si="109">(PERCENTRANK(O$4:O$298,O184))*100</f>
        <v>68.5</v>
      </c>
      <c r="AQ184" s="12">
        <f t="shared" ref="AQ184:AQ185" si="110">(PERCENTRANK(P$4:P$298,P184))*100</f>
        <v>81.2</v>
      </c>
      <c r="AR184" s="9"/>
      <c r="AS184" s="12">
        <f t="shared" ref="AS184:AS185" si="111">(PERCENTRANK(R$4:R$298,R184))*100</f>
        <v>0.5</v>
      </c>
      <c r="AT184" s="12">
        <f t="shared" ref="AT184:AT185" si="112">(PERCENTRANK(S$4:S$298,S184))*100</f>
        <v>0</v>
      </c>
      <c r="AU184" s="12">
        <f t="shared" ref="AU184:AU185" si="113">(PERCENTRANK(T$4:T$298,T184))*100</f>
        <v>0.5</v>
      </c>
      <c r="AV184" s="12">
        <f t="shared" ref="AV184:AV185" si="114">(PERCENTRANK(U$4:U$298,U184))*100</f>
        <v>0</v>
      </c>
      <c r="AW184" s="12">
        <f t="shared" ref="AW184:AW185" si="115">(PERCENTRANK(V$4:V$298,V184))*100</f>
        <v>98.3</v>
      </c>
      <c r="AX184" s="12">
        <f t="shared" ref="AX184:AX185" si="116">(PERCENTRANK(W$4:W$298,W184))*100</f>
        <v>36.4</v>
      </c>
      <c r="AY184" s="9"/>
      <c r="AZ184" s="12">
        <f t="shared" ref="AZ184:AZ185" si="117">100-(PERCENTRANK(Y$4:Y$298,Y184))*100</f>
        <v>0</v>
      </c>
      <c r="BA184" s="12">
        <f t="shared" ref="BA184:BA185" si="118">100-(PERCENTRANK(Z$4:Z$298,Z184))*100</f>
        <v>33.799999999999997</v>
      </c>
      <c r="BB184" s="9"/>
      <c r="BC184" s="12">
        <f t="shared" ref="BC184:BC185" si="119">(PERCENTRANK(AB$4:AB$298,AB184))*100</f>
        <v>77.3</v>
      </c>
      <c r="BD184" s="12">
        <f t="shared" ref="BD184:BD185" si="120">(PERCENTRANK(AC$4:AC$298,AC184))*100</f>
        <v>0</v>
      </c>
      <c r="BE184" s="12">
        <f t="shared" ref="BE184:BE185" si="121">100-(PERCENTRANK(AD$4:AD$298,AD184))*100</f>
        <v>0</v>
      </c>
    </row>
    <row r="185" spans="1:57" ht="15.75" customHeight="1">
      <c r="A185" s="1" t="s">
        <v>283</v>
      </c>
      <c r="B185" s="3" t="s">
        <v>240</v>
      </c>
      <c r="C185" s="4" t="s">
        <v>8</v>
      </c>
      <c r="D185" s="4">
        <v>17</v>
      </c>
      <c r="E185" s="4">
        <v>100</v>
      </c>
      <c r="F185" s="4">
        <v>17</v>
      </c>
      <c r="G185" s="4">
        <v>100</v>
      </c>
      <c r="H185" s="4">
        <v>0.38700000000000001</v>
      </c>
      <c r="I185" s="4">
        <v>10.3</v>
      </c>
      <c r="J185" s="4"/>
      <c r="K185" s="4">
        <v>0.71</v>
      </c>
      <c r="L185" s="4">
        <v>0.22600000000000001</v>
      </c>
      <c r="M185" s="4">
        <v>0.45200000000000001</v>
      </c>
      <c r="N185" s="4">
        <v>3.2000000000000001E-2</v>
      </c>
      <c r="O185" s="4">
        <v>0</v>
      </c>
      <c r="P185" s="4">
        <v>0.28999999999999998</v>
      </c>
      <c r="Q185" s="4"/>
      <c r="R185" s="4">
        <v>0.40899999999999997</v>
      </c>
      <c r="S185" s="4">
        <v>0.57099999999999995</v>
      </c>
      <c r="T185" s="4">
        <v>0.35699999999999998</v>
      </c>
      <c r="U185" s="4">
        <v>0</v>
      </c>
      <c r="V185" s="4">
        <v>0</v>
      </c>
      <c r="W185" s="4">
        <v>0.33300000000000002</v>
      </c>
      <c r="X185" s="4"/>
      <c r="Y185" s="4">
        <v>0.44400000000000001</v>
      </c>
      <c r="Z185" s="4">
        <v>1</v>
      </c>
      <c r="AA185" s="4"/>
      <c r="AB185" s="4">
        <v>0.44400000000000001</v>
      </c>
      <c r="AC185" s="4">
        <v>0.5</v>
      </c>
      <c r="AD185" s="10">
        <f t="shared" si="79"/>
        <v>0.60524</v>
      </c>
      <c r="AE185" s="9"/>
      <c r="AF185" s="9"/>
      <c r="AG185" s="12">
        <f t="shared" si="101"/>
        <v>10.4</v>
      </c>
      <c r="AH185" s="12">
        <f t="shared" si="102"/>
        <v>0</v>
      </c>
      <c r="AI185" s="12">
        <f t="shared" si="103"/>
        <v>22.6</v>
      </c>
      <c r="AJ185" s="12">
        <f t="shared" si="104"/>
        <v>21.5</v>
      </c>
      <c r="AK185" s="9"/>
      <c r="AL185" s="12">
        <f t="shared" si="105"/>
        <v>71.8</v>
      </c>
      <c r="AM185" s="12">
        <f t="shared" si="106"/>
        <v>61.3</v>
      </c>
      <c r="AN185" s="12">
        <f t="shared" si="107"/>
        <v>95</v>
      </c>
      <c r="AO185" s="12">
        <f t="shared" si="108"/>
        <v>22</v>
      </c>
      <c r="AP185" s="12">
        <f t="shared" si="109"/>
        <v>0</v>
      </c>
      <c r="AQ185" s="12">
        <f t="shared" si="110"/>
        <v>28.1</v>
      </c>
      <c r="AR185" s="9"/>
      <c r="AS185" s="12">
        <f t="shared" si="111"/>
        <v>12.1</v>
      </c>
      <c r="AT185" s="12">
        <f t="shared" si="112"/>
        <v>16</v>
      </c>
      <c r="AU185" s="12">
        <f t="shared" si="113"/>
        <v>19.3</v>
      </c>
      <c r="AV185" s="12">
        <f t="shared" si="114"/>
        <v>0</v>
      </c>
      <c r="AW185" s="12">
        <f t="shared" si="115"/>
        <v>0</v>
      </c>
      <c r="AX185" s="12">
        <f t="shared" si="116"/>
        <v>50.2</v>
      </c>
      <c r="AY185" s="9"/>
      <c r="AZ185" s="12">
        <f t="shared" si="117"/>
        <v>76.3</v>
      </c>
      <c r="BA185" s="12">
        <f t="shared" si="118"/>
        <v>33.799999999999997</v>
      </c>
      <c r="BB185" s="9"/>
      <c r="BC185" s="12">
        <f t="shared" si="119"/>
        <v>92.800000000000011</v>
      </c>
      <c r="BD185" s="12">
        <f t="shared" si="120"/>
        <v>79</v>
      </c>
      <c r="BE185" s="12">
        <f t="shared" si="121"/>
        <v>76.3</v>
      </c>
    </row>
    <row r="186" spans="1:57" ht="15.75" customHeight="1">
      <c r="A186" s="1"/>
      <c r="B186" s="3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  <c r="AA186" s="4"/>
      <c r="AB186" s="4"/>
      <c r="AC186" s="4"/>
      <c r="AD186" s="10"/>
      <c r="AE186" s="9"/>
      <c r="AF186" s="9"/>
      <c r="AG186" s="12"/>
      <c r="AH186" s="12"/>
      <c r="AI186" s="12"/>
      <c r="AJ186" s="12"/>
      <c r="AK186" s="9"/>
      <c r="AL186" s="12"/>
      <c r="AM186" s="12"/>
      <c r="AN186" s="12"/>
      <c r="AO186" s="12"/>
      <c r="AP186" s="12"/>
      <c r="AQ186" s="12"/>
      <c r="AR186" s="9"/>
      <c r="AS186" s="12"/>
      <c r="AT186" s="12"/>
      <c r="AU186" s="12"/>
      <c r="AV186" s="12"/>
      <c r="AW186" s="12"/>
      <c r="AX186" s="12"/>
      <c r="AY186" s="9"/>
      <c r="AZ186" s="12"/>
      <c r="BA186" s="12"/>
      <c r="BB186" s="9"/>
      <c r="BC186" s="12"/>
      <c r="BD186" s="12"/>
      <c r="BE186" s="12"/>
    </row>
    <row r="187" spans="1:57" ht="15.75" customHeight="1">
      <c r="A187" s="1"/>
      <c r="B187" s="3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  <c r="AA187" s="4"/>
      <c r="AB187" s="4"/>
      <c r="AC187" s="4"/>
      <c r="AD187" s="10"/>
      <c r="AE187" s="9"/>
      <c r="AF187" s="9"/>
      <c r="AG187" s="12"/>
      <c r="AH187" s="12"/>
      <c r="AI187" s="12"/>
      <c r="AJ187" s="12"/>
      <c r="AK187" s="9"/>
      <c r="AL187" s="12"/>
      <c r="AM187" s="12"/>
      <c r="AN187" s="12"/>
      <c r="AO187" s="12"/>
      <c r="AP187" s="12"/>
      <c r="AQ187" s="12"/>
      <c r="AR187" s="9"/>
      <c r="AS187" s="12"/>
      <c r="AT187" s="12"/>
      <c r="AU187" s="12"/>
      <c r="AV187" s="12"/>
      <c r="AW187" s="12"/>
      <c r="AX187" s="12"/>
      <c r="AY187" s="9"/>
      <c r="AZ187" s="12"/>
      <c r="BA187" s="12"/>
      <c r="BB187" s="9"/>
      <c r="BC187" s="12"/>
      <c r="BD187" s="12"/>
      <c r="BE187" s="12"/>
    </row>
    <row r="188" spans="1:57" ht="15.75" customHeight="1">
      <c r="A188" s="1"/>
      <c r="B188" s="3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  <c r="AA188" s="4"/>
      <c r="AB188" s="4"/>
      <c r="AC188" s="4"/>
      <c r="AD188" s="10"/>
      <c r="AE188" s="9"/>
      <c r="AF188" s="9"/>
      <c r="AG188" s="12"/>
      <c r="AH188" s="12"/>
      <c r="AI188" s="12"/>
      <c r="AJ188" s="12"/>
      <c r="AK188" s="9"/>
      <c r="AL188" s="12"/>
      <c r="AM188" s="12"/>
      <c r="AN188" s="12"/>
      <c r="AO188" s="12"/>
      <c r="AP188" s="12"/>
      <c r="AQ188" s="12"/>
      <c r="AR188" s="9"/>
      <c r="AS188" s="12"/>
      <c r="AT188" s="12"/>
      <c r="AU188" s="12"/>
      <c r="AV188" s="12"/>
      <c r="AW188" s="12"/>
      <c r="AX188" s="12"/>
      <c r="AY188" s="9"/>
      <c r="AZ188" s="12"/>
      <c r="BA188" s="12"/>
      <c r="BB188" s="9"/>
      <c r="BC188" s="12"/>
      <c r="BD188" s="12"/>
      <c r="BE188" s="12"/>
    </row>
    <row r="189" spans="1:57" ht="15.75" customHeight="1">
      <c r="A189" s="1"/>
      <c r="B189" s="3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  <c r="AA189" s="4"/>
      <c r="AB189" s="4"/>
      <c r="AC189" s="4"/>
      <c r="AD189" s="10"/>
      <c r="AE189" s="9"/>
      <c r="AF189" s="9"/>
      <c r="AG189" s="12"/>
      <c r="AH189" s="12"/>
      <c r="AI189" s="12"/>
      <c r="AJ189" s="12"/>
      <c r="AK189" s="9"/>
      <c r="AL189" s="12"/>
      <c r="AM189" s="12"/>
      <c r="AN189" s="12"/>
      <c r="AO189" s="12"/>
      <c r="AP189" s="12"/>
      <c r="AQ189" s="12"/>
      <c r="AR189" s="9"/>
      <c r="AS189" s="12"/>
      <c r="AT189" s="12"/>
      <c r="AU189" s="12"/>
      <c r="AV189" s="12"/>
      <c r="AW189" s="12"/>
      <c r="AX189" s="12"/>
      <c r="AY189" s="9"/>
      <c r="AZ189" s="12"/>
      <c r="BA189" s="12"/>
      <c r="BB189" s="9"/>
      <c r="BC189" s="12"/>
      <c r="BD189" s="12"/>
      <c r="BE189" s="12"/>
    </row>
    <row r="190" spans="1:57" ht="15.75" customHeight="1">
      <c r="A190" s="1"/>
      <c r="B190" s="3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  <c r="AA190" s="4"/>
      <c r="AB190" s="4"/>
      <c r="AC190" s="4"/>
      <c r="AD190" s="10"/>
      <c r="AE190" s="9"/>
      <c r="AF190" s="9"/>
      <c r="AG190" s="12"/>
      <c r="AH190" s="12"/>
      <c r="AI190" s="12"/>
      <c r="AJ190" s="12"/>
      <c r="AK190" s="9"/>
      <c r="AL190" s="12"/>
      <c r="AM190" s="12"/>
      <c r="AN190" s="12"/>
      <c r="AO190" s="12"/>
      <c r="AP190" s="12"/>
      <c r="AQ190" s="12"/>
      <c r="AR190" s="9"/>
      <c r="AS190" s="12"/>
      <c r="AT190" s="12"/>
      <c r="AU190" s="12"/>
      <c r="AV190" s="12"/>
      <c r="AW190" s="12"/>
      <c r="AX190" s="12"/>
      <c r="AY190" s="9"/>
      <c r="AZ190" s="12"/>
      <c r="BA190" s="12"/>
      <c r="BB190" s="9"/>
      <c r="BC190" s="12"/>
      <c r="BD190" s="12"/>
      <c r="BE190" s="12"/>
    </row>
    <row r="191" spans="1:57" ht="15.75" customHeight="1">
      <c r="A191" s="1"/>
      <c r="B191" s="3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  <c r="AA191" s="4"/>
      <c r="AB191" s="4"/>
      <c r="AC191" s="4"/>
      <c r="AD191" s="10"/>
      <c r="AE191" s="9"/>
      <c r="AF191" s="9"/>
      <c r="AG191" s="12"/>
      <c r="AH191" s="12"/>
      <c r="AI191" s="12"/>
      <c r="AJ191" s="12"/>
      <c r="AK191" s="9"/>
      <c r="AL191" s="12"/>
      <c r="AM191" s="12"/>
      <c r="AN191" s="12"/>
      <c r="AO191" s="12"/>
      <c r="AP191" s="12"/>
      <c r="AQ191" s="12"/>
      <c r="AR191" s="9"/>
      <c r="AS191" s="12"/>
      <c r="AT191" s="12"/>
      <c r="AU191" s="12"/>
      <c r="AV191" s="12"/>
      <c r="AW191" s="12"/>
      <c r="AX191" s="12"/>
      <c r="AY191" s="9"/>
      <c r="AZ191" s="12"/>
      <c r="BA191" s="12"/>
      <c r="BB191" s="9"/>
      <c r="BC191" s="12"/>
      <c r="BD191" s="12"/>
      <c r="BE191" s="12"/>
    </row>
    <row r="192" spans="1:57" ht="15.75" customHeight="1">
      <c r="A192" s="1"/>
      <c r="B192" s="3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  <c r="AA192" s="4"/>
      <c r="AB192" s="4"/>
      <c r="AC192" s="4"/>
      <c r="AD192" s="10"/>
      <c r="AE192" s="9"/>
      <c r="AF192" s="9"/>
      <c r="AG192" s="12"/>
      <c r="AH192" s="12"/>
      <c r="AI192" s="12"/>
      <c r="AJ192" s="12"/>
      <c r="AK192" s="9"/>
      <c r="AL192" s="12"/>
      <c r="AM192" s="12"/>
      <c r="AN192" s="12"/>
      <c r="AO192" s="12"/>
      <c r="AP192" s="12"/>
      <c r="AQ192" s="12"/>
      <c r="AR192" s="9"/>
      <c r="AS192" s="12"/>
      <c r="AT192" s="12"/>
      <c r="AU192" s="12"/>
      <c r="AV192" s="12"/>
      <c r="AW192" s="12"/>
      <c r="AX192" s="12"/>
      <c r="AY192" s="9"/>
      <c r="AZ192" s="12"/>
      <c r="BA192" s="12"/>
      <c r="BB192" s="9"/>
      <c r="BC192" s="12"/>
      <c r="BD192" s="12"/>
      <c r="BE192" s="12"/>
    </row>
    <row r="193" spans="1:57" ht="15.75" customHeight="1">
      <c r="A193" s="1"/>
      <c r="B193" s="3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  <c r="AA193" s="4"/>
      <c r="AB193" s="4"/>
      <c r="AC193" s="4"/>
      <c r="AD193" s="10"/>
      <c r="AE193" s="9"/>
      <c r="AF193" s="9"/>
      <c r="AG193" s="12"/>
      <c r="AH193" s="12"/>
      <c r="AI193" s="12"/>
      <c r="AJ193" s="12"/>
      <c r="AK193" s="9"/>
      <c r="AL193" s="12"/>
      <c r="AM193" s="12"/>
      <c r="AN193" s="12"/>
      <c r="AO193" s="12"/>
      <c r="AP193" s="12"/>
      <c r="AQ193" s="12"/>
      <c r="AR193" s="9"/>
      <c r="AS193" s="12"/>
      <c r="AT193" s="12"/>
      <c r="AU193" s="12"/>
      <c r="AV193" s="12"/>
      <c r="AW193" s="12"/>
      <c r="AX193" s="12"/>
      <c r="AY193" s="9"/>
      <c r="AZ193" s="12"/>
      <c r="BA193" s="12"/>
      <c r="BB193" s="9"/>
      <c r="BC193" s="12"/>
      <c r="BD193" s="12"/>
      <c r="BE193" s="12"/>
    </row>
    <row r="194" spans="1:57" ht="15.75" customHeight="1">
      <c r="A194" s="1"/>
      <c r="B194" s="3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  <c r="AA194" s="4"/>
      <c r="AB194" s="4"/>
      <c r="AC194" s="4"/>
      <c r="AD194" s="10"/>
      <c r="AE194" s="9"/>
      <c r="AF194" s="9"/>
      <c r="AG194" s="12"/>
      <c r="AH194" s="12"/>
      <c r="AI194" s="12"/>
      <c r="AJ194" s="12"/>
      <c r="AK194" s="9"/>
      <c r="AL194" s="12"/>
      <c r="AM194" s="12"/>
      <c r="AN194" s="12"/>
      <c r="AO194" s="12"/>
      <c r="AP194" s="12"/>
      <c r="AQ194" s="12"/>
      <c r="AR194" s="9"/>
      <c r="AS194" s="12"/>
      <c r="AT194" s="12"/>
      <c r="AU194" s="12"/>
      <c r="AV194" s="12"/>
      <c r="AW194" s="12"/>
      <c r="AX194" s="12"/>
      <c r="AY194" s="9"/>
      <c r="AZ194" s="12"/>
      <c r="BA194" s="12"/>
      <c r="BB194" s="9"/>
      <c r="BC194" s="12"/>
      <c r="BD194" s="12"/>
      <c r="BE194" s="12"/>
    </row>
    <row r="195" spans="1:57" ht="15.75" customHeight="1">
      <c r="A195" s="1"/>
      <c r="B195" s="3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  <c r="AA195" s="4"/>
      <c r="AB195" s="4"/>
      <c r="AC195" s="4"/>
      <c r="AD195" s="10"/>
      <c r="AE195" s="9"/>
      <c r="AF195" s="9"/>
      <c r="AG195" s="12"/>
      <c r="AH195" s="12"/>
      <c r="AI195" s="12"/>
      <c r="AJ195" s="12"/>
      <c r="AK195" s="9"/>
      <c r="AL195" s="12"/>
      <c r="AM195" s="12"/>
      <c r="AN195" s="12"/>
      <c r="AO195" s="12"/>
      <c r="AP195" s="12"/>
      <c r="AQ195" s="12"/>
      <c r="AR195" s="9"/>
      <c r="AS195" s="12"/>
      <c r="AT195" s="12"/>
      <c r="AU195" s="12"/>
      <c r="AV195" s="12"/>
      <c r="AW195" s="12"/>
      <c r="AX195" s="12"/>
      <c r="AY195" s="9"/>
      <c r="AZ195" s="12"/>
      <c r="BA195" s="12"/>
      <c r="BB195" s="9"/>
      <c r="BC195" s="12"/>
      <c r="BD195" s="12"/>
      <c r="BE195" s="12"/>
    </row>
    <row r="196" spans="1:57" ht="15.75" customHeight="1">
      <c r="A196" s="1"/>
      <c r="B196" s="3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  <c r="AA196" s="4"/>
      <c r="AB196" s="4"/>
      <c r="AC196" s="4"/>
      <c r="AD196" s="10"/>
      <c r="AE196" s="9"/>
      <c r="AF196" s="9"/>
      <c r="AG196" s="12"/>
      <c r="AH196" s="12"/>
      <c r="AI196" s="12"/>
      <c r="AJ196" s="12"/>
      <c r="AK196" s="9"/>
      <c r="AL196" s="12"/>
      <c r="AM196" s="12"/>
      <c r="AN196" s="12"/>
      <c r="AO196" s="12"/>
      <c r="AP196" s="12"/>
      <c r="AQ196" s="12"/>
      <c r="AR196" s="9"/>
      <c r="AS196" s="12"/>
      <c r="AT196" s="12"/>
      <c r="AU196" s="12"/>
      <c r="AV196" s="12"/>
      <c r="AW196" s="12"/>
      <c r="AX196" s="12"/>
      <c r="AY196" s="9"/>
      <c r="AZ196" s="12"/>
      <c r="BA196" s="12"/>
      <c r="BB196" s="9"/>
      <c r="BC196" s="12"/>
      <c r="BD196" s="12"/>
      <c r="BE196" s="12"/>
    </row>
    <row r="197" spans="1:57" ht="15.75" customHeight="1">
      <c r="A197" s="1"/>
      <c r="B197" s="3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  <c r="AA197" s="4"/>
      <c r="AB197" s="4"/>
      <c r="AC197" s="4"/>
      <c r="AD197" s="10"/>
      <c r="AE197" s="9"/>
      <c r="AF197" s="9"/>
      <c r="AG197" s="12"/>
      <c r="AH197" s="12"/>
      <c r="AI197" s="12"/>
      <c r="AJ197" s="12"/>
      <c r="AK197" s="9"/>
      <c r="AL197" s="12"/>
      <c r="AM197" s="12"/>
      <c r="AN197" s="12"/>
      <c r="AO197" s="12"/>
      <c r="AP197" s="12"/>
      <c r="AQ197" s="12"/>
      <c r="AR197" s="9"/>
      <c r="AS197" s="12"/>
      <c r="AT197" s="12"/>
      <c r="AU197" s="12"/>
      <c r="AV197" s="12"/>
      <c r="AW197" s="12"/>
      <c r="AX197" s="12"/>
      <c r="AY197" s="9"/>
      <c r="AZ197" s="12"/>
      <c r="BA197" s="12"/>
      <c r="BB197" s="9"/>
      <c r="BC197" s="12"/>
      <c r="BD197" s="12"/>
      <c r="BE197" s="12"/>
    </row>
    <row r="198" spans="1:57" ht="15.75" customHeight="1">
      <c r="A198" s="1"/>
      <c r="B198" s="3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  <c r="AA198" s="4"/>
      <c r="AB198" s="4"/>
      <c r="AC198" s="4"/>
      <c r="AD198" s="10"/>
      <c r="AE198" s="9"/>
      <c r="AF198" s="9"/>
      <c r="AG198" s="12"/>
      <c r="AH198" s="12"/>
      <c r="AI198" s="12"/>
      <c r="AJ198" s="12"/>
      <c r="AK198" s="9"/>
      <c r="AL198" s="12"/>
      <c r="AM198" s="12"/>
      <c r="AN198" s="12"/>
      <c r="AO198" s="12"/>
      <c r="AP198" s="12"/>
      <c r="AQ198" s="12"/>
      <c r="AR198" s="9"/>
      <c r="AS198" s="12"/>
      <c r="AT198" s="12"/>
      <c r="AU198" s="12"/>
      <c r="AV198" s="12"/>
      <c r="AW198" s="12"/>
      <c r="AX198" s="12"/>
      <c r="AY198" s="9"/>
      <c r="AZ198" s="12"/>
      <c r="BA198" s="12"/>
      <c r="BB198" s="9"/>
      <c r="BC198" s="12"/>
      <c r="BD198" s="12"/>
      <c r="BE198" s="12"/>
    </row>
    <row r="199" spans="1:57" ht="15.75" customHeight="1">
      <c r="A199" s="1"/>
      <c r="B199" s="3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  <c r="AA199" s="4"/>
      <c r="AB199" s="4"/>
      <c r="AC199" s="4"/>
      <c r="AD199" s="10"/>
      <c r="AE199" s="9"/>
      <c r="AF199" s="9"/>
      <c r="AG199" s="12"/>
      <c r="AH199" s="12"/>
      <c r="AI199" s="12"/>
      <c r="AJ199" s="12"/>
      <c r="AK199" s="9"/>
      <c r="AL199" s="12"/>
      <c r="AM199" s="12"/>
      <c r="AN199" s="12"/>
      <c r="AO199" s="12"/>
      <c r="AP199" s="12"/>
      <c r="AQ199" s="12"/>
      <c r="AR199" s="9"/>
      <c r="AS199" s="12"/>
      <c r="AT199" s="12"/>
      <c r="AU199" s="12"/>
      <c r="AV199" s="12"/>
      <c r="AW199" s="12"/>
      <c r="AX199" s="12"/>
      <c r="AY199" s="9"/>
      <c r="AZ199" s="12"/>
      <c r="BA199" s="12"/>
      <c r="BB199" s="9"/>
      <c r="BC199" s="12"/>
      <c r="BD199" s="12"/>
      <c r="BE199" s="12"/>
    </row>
    <row r="200" spans="1:57" ht="15.75" customHeight="1">
      <c r="A200" s="1"/>
      <c r="B200" s="3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4"/>
      <c r="AB200" s="4"/>
      <c r="AC200" s="4"/>
      <c r="AD200" s="10"/>
      <c r="AE200" s="9"/>
      <c r="AF200" s="9"/>
      <c r="AG200" s="12"/>
      <c r="AH200" s="12"/>
      <c r="AI200" s="12"/>
      <c r="AJ200" s="12"/>
      <c r="AK200" s="9"/>
      <c r="AL200" s="12"/>
      <c r="AM200" s="12"/>
      <c r="AN200" s="12"/>
      <c r="AO200" s="12"/>
      <c r="AP200" s="12"/>
      <c r="AQ200" s="12"/>
      <c r="AR200" s="9"/>
      <c r="AS200" s="12"/>
      <c r="AT200" s="12"/>
      <c r="AU200" s="12"/>
      <c r="AV200" s="12"/>
      <c r="AW200" s="12"/>
      <c r="AX200" s="12"/>
      <c r="AY200" s="9"/>
      <c r="AZ200" s="12"/>
      <c r="BA200" s="12"/>
      <c r="BB200" s="9"/>
      <c r="BC200" s="12"/>
      <c r="BD200" s="12"/>
      <c r="BE200" s="12"/>
    </row>
    <row r="201" spans="1:57" ht="15.75" customHeight="1">
      <c r="A201" s="1"/>
      <c r="B201" s="3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4"/>
      <c r="AB201" s="4"/>
      <c r="AC201" s="4"/>
      <c r="AD201" s="10"/>
      <c r="AE201" s="9"/>
      <c r="AF201" s="9"/>
      <c r="AG201" s="12"/>
      <c r="AH201" s="12"/>
      <c r="AI201" s="12"/>
      <c r="AJ201" s="12"/>
      <c r="AK201" s="9"/>
      <c r="AL201" s="12"/>
      <c r="AM201" s="12"/>
      <c r="AN201" s="12"/>
      <c r="AO201" s="12"/>
      <c r="AP201" s="12"/>
      <c r="AQ201" s="12"/>
      <c r="AR201" s="9"/>
      <c r="AS201" s="12"/>
      <c r="AT201" s="12"/>
      <c r="AU201" s="12"/>
      <c r="AV201" s="12"/>
      <c r="AW201" s="12"/>
      <c r="AX201" s="12"/>
      <c r="AY201" s="9"/>
      <c r="AZ201" s="12"/>
      <c r="BA201" s="12"/>
      <c r="BB201" s="9"/>
      <c r="BC201" s="12"/>
      <c r="BD201" s="12"/>
      <c r="BE201" s="12"/>
    </row>
    <row r="202" spans="1:57" ht="15.75" customHeight="1">
      <c r="A202" s="1"/>
      <c r="B202" s="3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4"/>
      <c r="AB202" s="4"/>
      <c r="AC202" s="4"/>
      <c r="AD202" s="10"/>
      <c r="AE202" s="9"/>
      <c r="AF202" s="9"/>
      <c r="AG202" s="12"/>
      <c r="AH202" s="12"/>
      <c r="AI202" s="12"/>
      <c r="AJ202" s="12"/>
      <c r="AK202" s="9"/>
      <c r="AL202" s="12"/>
      <c r="AM202" s="12"/>
      <c r="AN202" s="12"/>
      <c r="AO202" s="12"/>
      <c r="AP202" s="12"/>
      <c r="AQ202" s="12"/>
      <c r="AR202" s="9"/>
      <c r="AS202" s="12"/>
      <c r="AT202" s="12"/>
      <c r="AU202" s="12"/>
      <c r="AV202" s="12"/>
      <c r="AW202" s="12"/>
      <c r="AX202" s="12"/>
      <c r="AY202" s="9"/>
      <c r="AZ202" s="12"/>
      <c r="BA202" s="12"/>
      <c r="BB202" s="9"/>
      <c r="BC202" s="12"/>
      <c r="BD202" s="12"/>
      <c r="BE202" s="12"/>
    </row>
    <row r="203" spans="1:57" ht="15.75" customHeight="1">
      <c r="A203" s="1"/>
      <c r="B203" s="3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4"/>
      <c r="AB203" s="4"/>
      <c r="AC203" s="4"/>
      <c r="AD203" s="10"/>
      <c r="AE203" s="9"/>
      <c r="AF203" s="9"/>
      <c r="AG203" s="12"/>
      <c r="AH203" s="12"/>
      <c r="AI203" s="12"/>
      <c r="AJ203" s="12"/>
      <c r="AK203" s="9"/>
      <c r="AL203" s="12"/>
      <c r="AM203" s="12"/>
      <c r="AN203" s="12"/>
      <c r="AO203" s="12"/>
      <c r="AP203" s="12"/>
      <c r="AQ203" s="12"/>
      <c r="AR203" s="9"/>
      <c r="AS203" s="12"/>
      <c r="AT203" s="12"/>
      <c r="AU203" s="12"/>
      <c r="AV203" s="12"/>
      <c r="AW203" s="12"/>
      <c r="AX203" s="12"/>
      <c r="AY203" s="9"/>
      <c r="AZ203" s="12"/>
      <c r="BA203" s="12"/>
      <c r="BB203" s="9"/>
      <c r="BC203" s="12"/>
      <c r="BD203" s="12"/>
      <c r="BE203" s="12"/>
    </row>
    <row r="204" spans="1:57" ht="15.75" customHeight="1">
      <c r="A204" s="1"/>
      <c r="B204" s="3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4"/>
      <c r="AB204" s="4"/>
      <c r="AC204" s="4"/>
      <c r="AD204" s="10"/>
      <c r="AE204" s="9"/>
      <c r="AF204" s="9"/>
      <c r="AG204" s="12"/>
      <c r="AH204" s="12"/>
      <c r="AI204" s="12"/>
      <c r="AJ204" s="12"/>
      <c r="AK204" s="9"/>
      <c r="AL204" s="12"/>
      <c r="AM204" s="12"/>
      <c r="AN204" s="12"/>
      <c r="AO204" s="12"/>
      <c r="AP204" s="12"/>
      <c r="AQ204" s="12"/>
      <c r="AR204" s="9"/>
      <c r="AS204" s="12"/>
      <c r="AT204" s="12"/>
      <c r="AU204" s="12"/>
      <c r="AV204" s="12"/>
      <c r="AW204" s="12"/>
      <c r="AX204" s="12"/>
      <c r="AY204" s="9"/>
      <c r="AZ204" s="12"/>
      <c r="BA204" s="12"/>
      <c r="BB204" s="9"/>
      <c r="BC204" s="12"/>
      <c r="BD204" s="12"/>
      <c r="BE204" s="12"/>
    </row>
    <row r="205" spans="1:57" ht="15.75" customHeight="1">
      <c r="A205" s="1"/>
      <c r="B205" s="3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4"/>
      <c r="AB205" s="4"/>
      <c r="AC205" s="4"/>
      <c r="AD205" s="10"/>
      <c r="AE205" s="9"/>
      <c r="AF205" s="9"/>
      <c r="AG205" s="12"/>
      <c r="AH205" s="12"/>
      <c r="AI205" s="12"/>
      <c r="AJ205" s="12"/>
      <c r="AK205" s="9"/>
      <c r="AL205" s="12"/>
      <c r="AM205" s="12"/>
      <c r="AN205" s="12"/>
      <c r="AO205" s="12"/>
      <c r="AP205" s="12"/>
      <c r="AQ205" s="12"/>
      <c r="AR205" s="9"/>
      <c r="AS205" s="12"/>
      <c r="AT205" s="12"/>
      <c r="AU205" s="12"/>
      <c r="AV205" s="12"/>
      <c r="AW205" s="12"/>
      <c r="AX205" s="12"/>
      <c r="AY205" s="9"/>
      <c r="AZ205" s="12"/>
      <c r="BA205" s="12"/>
      <c r="BB205" s="9"/>
      <c r="BC205" s="12"/>
      <c r="BD205" s="12"/>
      <c r="BE205" s="12"/>
    </row>
    <row r="206" spans="1:57" ht="15.75" customHeight="1">
      <c r="A206" s="1"/>
      <c r="B206" s="3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4"/>
      <c r="AB206" s="4"/>
      <c r="AC206" s="4"/>
      <c r="AD206" s="10"/>
      <c r="AE206" s="9"/>
      <c r="AF206" s="9"/>
      <c r="AG206" s="12"/>
      <c r="AH206" s="12"/>
      <c r="AI206" s="12"/>
      <c r="AJ206" s="12"/>
      <c r="AK206" s="9"/>
      <c r="AL206" s="12"/>
      <c r="AM206" s="12"/>
      <c r="AN206" s="12"/>
      <c r="AO206" s="12"/>
      <c r="AP206" s="12"/>
      <c r="AQ206" s="12"/>
      <c r="AR206" s="9"/>
      <c r="AS206" s="12"/>
      <c r="AT206" s="12"/>
      <c r="AU206" s="12"/>
      <c r="AV206" s="12"/>
      <c r="AW206" s="12"/>
      <c r="AX206" s="12"/>
      <c r="AY206" s="9"/>
      <c r="AZ206" s="12"/>
      <c r="BA206" s="12"/>
      <c r="BB206" s="9"/>
      <c r="BC206" s="12"/>
      <c r="BD206" s="12"/>
      <c r="BE206" s="12"/>
    </row>
    <row r="207" spans="1:57" ht="15.75" customHeight="1">
      <c r="A207" s="1"/>
      <c r="B207" s="3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4"/>
      <c r="AB207" s="4"/>
      <c r="AC207" s="4"/>
      <c r="AD207" s="10"/>
      <c r="AE207" s="9"/>
      <c r="AF207" s="9"/>
      <c r="AG207" s="12"/>
      <c r="AH207" s="12"/>
      <c r="AI207" s="12"/>
      <c r="AJ207" s="12"/>
      <c r="AK207" s="9"/>
      <c r="AL207" s="12"/>
      <c r="AM207" s="12"/>
      <c r="AN207" s="12"/>
      <c r="AO207" s="12"/>
      <c r="AP207" s="12"/>
      <c r="AQ207" s="12"/>
      <c r="AR207" s="9"/>
      <c r="AS207" s="12"/>
      <c r="AT207" s="12"/>
      <c r="AU207" s="12"/>
      <c r="AV207" s="12"/>
      <c r="AW207" s="12"/>
      <c r="AX207" s="12"/>
      <c r="AY207" s="9"/>
      <c r="AZ207" s="12"/>
      <c r="BA207" s="12"/>
      <c r="BB207" s="9"/>
      <c r="BC207" s="12"/>
      <c r="BD207" s="12"/>
      <c r="BE207" s="12"/>
    </row>
    <row r="208" spans="1:57" ht="15.75" customHeight="1">
      <c r="A208" s="1"/>
      <c r="B208" s="3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4"/>
      <c r="AB208" s="4"/>
      <c r="AC208" s="4"/>
      <c r="AD208" s="10"/>
      <c r="AE208" s="9"/>
      <c r="AF208" s="9"/>
      <c r="AG208" s="12"/>
      <c r="AH208" s="12"/>
      <c r="AI208" s="12"/>
      <c r="AJ208" s="12"/>
      <c r="AK208" s="9"/>
      <c r="AL208" s="12"/>
      <c r="AM208" s="12"/>
      <c r="AN208" s="12"/>
      <c r="AO208" s="12"/>
      <c r="AP208" s="12"/>
      <c r="AQ208" s="12"/>
      <c r="AR208" s="9"/>
      <c r="AS208" s="12"/>
      <c r="AT208" s="12"/>
      <c r="AU208" s="12"/>
      <c r="AV208" s="12"/>
      <c r="AW208" s="12"/>
      <c r="AX208" s="12"/>
      <c r="AY208" s="9"/>
      <c r="AZ208" s="12"/>
      <c r="BA208" s="12"/>
      <c r="BB208" s="9"/>
      <c r="BC208" s="12"/>
      <c r="BD208" s="12"/>
      <c r="BE208" s="12"/>
    </row>
    <row r="209" spans="1:57" ht="15.75" customHeight="1">
      <c r="A209" s="1"/>
      <c r="B209" s="3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4"/>
      <c r="AB209" s="4"/>
      <c r="AC209" s="4"/>
      <c r="AD209" s="10"/>
      <c r="AE209" s="9"/>
      <c r="AF209" s="9"/>
      <c r="AG209" s="12"/>
      <c r="AH209" s="12"/>
      <c r="AI209" s="12"/>
      <c r="AJ209" s="12"/>
      <c r="AK209" s="9"/>
      <c r="AL209" s="12"/>
      <c r="AM209" s="12"/>
      <c r="AN209" s="12"/>
      <c r="AO209" s="12"/>
      <c r="AP209" s="12"/>
      <c r="AQ209" s="12"/>
      <c r="AR209" s="9"/>
      <c r="AS209" s="12"/>
      <c r="AT209" s="12"/>
      <c r="AU209" s="12"/>
      <c r="AV209" s="12"/>
      <c r="AW209" s="12"/>
      <c r="AX209" s="12"/>
      <c r="AY209" s="9"/>
      <c r="AZ209" s="12"/>
      <c r="BA209" s="12"/>
      <c r="BB209" s="9"/>
      <c r="BC209" s="12"/>
      <c r="BD209" s="12"/>
      <c r="BE209" s="12"/>
    </row>
    <row r="210" spans="1:57" ht="15.75" customHeight="1">
      <c r="A210" s="1"/>
      <c r="B210" s="3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4"/>
      <c r="AB210" s="4"/>
      <c r="AC210" s="4"/>
      <c r="AD210" s="10"/>
      <c r="AE210" s="9"/>
      <c r="AF210" s="9"/>
      <c r="AG210" s="12"/>
      <c r="AH210" s="12"/>
      <c r="AI210" s="12"/>
      <c r="AJ210" s="12"/>
      <c r="AK210" s="9"/>
      <c r="AL210" s="12"/>
      <c r="AM210" s="12"/>
      <c r="AN210" s="12"/>
      <c r="AO210" s="12"/>
      <c r="AP210" s="12"/>
      <c r="AQ210" s="12"/>
      <c r="AR210" s="9"/>
      <c r="AS210" s="12"/>
      <c r="AT210" s="12"/>
      <c r="AU210" s="12"/>
      <c r="AV210" s="12"/>
      <c r="AW210" s="12"/>
      <c r="AX210" s="12"/>
      <c r="AY210" s="9"/>
      <c r="AZ210" s="12"/>
      <c r="BA210" s="12"/>
      <c r="BB210" s="9"/>
      <c r="BC210" s="12"/>
      <c r="BD210" s="12"/>
      <c r="BE210" s="12"/>
    </row>
    <row r="211" spans="1:57" ht="15.75" customHeight="1">
      <c r="A211" s="1"/>
      <c r="B211" s="3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4"/>
      <c r="AB211" s="4"/>
      <c r="AC211" s="4"/>
      <c r="AD211" s="10"/>
      <c r="AE211" s="9"/>
      <c r="AF211" s="9"/>
      <c r="AG211" s="12"/>
      <c r="AH211" s="12"/>
      <c r="AI211" s="12"/>
      <c r="AJ211" s="12"/>
      <c r="AK211" s="9"/>
      <c r="AL211" s="12"/>
      <c r="AM211" s="12"/>
      <c r="AN211" s="12"/>
      <c r="AO211" s="12"/>
      <c r="AP211" s="12"/>
      <c r="AQ211" s="12"/>
      <c r="AR211" s="9"/>
      <c r="AS211" s="12"/>
      <c r="AT211" s="12"/>
      <c r="AU211" s="12"/>
      <c r="AV211" s="12"/>
      <c r="AW211" s="12"/>
      <c r="AX211" s="12"/>
      <c r="AY211" s="9"/>
      <c r="AZ211" s="12"/>
      <c r="BA211" s="12"/>
      <c r="BB211" s="9"/>
      <c r="BC211" s="12"/>
      <c r="BD211" s="12"/>
      <c r="BE211" s="12"/>
    </row>
    <row r="212" spans="1:57" ht="15.75" customHeight="1">
      <c r="A212" s="1"/>
      <c r="B212" s="3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4"/>
      <c r="AB212" s="4"/>
      <c r="AC212" s="4"/>
      <c r="AD212" s="10"/>
      <c r="AE212" s="9"/>
      <c r="AF212" s="9"/>
      <c r="AG212" s="12"/>
      <c r="AH212" s="12"/>
      <c r="AI212" s="12"/>
      <c r="AJ212" s="12"/>
      <c r="AK212" s="9"/>
      <c r="AL212" s="12"/>
      <c r="AM212" s="12"/>
      <c r="AN212" s="12"/>
      <c r="AO212" s="12"/>
      <c r="AP212" s="12"/>
      <c r="AQ212" s="12"/>
      <c r="AR212" s="9"/>
      <c r="AS212" s="12"/>
      <c r="AT212" s="12"/>
      <c r="AU212" s="12"/>
      <c r="AV212" s="12"/>
      <c r="AW212" s="12"/>
      <c r="AX212" s="12"/>
      <c r="AY212" s="9"/>
      <c r="AZ212" s="12"/>
      <c r="BA212" s="12"/>
      <c r="BB212" s="9"/>
      <c r="BC212" s="12"/>
      <c r="BD212" s="12"/>
      <c r="BE212" s="12"/>
    </row>
    <row r="213" spans="1:57" ht="15.75" customHeight="1">
      <c r="A213" s="1"/>
      <c r="B213" s="3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4"/>
      <c r="AB213" s="4"/>
      <c r="AC213" s="4"/>
      <c r="AD213" s="10"/>
      <c r="AE213" s="9"/>
      <c r="AF213" s="9"/>
      <c r="AG213" s="12"/>
      <c r="AH213" s="12"/>
      <c r="AI213" s="12"/>
      <c r="AJ213" s="12"/>
      <c r="AK213" s="9"/>
      <c r="AL213" s="12"/>
      <c r="AM213" s="12"/>
      <c r="AN213" s="12"/>
      <c r="AO213" s="12"/>
      <c r="AP213" s="12"/>
      <c r="AQ213" s="12"/>
      <c r="AR213" s="9"/>
      <c r="AS213" s="12"/>
      <c r="AT213" s="12"/>
      <c r="AU213" s="12"/>
      <c r="AV213" s="12"/>
      <c r="AW213" s="12"/>
      <c r="AX213" s="12"/>
      <c r="AY213" s="9"/>
      <c r="AZ213" s="12"/>
      <c r="BA213" s="12"/>
      <c r="BB213" s="9"/>
      <c r="BC213" s="12"/>
      <c r="BD213" s="12"/>
      <c r="BE213" s="12"/>
    </row>
    <row r="214" spans="1:57" ht="15.75" customHeight="1">
      <c r="A214" s="1"/>
      <c r="B214" s="3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4"/>
      <c r="AB214" s="4"/>
      <c r="AC214" s="4"/>
      <c r="AD214" s="10"/>
      <c r="AE214" s="9"/>
      <c r="AF214" s="9"/>
      <c r="AG214" s="12"/>
      <c r="AH214" s="12"/>
      <c r="AI214" s="12"/>
      <c r="AJ214" s="12"/>
      <c r="AK214" s="9"/>
      <c r="AL214" s="12"/>
      <c r="AM214" s="12"/>
      <c r="AN214" s="12"/>
      <c r="AO214" s="12"/>
      <c r="AP214" s="12"/>
      <c r="AQ214" s="12"/>
      <c r="AR214" s="9"/>
      <c r="AS214" s="12"/>
      <c r="AT214" s="12"/>
      <c r="AU214" s="12"/>
      <c r="AV214" s="12"/>
      <c r="AW214" s="12"/>
      <c r="AX214" s="12"/>
      <c r="AY214" s="9"/>
      <c r="AZ214" s="12"/>
      <c r="BA214" s="12"/>
      <c r="BB214" s="9"/>
      <c r="BC214" s="12"/>
      <c r="BD214" s="12"/>
      <c r="BE214" s="12"/>
    </row>
    <row r="215" spans="1:57" ht="15.75" customHeight="1">
      <c r="A215" s="1"/>
      <c r="B215" s="3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4"/>
      <c r="AB215" s="4"/>
      <c r="AC215" s="4"/>
      <c r="AD215" s="10"/>
      <c r="AE215" s="9"/>
      <c r="AF215" s="9"/>
      <c r="AG215" s="12"/>
      <c r="AH215" s="12"/>
      <c r="AI215" s="12"/>
      <c r="AJ215" s="12"/>
      <c r="AK215" s="9"/>
      <c r="AL215" s="12"/>
      <c r="AM215" s="12"/>
      <c r="AN215" s="12"/>
      <c r="AO215" s="12"/>
      <c r="AP215" s="12"/>
      <c r="AQ215" s="12"/>
      <c r="AR215" s="9"/>
      <c r="AS215" s="12"/>
      <c r="AT215" s="12"/>
      <c r="AU215" s="12"/>
      <c r="AV215" s="12"/>
      <c r="AW215" s="12"/>
      <c r="AX215" s="12"/>
      <c r="AY215" s="9"/>
      <c r="AZ215" s="12"/>
      <c r="BA215" s="12"/>
      <c r="BB215" s="9"/>
      <c r="BC215" s="12"/>
      <c r="BD215" s="12"/>
      <c r="BE215" s="12"/>
    </row>
    <row r="216" spans="1:57" ht="15.75" customHeight="1">
      <c r="A216" s="1"/>
      <c r="B216" s="3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4"/>
      <c r="AB216" s="4"/>
      <c r="AC216" s="4"/>
      <c r="AD216" s="10"/>
      <c r="AE216" s="9"/>
      <c r="AF216" s="9"/>
      <c r="AG216" s="12"/>
      <c r="AH216" s="12"/>
      <c r="AI216" s="12"/>
      <c r="AJ216" s="12"/>
      <c r="AK216" s="9"/>
      <c r="AL216" s="12"/>
      <c r="AM216" s="12"/>
      <c r="AN216" s="12"/>
      <c r="AO216" s="12"/>
      <c r="AP216" s="12"/>
      <c r="AQ216" s="12"/>
      <c r="AR216" s="9"/>
      <c r="AS216" s="12"/>
      <c r="AT216" s="12"/>
      <c r="AU216" s="12"/>
      <c r="AV216" s="12"/>
      <c r="AW216" s="12"/>
      <c r="AX216" s="12"/>
      <c r="AY216" s="9"/>
      <c r="AZ216" s="12"/>
      <c r="BA216" s="12"/>
      <c r="BB216" s="9"/>
      <c r="BC216" s="12"/>
      <c r="BD216" s="12"/>
      <c r="BE216" s="12"/>
    </row>
    <row r="217" spans="1:57" ht="15.75" customHeight="1">
      <c r="A217" s="1"/>
      <c r="B217" s="3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4"/>
      <c r="AB217" s="4"/>
      <c r="AC217" s="4"/>
      <c r="AD217" s="10"/>
      <c r="AE217" s="9"/>
      <c r="AF217" s="9"/>
      <c r="AG217" s="12"/>
      <c r="AH217" s="12"/>
      <c r="AI217" s="12"/>
      <c r="AJ217" s="12"/>
      <c r="AK217" s="9"/>
      <c r="AL217" s="12"/>
      <c r="AM217" s="12"/>
      <c r="AN217" s="12"/>
      <c r="AO217" s="12"/>
      <c r="AP217" s="12"/>
      <c r="AQ217" s="12"/>
      <c r="AR217" s="9"/>
      <c r="AS217" s="12"/>
      <c r="AT217" s="12"/>
      <c r="AU217" s="12"/>
      <c r="AV217" s="12"/>
      <c r="AW217" s="12"/>
      <c r="AX217" s="12"/>
      <c r="AY217" s="9"/>
      <c r="AZ217" s="12"/>
      <c r="BA217" s="12"/>
      <c r="BB217" s="9"/>
      <c r="BC217" s="12"/>
      <c r="BD217" s="12"/>
      <c r="BE217" s="12"/>
    </row>
    <row r="218" spans="1:57" ht="15.75" customHeight="1">
      <c r="A218" s="1"/>
      <c r="B218" s="3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4"/>
      <c r="AB218" s="4"/>
      <c r="AC218" s="4"/>
      <c r="AD218" s="10"/>
      <c r="AE218" s="9"/>
      <c r="AF218" s="9"/>
      <c r="AG218" s="12"/>
      <c r="AH218" s="12"/>
      <c r="AI218" s="12"/>
      <c r="AJ218" s="12"/>
      <c r="AK218" s="9"/>
      <c r="AL218" s="12"/>
      <c r="AM218" s="12"/>
      <c r="AN218" s="12"/>
      <c r="AO218" s="12"/>
      <c r="AP218" s="12"/>
      <c r="AQ218" s="12"/>
      <c r="AR218" s="9"/>
      <c r="AS218" s="12"/>
      <c r="AT218" s="12"/>
      <c r="AU218" s="12"/>
      <c r="AV218" s="12"/>
      <c r="AW218" s="12"/>
      <c r="AX218" s="12"/>
      <c r="AY218" s="9"/>
      <c r="AZ218" s="12"/>
      <c r="BA218" s="12"/>
      <c r="BB218" s="9"/>
      <c r="BC218" s="12"/>
      <c r="BD218" s="12"/>
      <c r="BE218" s="12"/>
    </row>
    <row r="219" spans="1:57" ht="15.75" customHeight="1">
      <c r="A219" s="1"/>
      <c r="B219" s="3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4"/>
      <c r="AB219" s="4"/>
      <c r="AC219" s="4"/>
      <c r="AD219" s="10"/>
      <c r="AE219" s="9"/>
      <c r="AF219" s="9"/>
      <c r="AG219" s="12"/>
      <c r="AH219" s="12"/>
      <c r="AI219" s="12"/>
      <c r="AJ219" s="12"/>
      <c r="AK219" s="9"/>
      <c r="AL219" s="12"/>
      <c r="AM219" s="12"/>
      <c r="AN219" s="12"/>
      <c r="AO219" s="12"/>
      <c r="AP219" s="12"/>
      <c r="AQ219" s="12"/>
      <c r="AR219" s="9"/>
      <c r="AS219" s="12"/>
      <c r="AT219" s="12"/>
      <c r="AU219" s="12"/>
      <c r="AV219" s="12"/>
      <c r="AW219" s="12"/>
      <c r="AX219" s="12"/>
      <c r="AY219" s="9"/>
      <c r="AZ219" s="12"/>
      <c r="BA219" s="12"/>
      <c r="BB219" s="9"/>
      <c r="BC219" s="12"/>
      <c r="BD219" s="12"/>
      <c r="BE219" s="12"/>
    </row>
    <row r="220" spans="1:57" ht="15.75" customHeight="1">
      <c r="A220" s="1"/>
      <c r="B220" s="3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4"/>
      <c r="AB220" s="4"/>
      <c r="AC220" s="4"/>
      <c r="AD220" s="10"/>
      <c r="AE220" s="9"/>
      <c r="AF220" s="9"/>
      <c r="AG220" s="12"/>
      <c r="AH220" s="12"/>
      <c r="AI220" s="12"/>
      <c r="AJ220" s="12"/>
      <c r="AK220" s="9"/>
      <c r="AL220" s="12"/>
      <c r="AM220" s="12"/>
      <c r="AN220" s="12"/>
      <c r="AO220" s="12"/>
      <c r="AP220" s="12"/>
      <c r="AQ220" s="12"/>
      <c r="AR220" s="9"/>
      <c r="AS220" s="12"/>
      <c r="AT220" s="12"/>
      <c r="AU220" s="12"/>
      <c r="AV220" s="12"/>
      <c r="AW220" s="12"/>
      <c r="AX220" s="12"/>
      <c r="AY220" s="9"/>
      <c r="AZ220" s="12"/>
      <c r="BA220" s="12"/>
      <c r="BB220" s="9"/>
      <c r="BC220" s="12"/>
      <c r="BD220" s="12"/>
      <c r="BE220" s="12"/>
    </row>
    <row r="221" spans="1:57" ht="15.75" customHeight="1">
      <c r="A221" s="1"/>
      <c r="B221" s="3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4"/>
      <c r="AB221" s="4"/>
      <c r="AC221" s="4"/>
      <c r="AD221" s="10"/>
      <c r="AE221" s="9"/>
      <c r="AF221" s="9"/>
      <c r="AG221" s="12"/>
      <c r="AH221" s="12"/>
      <c r="AI221" s="12"/>
      <c r="AJ221" s="12"/>
      <c r="AK221" s="9"/>
      <c r="AL221" s="12"/>
      <c r="AM221" s="12"/>
      <c r="AN221" s="12"/>
      <c r="AO221" s="12"/>
      <c r="AP221" s="12"/>
      <c r="AQ221" s="12"/>
      <c r="AR221" s="9"/>
      <c r="AS221" s="12"/>
      <c r="AT221" s="12"/>
      <c r="AU221" s="12"/>
      <c r="AV221" s="12"/>
      <c r="AW221" s="12"/>
      <c r="AX221" s="12"/>
      <c r="AY221" s="9"/>
      <c r="AZ221" s="12"/>
      <c r="BA221" s="12"/>
      <c r="BB221" s="9"/>
      <c r="BC221" s="12"/>
      <c r="BD221" s="12"/>
      <c r="BE221" s="12"/>
    </row>
    <row r="222" spans="1:57" ht="15.75" customHeight="1">
      <c r="A222" s="1"/>
      <c r="B222" s="3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4"/>
      <c r="AB222" s="4"/>
      <c r="AC222" s="4"/>
      <c r="AD222" s="10"/>
      <c r="AE222" s="9"/>
      <c r="AF222" s="9"/>
      <c r="AG222" s="12"/>
      <c r="AH222" s="12"/>
      <c r="AI222" s="12"/>
      <c r="AJ222" s="12"/>
      <c r="AK222" s="9"/>
      <c r="AL222" s="12"/>
      <c r="AM222" s="12"/>
      <c r="AN222" s="12"/>
      <c r="AO222" s="12"/>
      <c r="AP222" s="12"/>
      <c r="AQ222" s="12"/>
      <c r="AR222" s="9"/>
      <c r="AS222" s="12"/>
      <c r="AT222" s="12"/>
      <c r="AU222" s="12"/>
      <c r="AV222" s="12"/>
      <c r="AW222" s="12"/>
      <c r="AX222" s="12"/>
      <c r="AY222" s="9"/>
      <c r="AZ222" s="12"/>
      <c r="BA222" s="12"/>
      <c r="BB222" s="9"/>
      <c r="BC222" s="12"/>
      <c r="BD222" s="12"/>
      <c r="BE222" s="12"/>
    </row>
    <row r="223" spans="1:57" ht="15.75" customHeight="1">
      <c r="A223" s="1"/>
      <c r="B223" s="3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4"/>
      <c r="AB223" s="4"/>
      <c r="AC223" s="4"/>
      <c r="AD223" s="10"/>
      <c r="AE223" s="9"/>
      <c r="AF223" s="9"/>
      <c r="AG223" s="12"/>
      <c r="AH223" s="12"/>
      <c r="AI223" s="12"/>
      <c r="AJ223" s="12"/>
      <c r="AK223" s="9"/>
      <c r="AL223" s="12"/>
      <c r="AM223" s="12"/>
      <c r="AN223" s="12"/>
      <c r="AO223" s="12"/>
      <c r="AP223" s="12"/>
      <c r="AQ223" s="12"/>
      <c r="AR223" s="9"/>
      <c r="AS223" s="12"/>
      <c r="AT223" s="12"/>
      <c r="AU223" s="12"/>
      <c r="AV223" s="12"/>
      <c r="AW223" s="12"/>
      <c r="AX223" s="12"/>
      <c r="AY223" s="9"/>
      <c r="AZ223" s="12"/>
      <c r="BA223" s="12"/>
      <c r="BB223" s="9"/>
      <c r="BC223" s="12"/>
      <c r="BD223" s="12"/>
      <c r="BE223" s="12"/>
    </row>
    <row r="224" spans="1:57" ht="15.75" customHeight="1">
      <c r="A224" s="1"/>
      <c r="B224" s="3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4"/>
      <c r="AB224" s="4"/>
      <c r="AC224" s="4"/>
      <c r="AD224" s="10"/>
      <c r="AE224" s="9"/>
      <c r="AF224" s="9"/>
      <c r="AG224" s="12"/>
      <c r="AH224" s="12"/>
      <c r="AI224" s="12"/>
      <c r="AJ224" s="12"/>
      <c r="AK224" s="9"/>
      <c r="AL224" s="12"/>
      <c r="AM224" s="12"/>
      <c r="AN224" s="12"/>
      <c r="AO224" s="12"/>
      <c r="AP224" s="12"/>
      <c r="AQ224" s="12"/>
      <c r="AR224" s="9"/>
      <c r="AS224" s="12"/>
      <c r="AT224" s="12"/>
      <c r="AU224" s="12"/>
      <c r="AV224" s="12"/>
      <c r="AW224" s="12"/>
      <c r="AX224" s="12"/>
      <c r="AY224" s="9"/>
      <c r="AZ224" s="12"/>
      <c r="BA224" s="12"/>
      <c r="BB224" s="9"/>
      <c r="BC224" s="12"/>
      <c r="BD224" s="12"/>
      <c r="BE224" s="12"/>
    </row>
    <row r="225" spans="1:57" ht="15.75" customHeight="1">
      <c r="A225" s="1"/>
      <c r="B225" s="3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4"/>
      <c r="AB225" s="4"/>
      <c r="AC225" s="4"/>
      <c r="AD225" s="10"/>
      <c r="AE225" s="9"/>
      <c r="AF225" s="9"/>
      <c r="AG225" s="12"/>
      <c r="AH225" s="12"/>
      <c r="AI225" s="12"/>
      <c r="AJ225" s="12"/>
      <c r="AK225" s="9"/>
      <c r="AL225" s="12"/>
      <c r="AM225" s="12"/>
      <c r="AN225" s="12"/>
      <c r="AO225" s="12"/>
      <c r="AP225" s="12"/>
      <c r="AQ225" s="12"/>
      <c r="AR225" s="9"/>
      <c r="AS225" s="12"/>
      <c r="AT225" s="12"/>
      <c r="AU225" s="12"/>
      <c r="AV225" s="12"/>
      <c r="AW225" s="12"/>
      <c r="AX225" s="12"/>
      <c r="AY225" s="9"/>
      <c r="AZ225" s="12"/>
      <c r="BA225" s="12"/>
      <c r="BB225" s="9"/>
      <c r="BC225" s="12"/>
      <c r="BD225" s="12"/>
      <c r="BE225" s="12"/>
    </row>
    <row r="226" spans="1:57" ht="15.75" customHeight="1">
      <c r="A226" s="1"/>
      <c r="B226" s="3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4"/>
      <c r="AB226" s="4"/>
      <c r="AC226" s="4"/>
      <c r="AD226" s="10"/>
      <c r="AE226" s="9"/>
      <c r="AF226" s="9"/>
      <c r="AG226" s="12"/>
      <c r="AH226" s="12"/>
      <c r="AI226" s="12"/>
      <c r="AJ226" s="12"/>
      <c r="AK226" s="9"/>
      <c r="AL226" s="12"/>
      <c r="AM226" s="12"/>
      <c r="AN226" s="12"/>
      <c r="AO226" s="12"/>
      <c r="AP226" s="12"/>
      <c r="AQ226" s="12"/>
      <c r="AR226" s="9"/>
      <c r="AS226" s="12"/>
      <c r="AT226" s="12"/>
      <c r="AU226" s="12"/>
      <c r="AV226" s="12"/>
      <c r="AW226" s="12"/>
      <c r="AX226" s="12"/>
      <c r="AY226" s="9"/>
      <c r="AZ226" s="12"/>
      <c r="BA226" s="12"/>
      <c r="BB226" s="9"/>
      <c r="BC226" s="12"/>
      <c r="BD226" s="12"/>
      <c r="BE226" s="12"/>
    </row>
    <row r="227" spans="1:57" ht="15.75" customHeight="1">
      <c r="A227" s="1"/>
      <c r="B227" s="3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4"/>
      <c r="AB227" s="4"/>
      <c r="AC227" s="4"/>
      <c r="AD227" s="10"/>
      <c r="AE227" s="9"/>
      <c r="AF227" s="9"/>
      <c r="AG227" s="12"/>
      <c r="AH227" s="12"/>
      <c r="AI227" s="12"/>
      <c r="AJ227" s="12"/>
      <c r="AK227" s="9"/>
      <c r="AL227" s="12"/>
      <c r="AM227" s="12"/>
      <c r="AN227" s="12"/>
      <c r="AO227" s="12"/>
      <c r="AP227" s="12"/>
      <c r="AQ227" s="12"/>
      <c r="AR227" s="9"/>
      <c r="AS227" s="12"/>
      <c r="AT227" s="12"/>
      <c r="AU227" s="12"/>
      <c r="AV227" s="12"/>
      <c r="AW227" s="12"/>
      <c r="AX227" s="12"/>
      <c r="AY227" s="9"/>
      <c r="AZ227" s="12"/>
      <c r="BA227" s="12"/>
      <c r="BB227" s="9"/>
      <c r="BC227" s="12"/>
      <c r="BD227" s="12"/>
      <c r="BE227" s="12"/>
    </row>
    <row r="228" spans="1:57" ht="15.75" customHeight="1">
      <c r="A228" s="1"/>
      <c r="B228" s="3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4"/>
      <c r="AB228" s="4"/>
      <c r="AC228" s="4"/>
      <c r="AD228" s="10"/>
      <c r="AE228" s="9"/>
      <c r="AF228" s="9"/>
      <c r="AG228" s="12"/>
      <c r="AH228" s="12"/>
      <c r="AI228" s="12"/>
      <c r="AJ228" s="12"/>
      <c r="AK228" s="9"/>
      <c r="AL228" s="12"/>
      <c r="AM228" s="12"/>
      <c r="AN228" s="12"/>
      <c r="AO228" s="12"/>
      <c r="AP228" s="12"/>
      <c r="AQ228" s="12"/>
      <c r="AR228" s="9"/>
      <c r="AS228" s="12"/>
      <c r="AT228" s="12"/>
      <c r="AU228" s="12"/>
      <c r="AV228" s="12"/>
      <c r="AW228" s="12"/>
      <c r="AX228" s="12"/>
      <c r="AY228" s="9"/>
      <c r="AZ228" s="12"/>
      <c r="BA228" s="12"/>
      <c r="BB228" s="9"/>
      <c r="BC228" s="12"/>
      <c r="BD228" s="12"/>
      <c r="BE228" s="12"/>
    </row>
    <row r="229" spans="1:57" ht="15.75" customHeight="1">
      <c r="A229" s="1"/>
      <c r="B229" s="3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4"/>
      <c r="AB229" s="4"/>
      <c r="AC229" s="4"/>
      <c r="AD229" s="10"/>
      <c r="AE229" s="9"/>
      <c r="AF229" s="9"/>
      <c r="AG229" s="12"/>
      <c r="AH229" s="12"/>
      <c r="AI229" s="12"/>
      <c r="AJ229" s="12"/>
      <c r="AK229" s="9"/>
      <c r="AL229" s="12"/>
      <c r="AM229" s="12"/>
      <c r="AN229" s="12"/>
      <c r="AO229" s="12"/>
      <c r="AP229" s="12"/>
      <c r="AQ229" s="12"/>
      <c r="AR229" s="9"/>
      <c r="AS229" s="12"/>
      <c r="AT229" s="12"/>
      <c r="AU229" s="12"/>
      <c r="AV229" s="12"/>
      <c r="AW229" s="12"/>
      <c r="AX229" s="12"/>
      <c r="AY229" s="9"/>
      <c r="AZ229" s="12"/>
      <c r="BA229" s="12"/>
      <c r="BB229" s="9"/>
      <c r="BC229" s="12"/>
      <c r="BD229" s="12"/>
      <c r="BE229" s="12"/>
    </row>
    <row r="230" spans="1:57" ht="15.75" customHeight="1">
      <c r="A230" s="1"/>
      <c r="B230" s="3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4"/>
      <c r="AB230" s="4"/>
      <c r="AC230" s="4"/>
      <c r="AD230" s="10"/>
      <c r="AE230" s="9"/>
      <c r="AF230" s="9"/>
      <c r="AG230" s="12"/>
      <c r="AH230" s="12"/>
      <c r="AI230" s="12"/>
      <c r="AJ230" s="12"/>
      <c r="AK230" s="9"/>
      <c r="AL230" s="12"/>
      <c r="AM230" s="12"/>
      <c r="AN230" s="12"/>
      <c r="AO230" s="12"/>
      <c r="AP230" s="12"/>
      <c r="AQ230" s="12"/>
      <c r="AR230" s="9"/>
      <c r="AS230" s="12"/>
      <c r="AT230" s="12"/>
      <c r="AU230" s="12"/>
      <c r="AV230" s="12"/>
      <c r="AW230" s="12"/>
      <c r="AX230" s="12"/>
      <c r="AY230" s="9"/>
      <c r="AZ230" s="12"/>
      <c r="BA230" s="12"/>
      <c r="BB230" s="9"/>
      <c r="BC230" s="12"/>
      <c r="BD230" s="12"/>
      <c r="BE230" s="12"/>
    </row>
    <row r="231" spans="1:57" ht="15.75" customHeight="1">
      <c r="A231" s="1"/>
      <c r="B231" s="3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4"/>
      <c r="AB231" s="4"/>
      <c r="AC231" s="4"/>
      <c r="AD231" s="10"/>
      <c r="AE231" s="9"/>
      <c r="AF231" s="9"/>
      <c r="AG231" s="12"/>
      <c r="AH231" s="12"/>
      <c r="AI231" s="12"/>
      <c r="AJ231" s="12"/>
      <c r="AK231" s="9"/>
      <c r="AL231" s="12"/>
      <c r="AM231" s="12"/>
      <c r="AN231" s="12"/>
      <c r="AO231" s="12"/>
      <c r="AP231" s="12"/>
      <c r="AQ231" s="12"/>
      <c r="AR231" s="9"/>
      <c r="AS231" s="12"/>
      <c r="AT231" s="12"/>
      <c r="AU231" s="12"/>
      <c r="AV231" s="12"/>
      <c r="AW231" s="12"/>
      <c r="AX231" s="12"/>
      <c r="AY231" s="9"/>
      <c r="AZ231" s="12"/>
      <c r="BA231" s="12"/>
      <c r="BB231" s="9"/>
      <c r="BC231" s="12"/>
      <c r="BD231" s="12"/>
      <c r="BE231" s="12"/>
    </row>
    <row r="232" spans="1:57" ht="15.75" customHeight="1">
      <c r="A232" s="1"/>
      <c r="B232" s="3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4"/>
      <c r="AB232" s="4"/>
      <c r="AC232" s="4"/>
      <c r="AD232" s="10"/>
      <c r="AE232" s="9"/>
      <c r="AF232" s="9"/>
      <c r="AG232" s="12"/>
      <c r="AH232" s="12"/>
      <c r="AI232" s="12"/>
      <c r="AJ232" s="12"/>
      <c r="AK232" s="9"/>
      <c r="AL232" s="12"/>
      <c r="AM232" s="12"/>
      <c r="AN232" s="12"/>
      <c r="AO232" s="12"/>
      <c r="AP232" s="12"/>
      <c r="AQ232" s="12"/>
      <c r="AR232" s="9"/>
      <c r="AS232" s="12"/>
      <c r="AT232" s="12"/>
      <c r="AU232" s="12"/>
      <c r="AV232" s="12"/>
      <c r="AW232" s="12"/>
      <c r="AX232" s="12"/>
      <c r="AY232" s="9"/>
      <c r="AZ232" s="12"/>
      <c r="BA232" s="12"/>
      <c r="BB232" s="9"/>
      <c r="BC232" s="12"/>
      <c r="BD232" s="12"/>
      <c r="BE232" s="12"/>
    </row>
    <row r="233" spans="1:57" ht="15.75" customHeight="1">
      <c r="A233" s="1"/>
      <c r="B233" s="3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4"/>
      <c r="AB233" s="4"/>
      <c r="AC233" s="4"/>
      <c r="AD233" s="10"/>
      <c r="AE233" s="9"/>
      <c r="AF233" s="9"/>
      <c r="AG233" s="12"/>
      <c r="AH233" s="12"/>
      <c r="AI233" s="12"/>
      <c r="AJ233" s="12"/>
      <c r="AK233" s="9"/>
      <c r="AL233" s="12"/>
      <c r="AM233" s="12"/>
      <c r="AN233" s="12"/>
      <c r="AO233" s="12"/>
      <c r="AP233" s="12"/>
      <c r="AQ233" s="12"/>
      <c r="AR233" s="9"/>
      <c r="AS233" s="12"/>
      <c r="AT233" s="12"/>
      <c r="AU233" s="12"/>
      <c r="AV233" s="12"/>
      <c r="AW233" s="12"/>
      <c r="AX233" s="12"/>
      <c r="AY233" s="9"/>
      <c r="AZ233" s="12"/>
      <c r="BA233" s="12"/>
      <c r="BB233" s="9"/>
      <c r="BC233" s="12"/>
      <c r="BD233" s="12"/>
      <c r="BE233" s="12"/>
    </row>
    <row r="234" spans="1:57" ht="15.75" customHeight="1">
      <c r="A234" s="1"/>
      <c r="B234" s="3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4"/>
      <c r="AB234" s="4"/>
      <c r="AC234" s="4"/>
      <c r="AD234" s="10"/>
      <c r="AE234" s="9"/>
      <c r="AF234" s="9"/>
      <c r="AG234" s="12"/>
      <c r="AH234" s="12"/>
      <c r="AI234" s="12"/>
      <c r="AJ234" s="12"/>
      <c r="AK234" s="9"/>
      <c r="AL234" s="12"/>
      <c r="AM234" s="12"/>
      <c r="AN234" s="12"/>
      <c r="AO234" s="12"/>
      <c r="AP234" s="12"/>
      <c r="AQ234" s="12"/>
      <c r="AR234" s="9"/>
      <c r="AS234" s="12"/>
      <c r="AT234" s="12"/>
      <c r="AU234" s="12"/>
      <c r="AV234" s="12"/>
      <c r="AW234" s="12"/>
      <c r="AX234" s="12"/>
      <c r="AY234" s="9"/>
      <c r="AZ234" s="12"/>
      <c r="BA234" s="12"/>
      <c r="BB234" s="9"/>
      <c r="BC234" s="12"/>
      <c r="BD234" s="12"/>
      <c r="BE234" s="12"/>
    </row>
    <row r="235" spans="1:57" ht="15.75" customHeight="1">
      <c r="A235" s="1"/>
      <c r="B235" s="3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4"/>
      <c r="AB235" s="4"/>
      <c r="AC235" s="4"/>
      <c r="AD235" s="10"/>
      <c r="AE235" s="9"/>
      <c r="AF235" s="9"/>
      <c r="AG235" s="12"/>
      <c r="AH235" s="12"/>
      <c r="AI235" s="12"/>
      <c r="AJ235" s="12"/>
      <c r="AK235" s="9"/>
      <c r="AL235" s="12"/>
      <c r="AM235" s="12"/>
      <c r="AN235" s="12"/>
      <c r="AO235" s="12"/>
      <c r="AP235" s="12"/>
      <c r="AQ235" s="12"/>
      <c r="AR235" s="9"/>
      <c r="AS235" s="12"/>
      <c r="AT235" s="12"/>
      <c r="AU235" s="12"/>
      <c r="AV235" s="12"/>
      <c r="AW235" s="12"/>
      <c r="AX235" s="12"/>
      <c r="AY235" s="9"/>
      <c r="AZ235" s="12"/>
      <c r="BA235" s="12"/>
      <c r="BB235" s="9"/>
      <c r="BC235" s="12"/>
      <c r="BD235" s="12"/>
      <c r="BE235" s="12"/>
    </row>
    <row r="236" spans="1:57" ht="15.75" customHeight="1">
      <c r="A236" s="1"/>
      <c r="B236" s="3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4"/>
      <c r="AB236" s="4"/>
      <c r="AC236" s="4"/>
      <c r="AD236" s="10"/>
      <c r="AE236" s="9"/>
      <c r="AF236" s="9"/>
      <c r="AG236" s="12"/>
      <c r="AH236" s="12"/>
      <c r="AI236" s="12"/>
      <c r="AJ236" s="12"/>
      <c r="AK236" s="9"/>
      <c r="AL236" s="12"/>
      <c r="AM236" s="12"/>
      <c r="AN236" s="12"/>
      <c r="AO236" s="12"/>
      <c r="AP236" s="12"/>
      <c r="AQ236" s="12"/>
      <c r="AR236" s="9"/>
      <c r="AS236" s="12"/>
      <c r="AT236" s="12"/>
      <c r="AU236" s="12"/>
      <c r="AV236" s="12"/>
      <c r="AW236" s="12"/>
      <c r="AX236" s="12"/>
      <c r="AY236" s="9"/>
      <c r="AZ236" s="12"/>
      <c r="BA236" s="12"/>
      <c r="BB236" s="9"/>
      <c r="BC236" s="12"/>
      <c r="BD236" s="12"/>
      <c r="BE236" s="12"/>
    </row>
    <row r="237" spans="1:57" ht="15.75" customHeight="1">
      <c r="A237" s="1"/>
      <c r="B237" s="3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4"/>
      <c r="AB237" s="4"/>
      <c r="AC237" s="4"/>
      <c r="AD237" s="10"/>
      <c r="AE237" s="9"/>
      <c r="AF237" s="9"/>
      <c r="AG237" s="12"/>
      <c r="AH237" s="12"/>
      <c r="AI237" s="12"/>
      <c r="AJ237" s="12"/>
      <c r="AK237" s="9"/>
      <c r="AL237" s="12"/>
      <c r="AM237" s="12"/>
      <c r="AN237" s="12"/>
      <c r="AO237" s="12"/>
      <c r="AP237" s="12"/>
      <c r="AQ237" s="12"/>
      <c r="AR237" s="9"/>
      <c r="AS237" s="12"/>
      <c r="AT237" s="12"/>
      <c r="AU237" s="12"/>
      <c r="AV237" s="12"/>
      <c r="AW237" s="12"/>
      <c r="AX237" s="12"/>
      <c r="AY237" s="9"/>
      <c r="AZ237" s="12"/>
      <c r="BA237" s="12"/>
      <c r="BB237" s="9"/>
      <c r="BC237" s="12"/>
      <c r="BD237" s="12"/>
      <c r="BE237" s="12"/>
    </row>
    <row r="238" spans="1:57" ht="15.75" customHeight="1">
      <c r="A238" s="1"/>
      <c r="B238" s="3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4"/>
      <c r="AB238" s="4"/>
      <c r="AC238" s="4"/>
      <c r="AD238" s="10"/>
      <c r="AE238" s="9"/>
      <c r="AF238" s="9"/>
      <c r="AG238" s="12"/>
      <c r="AH238" s="12"/>
      <c r="AI238" s="12"/>
      <c r="AJ238" s="12"/>
      <c r="AK238" s="9"/>
      <c r="AL238" s="12"/>
      <c r="AM238" s="12"/>
      <c r="AN238" s="12"/>
      <c r="AO238" s="12"/>
      <c r="AP238" s="12"/>
      <c r="AQ238" s="12"/>
      <c r="AR238" s="9"/>
      <c r="AS238" s="12"/>
      <c r="AT238" s="12"/>
      <c r="AU238" s="12"/>
      <c r="AV238" s="12"/>
      <c r="AW238" s="12"/>
      <c r="AX238" s="12"/>
      <c r="AY238" s="9"/>
      <c r="AZ238" s="12"/>
      <c r="BA238" s="12"/>
      <c r="BB238" s="9"/>
      <c r="BC238" s="12"/>
      <c r="BD238" s="12"/>
      <c r="BE238" s="12"/>
    </row>
    <row r="239" spans="1:57" ht="15.75" customHeight="1">
      <c r="A239" s="1"/>
      <c r="B239" s="3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4"/>
      <c r="AB239" s="4"/>
      <c r="AC239" s="4"/>
      <c r="AD239" s="10"/>
      <c r="AE239" s="9"/>
      <c r="AF239" s="9"/>
      <c r="AG239" s="12"/>
      <c r="AH239" s="12"/>
      <c r="AI239" s="12"/>
      <c r="AJ239" s="12"/>
      <c r="AK239" s="9"/>
      <c r="AL239" s="12"/>
      <c r="AM239" s="12"/>
      <c r="AN239" s="12"/>
      <c r="AO239" s="12"/>
      <c r="AP239" s="12"/>
      <c r="AQ239" s="12"/>
      <c r="AR239" s="9"/>
      <c r="AS239" s="12"/>
      <c r="AT239" s="12"/>
      <c r="AU239" s="12"/>
      <c r="AV239" s="12"/>
      <c r="AW239" s="12"/>
      <c r="AX239" s="12"/>
      <c r="AY239" s="9"/>
      <c r="AZ239" s="12"/>
      <c r="BA239" s="12"/>
      <c r="BB239" s="9"/>
      <c r="BC239" s="12"/>
      <c r="BD239" s="12"/>
      <c r="BE239" s="12"/>
    </row>
    <row r="240" spans="1:57" ht="15.75" customHeight="1">
      <c r="A240" s="1"/>
      <c r="B240" s="3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4"/>
      <c r="AB240" s="4"/>
      <c r="AC240" s="4"/>
      <c r="AD240" s="10"/>
      <c r="AE240" s="9"/>
      <c r="AF240" s="9"/>
      <c r="AG240" s="12"/>
      <c r="AH240" s="12"/>
      <c r="AI240" s="12"/>
      <c r="AJ240" s="12"/>
      <c r="AK240" s="9"/>
      <c r="AL240" s="12"/>
      <c r="AM240" s="12"/>
      <c r="AN240" s="12"/>
      <c r="AO240" s="12"/>
      <c r="AP240" s="12"/>
      <c r="AQ240" s="12"/>
      <c r="AR240" s="9"/>
      <c r="AS240" s="12"/>
      <c r="AT240" s="12"/>
      <c r="AU240" s="12"/>
      <c r="AV240" s="12"/>
      <c r="AW240" s="12"/>
      <c r="AX240" s="12"/>
      <c r="AY240" s="9"/>
      <c r="AZ240" s="12"/>
      <c r="BA240" s="12"/>
      <c r="BB240" s="9"/>
      <c r="BC240" s="12"/>
      <c r="BD240" s="12"/>
      <c r="BE240" s="12"/>
    </row>
    <row r="241" spans="1:57" ht="15.75" customHeight="1">
      <c r="A241" s="1"/>
      <c r="B241" s="3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4"/>
      <c r="AB241" s="4"/>
      <c r="AC241" s="4"/>
      <c r="AD241" s="10"/>
      <c r="AE241" s="9"/>
      <c r="AF241" s="9"/>
      <c r="AG241" s="12"/>
      <c r="AH241" s="12"/>
      <c r="AI241" s="12"/>
      <c r="AJ241" s="12"/>
      <c r="AK241" s="9"/>
      <c r="AL241" s="12"/>
      <c r="AM241" s="12"/>
      <c r="AN241" s="12"/>
      <c r="AO241" s="12"/>
      <c r="AP241" s="12"/>
      <c r="AQ241" s="12"/>
      <c r="AR241" s="9"/>
      <c r="AS241" s="12"/>
      <c r="AT241" s="12"/>
      <c r="AU241" s="12"/>
      <c r="AV241" s="12"/>
      <c r="AW241" s="12"/>
      <c r="AX241" s="12"/>
      <c r="AY241" s="9"/>
      <c r="AZ241" s="12"/>
      <c r="BA241" s="12"/>
      <c r="BB241" s="9"/>
      <c r="BC241" s="12"/>
      <c r="BD241" s="12"/>
      <c r="BE241" s="12"/>
    </row>
    <row r="242" spans="1:57" ht="15.75" customHeight="1">
      <c r="A242" s="1"/>
      <c r="B242" s="3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4"/>
      <c r="AB242" s="4"/>
      <c r="AC242" s="4"/>
      <c r="AD242" s="10"/>
      <c r="AE242" s="9"/>
      <c r="AF242" s="9"/>
      <c r="AG242" s="12"/>
      <c r="AH242" s="12"/>
      <c r="AI242" s="12"/>
      <c r="AJ242" s="12"/>
      <c r="AK242" s="9"/>
      <c r="AL242" s="12"/>
      <c r="AM242" s="12"/>
      <c r="AN242" s="12"/>
      <c r="AO242" s="12"/>
      <c r="AP242" s="12"/>
      <c r="AQ242" s="12"/>
      <c r="AR242" s="9"/>
      <c r="AS242" s="12"/>
      <c r="AT242" s="12"/>
      <c r="AU242" s="12"/>
      <c r="AV242" s="12"/>
      <c r="AW242" s="12"/>
      <c r="AX242" s="12"/>
      <c r="AY242" s="9"/>
      <c r="AZ242" s="12"/>
      <c r="BA242" s="12"/>
      <c r="BB242" s="9"/>
      <c r="BC242" s="12"/>
      <c r="BD242" s="12"/>
      <c r="BE242" s="12"/>
    </row>
    <row r="243" spans="1:57" ht="15.75" customHeight="1">
      <c r="A243" s="1"/>
      <c r="B243" s="3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4"/>
      <c r="AB243" s="4"/>
      <c r="AC243" s="4"/>
      <c r="AD243" s="10"/>
      <c r="AE243" s="9"/>
      <c r="AF243" s="9"/>
      <c r="AG243" s="12"/>
      <c r="AH243" s="12"/>
      <c r="AI243" s="12"/>
      <c r="AJ243" s="12"/>
      <c r="AK243" s="9"/>
      <c r="AL243" s="12"/>
      <c r="AM243" s="12"/>
      <c r="AN243" s="12"/>
      <c r="AO243" s="12"/>
      <c r="AP243" s="12"/>
      <c r="AQ243" s="12"/>
      <c r="AR243" s="9"/>
      <c r="AS243" s="12"/>
      <c r="AT243" s="12"/>
      <c r="AU243" s="12"/>
      <c r="AV243" s="12"/>
      <c r="AW243" s="12"/>
      <c r="AX243" s="12"/>
      <c r="AY243" s="9"/>
      <c r="AZ243" s="12"/>
      <c r="BA243" s="12"/>
      <c r="BB243" s="9"/>
      <c r="BC243" s="12"/>
      <c r="BD243" s="12"/>
      <c r="BE243" s="12"/>
    </row>
    <row r="244" spans="1:57" ht="15.75" customHeight="1">
      <c r="A244" s="1"/>
      <c r="B244" s="3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4"/>
      <c r="AB244" s="4"/>
      <c r="AC244" s="4"/>
      <c r="AD244" s="10"/>
      <c r="AE244" s="9"/>
      <c r="AF244" s="9"/>
      <c r="AG244" s="12"/>
      <c r="AH244" s="12"/>
      <c r="AI244" s="12"/>
      <c r="AJ244" s="12"/>
      <c r="AK244" s="9"/>
      <c r="AL244" s="12"/>
      <c r="AM244" s="12"/>
      <c r="AN244" s="12"/>
      <c r="AO244" s="12"/>
      <c r="AP244" s="12"/>
      <c r="AQ244" s="12"/>
      <c r="AR244" s="9"/>
      <c r="AS244" s="12"/>
      <c r="AT244" s="12"/>
      <c r="AU244" s="12"/>
      <c r="AV244" s="12"/>
      <c r="AW244" s="12"/>
      <c r="AX244" s="12"/>
      <c r="AY244" s="9"/>
      <c r="AZ244" s="12"/>
      <c r="BA244" s="12"/>
      <c r="BB244" s="9"/>
      <c r="BC244" s="12"/>
      <c r="BD244" s="12"/>
      <c r="BE244" s="12"/>
    </row>
    <row r="245" spans="1:57" ht="15.75" customHeight="1">
      <c r="A245" s="1"/>
      <c r="B245" s="3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4"/>
      <c r="AB245" s="4"/>
      <c r="AC245" s="4"/>
      <c r="AD245" s="10"/>
      <c r="AE245" s="9"/>
      <c r="AF245" s="9"/>
      <c r="AG245" s="12"/>
      <c r="AH245" s="12"/>
      <c r="AI245" s="12"/>
      <c r="AJ245" s="12"/>
      <c r="AK245" s="9"/>
      <c r="AL245" s="12"/>
      <c r="AM245" s="12"/>
      <c r="AN245" s="12"/>
      <c r="AO245" s="12"/>
      <c r="AP245" s="12"/>
      <c r="AQ245" s="12"/>
      <c r="AR245" s="9"/>
      <c r="AS245" s="12"/>
      <c r="AT245" s="12"/>
      <c r="AU245" s="12"/>
      <c r="AV245" s="12"/>
      <c r="AW245" s="12"/>
      <c r="AX245" s="12"/>
      <c r="AY245" s="9"/>
      <c r="AZ245" s="12"/>
      <c r="BA245" s="12"/>
      <c r="BB245" s="9"/>
      <c r="BC245" s="12"/>
      <c r="BD245" s="12"/>
      <c r="BE245" s="12"/>
    </row>
    <row r="246" spans="1:57" ht="15.75" customHeight="1">
      <c r="A246" s="1"/>
      <c r="B246" s="3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4"/>
      <c r="AB246" s="4"/>
      <c r="AC246" s="4"/>
      <c r="AD246" s="10"/>
      <c r="AE246" s="9"/>
      <c r="AF246" s="9"/>
      <c r="AG246" s="12"/>
      <c r="AH246" s="12"/>
      <c r="AI246" s="12"/>
      <c r="AJ246" s="12"/>
      <c r="AK246" s="9"/>
      <c r="AL246" s="12"/>
      <c r="AM246" s="12"/>
      <c r="AN246" s="12"/>
      <c r="AO246" s="12"/>
      <c r="AP246" s="12"/>
      <c r="AQ246" s="12"/>
      <c r="AR246" s="9"/>
      <c r="AS246" s="12"/>
      <c r="AT246" s="12"/>
      <c r="AU246" s="12"/>
      <c r="AV246" s="12"/>
      <c r="AW246" s="12"/>
      <c r="AX246" s="12"/>
      <c r="AY246" s="9"/>
      <c r="AZ246" s="12"/>
      <c r="BA246" s="12"/>
      <c r="BB246" s="9"/>
      <c r="BC246" s="12"/>
      <c r="BD246" s="12"/>
      <c r="BE246" s="12"/>
    </row>
    <row r="247" spans="1:57" ht="15.75" customHeight="1">
      <c r="A247" s="1"/>
      <c r="B247" s="3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4"/>
      <c r="AB247" s="4"/>
      <c r="AC247" s="4"/>
      <c r="AD247" s="10"/>
      <c r="AE247" s="9"/>
      <c r="AF247" s="9"/>
      <c r="AG247" s="12"/>
      <c r="AH247" s="12"/>
      <c r="AI247" s="12"/>
      <c r="AJ247" s="12"/>
      <c r="AK247" s="9"/>
      <c r="AL247" s="12"/>
      <c r="AM247" s="12"/>
      <c r="AN247" s="12"/>
      <c r="AO247" s="12"/>
      <c r="AP247" s="12"/>
      <c r="AQ247" s="12"/>
      <c r="AR247" s="9"/>
      <c r="AS247" s="12"/>
      <c r="AT247" s="12"/>
      <c r="AU247" s="12"/>
      <c r="AV247" s="12"/>
      <c r="AW247" s="12"/>
      <c r="AX247" s="12"/>
      <c r="AY247" s="9"/>
      <c r="AZ247" s="12"/>
      <c r="BA247" s="12"/>
      <c r="BB247" s="9"/>
      <c r="BC247" s="12"/>
      <c r="BD247" s="12"/>
      <c r="BE247" s="12"/>
    </row>
    <row r="248" spans="1:57" ht="15.75" customHeight="1">
      <c r="A248" s="1"/>
      <c r="B248" s="3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4"/>
      <c r="AB248" s="4"/>
      <c r="AC248" s="4"/>
      <c r="AD248" s="10"/>
      <c r="AE248" s="9"/>
      <c r="AF248" s="9"/>
      <c r="AG248" s="12"/>
      <c r="AH248" s="12"/>
      <c r="AI248" s="12"/>
      <c r="AJ248" s="12"/>
      <c r="AK248" s="9"/>
      <c r="AL248" s="12"/>
      <c r="AM248" s="12"/>
      <c r="AN248" s="12"/>
      <c r="AO248" s="12"/>
      <c r="AP248" s="12"/>
      <c r="AQ248" s="12"/>
      <c r="AR248" s="9"/>
      <c r="AS248" s="12"/>
      <c r="AT248" s="12"/>
      <c r="AU248" s="12"/>
      <c r="AV248" s="12"/>
      <c r="AW248" s="12"/>
      <c r="AX248" s="12"/>
      <c r="AY248" s="9"/>
      <c r="AZ248" s="12"/>
      <c r="BA248" s="12"/>
      <c r="BB248" s="9"/>
      <c r="BC248" s="12"/>
      <c r="BD248" s="12"/>
      <c r="BE248" s="12"/>
    </row>
    <row r="249" spans="1:57" ht="15.75" customHeight="1">
      <c r="A249" s="1"/>
      <c r="B249" s="3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4"/>
      <c r="AB249" s="4"/>
      <c r="AC249" s="4"/>
      <c r="AD249" s="10"/>
      <c r="AE249" s="9"/>
      <c r="AF249" s="9"/>
      <c r="AG249" s="12"/>
      <c r="AH249" s="12"/>
      <c r="AI249" s="12"/>
      <c r="AJ249" s="12"/>
      <c r="AK249" s="9"/>
      <c r="AL249" s="12"/>
      <c r="AM249" s="12"/>
      <c r="AN249" s="12"/>
      <c r="AO249" s="12"/>
      <c r="AP249" s="12"/>
      <c r="AQ249" s="12"/>
      <c r="AR249" s="9"/>
      <c r="AS249" s="12"/>
      <c r="AT249" s="12"/>
      <c r="AU249" s="12"/>
      <c r="AV249" s="12"/>
      <c r="AW249" s="12"/>
      <c r="AX249" s="12"/>
      <c r="AY249" s="9"/>
      <c r="AZ249" s="12"/>
      <c r="BA249" s="12"/>
      <c r="BB249" s="9"/>
      <c r="BC249" s="12"/>
      <c r="BD249" s="12"/>
      <c r="BE249" s="12"/>
    </row>
    <row r="250" spans="1:57" ht="15.75" customHeight="1">
      <c r="A250" s="1"/>
      <c r="B250" s="3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4"/>
      <c r="AB250" s="4"/>
      <c r="AC250" s="4"/>
      <c r="AD250" s="10"/>
      <c r="AE250" s="9"/>
      <c r="AF250" s="9"/>
      <c r="AG250" s="12"/>
      <c r="AH250" s="12"/>
      <c r="AI250" s="12"/>
      <c r="AJ250" s="12"/>
      <c r="AK250" s="9"/>
      <c r="AL250" s="12"/>
      <c r="AM250" s="12"/>
      <c r="AN250" s="12"/>
      <c r="AO250" s="12"/>
      <c r="AP250" s="12"/>
      <c r="AQ250" s="12"/>
      <c r="AR250" s="9"/>
      <c r="AS250" s="12"/>
      <c r="AT250" s="12"/>
      <c r="AU250" s="12"/>
      <c r="AV250" s="12"/>
      <c r="AW250" s="12"/>
      <c r="AX250" s="12"/>
      <c r="AY250" s="9"/>
      <c r="AZ250" s="12"/>
      <c r="BA250" s="12"/>
      <c r="BB250" s="9"/>
      <c r="BC250" s="12"/>
      <c r="BD250" s="12"/>
      <c r="BE250" s="12"/>
    </row>
    <row r="251" spans="1:57" ht="15.75" customHeight="1">
      <c r="A251" s="1"/>
      <c r="B251" s="3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4"/>
      <c r="AB251" s="4"/>
      <c r="AC251" s="4"/>
      <c r="AD251" s="10"/>
      <c r="AE251" s="9"/>
      <c r="AF251" s="9"/>
      <c r="AG251" s="12"/>
      <c r="AH251" s="12"/>
      <c r="AI251" s="12"/>
      <c r="AJ251" s="12"/>
      <c r="AK251" s="9"/>
      <c r="AL251" s="12"/>
      <c r="AM251" s="12"/>
      <c r="AN251" s="12"/>
      <c r="AO251" s="12"/>
      <c r="AP251" s="12"/>
      <c r="AQ251" s="12"/>
      <c r="AR251" s="9"/>
      <c r="AS251" s="12"/>
      <c r="AT251" s="12"/>
      <c r="AU251" s="12"/>
      <c r="AV251" s="12"/>
      <c r="AW251" s="12"/>
      <c r="AX251" s="12"/>
      <c r="AY251" s="9"/>
      <c r="AZ251" s="12"/>
      <c r="BA251" s="12"/>
      <c r="BB251" s="9"/>
      <c r="BC251" s="12"/>
      <c r="BD251" s="12"/>
      <c r="BE251" s="12"/>
    </row>
    <row r="252" spans="1:57" ht="15.75" customHeight="1">
      <c r="A252" s="1"/>
      <c r="B252" s="3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4"/>
      <c r="AB252" s="4"/>
      <c r="AC252" s="4"/>
      <c r="AD252" s="10"/>
      <c r="AE252" s="9"/>
      <c r="AF252" s="9"/>
      <c r="AG252" s="12"/>
      <c r="AH252" s="12"/>
      <c r="AI252" s="12"/>
      <c r="AJ252" s="12"/>
      <c r="AK252" s="9"/>
      <c r="AL252" s="12"/>
      <c r="AM252" s="12"/>
      <c r="AN252" s="12"/>
      <c r="AO252" s="12"/>
      <c r="AP252" s="12"/>
      <c r="AQ252" s="12"/>
      <c r="AR252" s="9"/>
      <c r="AS252" s="12"/>
      <c r="AT252" s="12"/>
      <c r="AU252" s="12"/>
      <c r="AV252" s="12"/>
      <c r="AW252" s="12"/>
      <c r="AX252" s="12"/>
      <c r="AY252" s="9"/>
      <c r="AZ252" s="12"/>
      <c r="BA252" s="12"/>
      <c r="BB252" s="9"/>
      <c r="BC252" s="12"/>
      <c r="BD252" s="12"/>
      <c r="BE252" s="12"/>
    </row>
    <row r="253" spans="1:57" ht="15.75" customHeight="1">
      <c r="A253" s="1"/>
      <c r="B253" s="3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4"/>
      <c r="AB253" s="4"/>
      <c r="AC253" s="4"/>
      <c r="AD253" s="10"/>
      <c r="AE253" s="9"/>
      <c r="AF253" s="9"/>
      <c r="AG253" s="12"/>
      <c r="AH253" s="12"/>
      <c r="AI253" s="12"/>
      <c r="AJ253" s="12"/>
      <c r="AK253" s="9"/>
      <c r="AL253" s="12"/>
      <c r="AM253" s="12"/>
      <c r="AN253" s="12"/>
      <c r="AO253" s="12"/>
      <c r="AP253" s="12"/>
      <c r="AQ253" s="12"/>
      <c r="AR253" s="9"/>
      <c r="AS253" s="12"/>
      <c r="AT253" s="12"/>
      <c r="AU253" s="12"/>
      <c r="AV253" s="12"/>
      <c r="AW253" s="12"/>
      <c r="AX253" s="12"/>
      <c r="AY253" s="9"/>
      <c r="AZ253" s="12"/>
      <c r="BA253" s="12"/>
      <c r="BB253" s="9"/>
      <c r="BC253" s="12"/>
      <c r="BD253" s="12"/>
      <c r="BE253" s="12"/>
    </row>
    <row r="254" spans="1:57" ht="15.75" customHeight="1">
      <c r="A254" s="1"/>
      <c r="B254" s="3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4"/>
      <c r="AB254" s="4"/>
      <c r="AC254" s="4"/>
      <c r="AD254" s="10"/>
      <c r="AE254" s="9"/>
      <c r="AF254" s="9"/>
      <c r="AG254" s="12"/>
      <c r="AH254" s="12"/>
      <c r="AI254" s="12"/>
      <c r="AJ254" s="12"/>
      <c r="AK254" s="9"/>
      <c r="AL254" s="12"/>
      <c r="AM254" s="12"/>
      <c r="AN254" s="12"/>
      <c r="AO254" s="12"/>
      <c r="AP254" s="12"/>
      <c r="AQ254" s="12"/>
      <c r="AR254" s="9"/>
      <c r="AS254" s="12"/>
      <c r="AT254" s="12"/>
      <c r="AU254" s="12"/>
      <c r="AV254" s="12"/>
      <c r="AW254" s="12"/>
      <c r="AX254" s="12"/>
      <c r="AY254" s="9"/>
      <c r="AZ254" s="12"/>
      <c r="BA254" s="12"/>
      <c r="BB254" s="9"/>
      <c r="BC254" s="12"/>
      <c r="BD254" s="12"/>
      <c r="BE254" s="12"/>
    </row>
    <row r="255" spans="1:57" ht="15.75" customHeight="1">
      <c r="A255" s="1"/>
      <c r="B255" s="3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4"/>
      <c r="AB255" s="4"/>
      <c r="AC255" s="4"/>
      <c r="AD255" s="10"/>
      <c r="AE255" s="9"/>
      <c r="AF255" s="9"/>
      <c r="AG255" s="12"/>
      <c r="AH255" s="12"/>
      <c r="AI255" s="12"/>
      <c r="AJ255" s="12"/>
      <c r="AK255" s="9"/>
      <c r="AL255" s="12"/>
      <c r="AM255" s="12"/>
      <c r="AN255" s="12"/>
      <c r="AO255" s="12"/>
      <c r="AP255" s="12"/>
      <c r="AQ255" s="12"/>
      <c r="AR255" s="9"/>
      <c r="AS255" s="12"/>
      <c r="AT255" s="12"/>
      <c r="AU255" s="12"/>
      <c r="AV255" s="12"/>
      <c r="AW255" s="12"/>
      <c r="AX255" s="12"/>
      <c r="AY255" s="9"/>
      <c r="AZ255" s="12"/>
      <c r="BA255" s="12"/>
      <c r="BB255" s="9"/>
      <c r="BC255" s="12"/>
      <c r="BD255" s="12"/>
      <c r="BE255" s="12"/>
    </row>
    <row r="256" spans="1:57" ht="15.75" customHeight="1">
      <c r="A256" s="1"/>
      <c r="B256" s="3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4"/>
      <c r="AB256" s="4"/>
      <c r="AC256" s="4"/>
      <c r="AD256" s="10"/>
      <c r="AE256" s="9"/>
      <c r="AF256" s="9"/>
      <c r="AG256" s="12"/>
      <c r="AH256" s="12"/>
      <c r="AI256" s="12"/>
      <c r="AJ256" s="12"/>
      <c r="AK256" s="9"/>
      <c r="AL256" s="12"/>
      <c r="AM256" s="12"/>
      <c r="AN256" s="12"/>
      <c r="AO256" s="12"/>
      <c r="AP256" s="12"/>
      <c r="AQ256" s="12"/>
      <c r="AR256" s="9"/>
      <c r="AS256" s="12"/>
      <c r="AT256" s="12"/>
      <c r="AU256" s="12"/>
      <c r="AV256" s="12"/>
      <c r="AW256" s="12"/>
      <c r="AX256" s="12"/>
      <c r="AY256" s="9"/>
      <c r="AZ256" s="12"/>
      <c r="BA256" s="12"/>
      <c r="BB256" s="9"/>
      <c r="BC256" s="12"/>
      <c r="BD256" s="12"/>
      <c r="BE256" s="12"/>
    </row>
    <row r="257" spans="1:57" ht="15.75" customHeight="1">
      <c r="A257" s="1"/>
      <c r="B257" s="3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4"/>
      <c r="AB257" s="4"/>
      <c r="AC257" s="4"/>
      <c r="AD257" s="10"/>
      <c r="AE257" s="9"/>
      <c r="AF257" s="9"/>
      <c r="AG257" s="12"/>
      <c r="AH257" s="12"/>
      <c r="AI257" s="12"/>
      <c r="AJ257" s="12"/>
      <c r="AK257" s="9"/>
      <c r="AL257" s="12"/>
      <c r="AM257" s="12"/>
      <c r="AN257" s="12"/>
      <c r="AO257" s="12"/>
      <c r="AP257" s="12"/>
      <c r="AQ257" s="12"/>
      <c r="AR257" s="9"/>
      <c r="AS257" s="12"/>
      <c r="AT257" s="12"/>
      <c r="AU257" s="12"/>
      <c r="AV257" s="12"/>
      <c r="AW257" s="12"/>
      <c r="AX257" s="12"/>
      <c r="AY257" s="9"/>
      <c r="AZ257" s="12"/>
      <c r="BA257" s="12"/>
      <c r="BB257" s="9"/>
      <c r="BC257" s="12"/>
      <c r="BD257" s="12"/>
      <c r="BE257" s="12"/>
    </row>
    <row r="258" spans="1:57" ht="15.75" customHeight="1">
      <c r="A258" s="1"/>
      <c r="B258" s="3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4"/>
      <c r="AB258" s="4"/>
      <c r="AC258" s="4"/>
      <c r="AD258" s="10"/>
      <c r="AE258" s="9"/>
      <c r="AF258" s="9"/>
      <c r="AG258" s="12"/>
      <c r="AH258" s="12"/>
      <c r="AI258" s="12"/>
      <c r="AJ258" s="12"/>
      <c r="AK258" s="9"/>
      <c r="AL258" s="12"/>
      <c r="AM258" s="12"/>
      <c r="AN258" s="12"/>
      <c r="AO258" s="12"/>
      <c r="AP258" s="12"/>
      <c r="AQ258" s="12"/>
      <c r="AR258" s="9"/>
      <c r="AS258" s="12"/>
      <c r="AT258" s="12"/>
      <c r="AU258" s="12"/>
      <c r="AV258" s="12"/>
      <c r="AW258" s="12"/>
      <c r="AX258" s="12"/>
      <c r="AY258" s="9"/>
      <c r="AZ258" s="12"/>
      <c r="BA258" s="12"/>
      <c r="BB258" s="9"/>
      <c r="BC258" s="12"/>
      <c r="BD258" s="12"/>
      <c r="BE258" s="12"/>
    </row>
    <row r="259" spans="1:57" ht="15.75" customHeight="1">
      <c r="A259" s="1"/>
      <c r="B259" s="3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4"/>
      <c r="AB259" s="4"/>
      <c r="AC259" s="4"/>
      <c r="AD259" s="10"/>
      <c r="AE259" s="9"/>
      <c r="AF259" s="9"/>
      <c r="AG259" s="12"/>
      <c r="AH259" s="12"/>
      <c r="AI259" s="12"/>
      <c r="AJ259" s="12"/>
      <c r="AK259" s="9"/>
      <c r="AL259" s="12"/>
      <c r="AM259" s="12"/>
      <c r="AN259" s="12"/>
      <c r="AO259" s="12"/>
      <c r="AP259" s="12"/>
      <c r="AQ259" s="12"/>
      <c r="AR259" s="9"/>
      <c r="AS259" s="12"/>
      <c r="AT259" s="12"/>
      <c r="AU259" s="12"/>
      <c r="AV259" s="12"/>
      <c r="AW259" s="12"/>
      <c r="AX259" s="12"/>
      <c r="AY259" s="9"/>
      <c r="AZ259" s="12"/>
      <c r="BA259" s="12"/>
      <c r="BB259" s="9"/>
      <c r="BC259" s="12"/>
      <c r="BD259" s="12"/>
      <c r="BE259" s="12"/>
    </row>
    <row r="260" spans="1:57" ht="15.75" customHeight="1">
      <c r="A260" s="1"/>
      <c r="B260" s="3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4"/>
      <c r="AB260" s="4"/>
      <c r="AC260" s="4"/>
      <c r="AD260" s="10"/>
      <c r="AE260" s="9"/>
      <c r="AF260" s="9"/>
      <c r="AG260" s="12"/>
      <c r="AH260" s="12"/>
      <c r="AI260" s="12"/>
      <c r="AJ260" s="12"/>
      <c r="AK260" s="9"/>
      <c r="AL260" s="12"/>
      <c r="AM260" s="12"/>
      <c r="AN260" s="12"/>
      <c r="AO260" s="12"/>
      <c r="AP260" s="12"/>
      <c r="AQ260" s="12"/>
      <c r="AR260" s="9"/>
      <c r="AS260" s="12"/>
      <c r="AT260" s="12"/>
      <c r="AU260" s="12"/>
      <c r="AV260" s="12"/>
      <c r="AW260" s="12"/>
      <c r="AX260" s="12"/>
      <c r="AY260" s="9"/>
      <c r="AZ260" s="12"/>
      <c r="BA260" s="12"/>
      <c r="BB260" s="9"/>
      <c r="BC260" s="12"/>
      <c r="BD260" s="12"/>
      <c r="BE260" s="12"/>
    </row>
    <row r="261" spans="1:57" ht="15.75" customHeight="1">
      <c r="A261" s="1"/>
      <c r="B261" s="3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4"/>
      <c r="AB261" s="4"/>
      <c r="AC261" s="4"/>
      <c r="AD261" s="10"/>
      <c r="AE261" s="9"/>
      <c r="AF261" s="9"/>
      <c r="AG261" s="12"/>
      <c r="AH261" s="12"/>
      <c r="AI261" s="12"/>
      <c r="AJ261" s="12"/>
      <c r="AK261" s="9"/>
      <c r="AL261" s="12"/>
      <c r="AM261" s="12"/>
      <c r="AN261" s="12"/>
      <c r="AO261" s="12"/>
      <c r="AP261" s="12"/>
      <c r="AQ261" s="12"/>
      <c r="AR261" s="9"/>
      <c r="AS261" s="12"/>
      <c r="AT261" s="12"/>
      <c r="AU261" s="12"/>
      <c r="AV261" s="12"/>
      <c r="AW261" s="12"/>
      <c r="AX261" s="12"/>
      <c r="AY261" s="9"/>
      <c r="AZ261" s="12"/>
      <c r="BA261" s="12"/>
      <c r="BB261" s="9"/>
      <c r="BC261" s="12"/>
      <c r="BD261" s="12"/>
      <c r="BE261" s="12"/>
    </row>
    <row r="262" spans="1:57" ht="15.75" customHeight="1">
      <c r="A262" s="1"/>
      <c r="B262" s="3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4"/>
      <c r="AB262" s="4"/>
      <c r="AC262" s="4"/>
      <c r="AD262" s="10"/>
      <c r="AE262" s="9"/>
      <c r="AF262" s="9"/>
      <c r="AG262" s="12"/>
      <c r="AH262" s="12"/>
      <c r="AI262" s="12"/>
      <c r="AJ262" s="12"/>
      <c r="AK262" s="9"/>
      <c r="AL262" s="12"/>
      <c r="AM262" s="12"/>
      <c r="AN262" s="12"/>
      <c r="AO262" s="12"/>
      <c r="AP262" s="12"/>
      <c r="AQ262" s="12"/>
      <c r="AR262" s="9"/>
      <c r="AS262" s="12"/>
      <c r="AT262" s="12"/>
      <c r="AU262" s="12"/>
      <c r="AV262" s="12"/>
      <c r="AW262" s="12"/>
      <c r="AX262" s="12"/>
      <c r="AY262" s="9"/>
      <c r="AZ262" s="12"/>
      <c r="BA262" s="12"/>
      <c r="BB262" s="9"/>
      <c r="BC262" s="12"/>
      <c r="BD262" s="12"/>
      <c r="BE262" s="12"/>
    </row>
    <row r="263" spans="1:57" ht="15.75" customHeight="1">
      <c r="A263" s="1"/>
      <c r="B263" s="3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4"/>
      <c r="AB263" s="4"/>
      <c r="AC263" s="4"/>
      <c r="AD263" s="10"/>
      <c r="AE263" s="9"/>
      <c r="AF263" s="9"/>
      <c r="AG263" s="12"/>
      <c r="AH263" s="12"/>
      <c r="AI263" s="12"/>
      <c r="AJ263" s="12"/>
      <c r="AK263" s="9"/>
      <c r="AL263" s="12"/>
      <c r="AM263" s="12"/>
      <c r="AN263" s="12"/>
      <c r="AO263" s="12"/>
      <c r="AP263" s="12"/>
      <c r="AQ263" s="12"/>
      <c r="AR263" s="9"/>
      <c r="AS263" s="12"/>
      <c r="AT263" s="12"/>
      <c r="AU263" s="12"/>
      <c r="AV263" s="12"/>
      <c r="AW263" s="12"/>
      <c r="AX263" s="12"/>
      <c r="AY263" s="9"/>
      <c r="AZ263" s="12"/>
      <c r="BA263" s="12"/>
      <c r="BB263" s="9"/>
      <c r="BC263" s="12"/>
      <c r="BD263" s="12"/>
      <c r="BE263" s="12"/>
    </row>
    <row r="264" spans="1:57" ht="15.75" customHeight="1">
      <c r="A264" s="1"/>
      <c r="B264" s="3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4"/>
      <c r="AB264" s="4"/>
      <c r="AC264" s="4"/>
      <c r="AD264" s="10"/>
      <c r="AE264" s="9"/>
      <c r="AF264" s="9"/>
      <c r="AG264" s="12"/>
      <c r="AH264" s="12"/>
      <c r="AI264" s="12"/>
      <c r="AJ264" s="12"/>
      <c r="AK264" s="9"/>
      <c r="AL264" s="12"/>
      <c r="AM264" s="12"/>
      <c r="AN264" s="12"/>
      <c r="AO264" s="12"/>
      <c r="AP264" s="12"/>
      <c r="AQ264" s="12"/>
      <c r="AR264" s="9"/>
      <c r="AS264" s="12"/>
      <c r="AT264" s="12"/>
      <c r="AU264" s="12"/>
      <c r="AV264" s="12"/>
      <c r="AW264" s="12"/>
      <c r="AX264" s="12"/>
      <c r="AY264" s="9"/>
      <c r="AZ264" s="12"/>
      <c r="BA264" s="12"/>
      <c r="BB264" s="9"/>
      <c r="BC264" s="12"/>
      <c r="BD264" s="12"/>
      <c r="BE264" s="12"/>
    </row>
    <row r="265" spans="1:57" ht="15.75" customHeight="1">
      <c r="A265" s="1"/>
      <c r="B265" s="3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4"/>
      <c r="AB265" s="4"/>
      <c r="AC265" s="4"/>
      <c r="AD265" s="10"/>
      <c r="AE265" s="9"/>
      <c r="AF265" s="9"/>
      <c r="AG265" s="12"/>
      <c r="AH265" s="12"/>
      <c r="AI265" s="12"/>
      <c r="AJ265" s="12"/>
      <c r="AK265" s="9"/>
      <c r="AL265" s="12"/>
      <c r="AM265" s="12"/>
      <c r="AN265" s="12"/>
      <c r="AO265" s="12"/>
      <c r="AP265" s="12"/>
      <c r="AQ265" s="12"/>
      <c r="AR265" s="9"/>
      <c r="AS265" s="12"/>
      <c r="AT265" s="12"/>
      <c r="AU265" s="12"/>
      <c r="AV265" s="12"/>
      <c r="AW265" s="12"/>
      <c r="AX265" s="12"/>
      <c r="AY265" s="9"/>
      <c r="AZ265" s="12"/>
      <c r="BA265" s="12"/>
      <c r="BB265" s="9"/>
      <c r="BC265" s="12"/>
      <c r="BD265" s="12"/>
      <c r="BE265" s="12"/>
    </row>
    <row r="266" spans="1:57" ht="15.75" customHeight="1">
      <c r="A266" s="1"/>
      <c r="B266" s="3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4"/>
      <c r="AB266" s="4"/>
      <c r="AC266" s="4"/>
      <c r="AD266" s="10"/>
      <c r="AE266" s="9"/>
      <c r="AF266" s="9"/>
      <c r="AG266" s="12"/>
      <c r="AH266" s="12"/>
      <c r="AI266" s="12"/>
      <c r="AJ266" s="12"/>
      <c r="AK266" s="9"/>
      <c r="AL266" s="12"/>
      <c r="AM266" s="12"/>
      <c r="AN266" s="12"/>
      <c r="AO266" s="12"/>
      <c r="AP266" s="12"/>
      <c r="AQ266" s="12"/>
      <c r="AR266" s="9"/>
      <c r="AS266" s="12"/>
      <c r="AT266" s="12"/>
      <c r="AU266" s="12"/>
      <c r="AV266" s="12"/>
      <c r="AW266" s="12"/>
      <c r="AX266" s="12"/>
      <c r="AY266" s="9"/>
      <c r="AZ266" s="12"/>
      <c r="BA266" s="12"/>
      <c r="BB266" s="9"/>
      <c r="BC266" s="12"/>
      <c r="BD266" s="12"/>
      <c r="BE266" s="12"/>
    </row>
    <row r="267" spans="1:57" ht="15.75" customHeight="1">
      <c r="A267" s="1"/>
      <c r="B267" s="3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4"/>
      <c r="AB267" s="4"/>
      <c r="AC267" s="4"/>
      <c r="AD267" s="10"/>
      <c r="AE267" s="9"/>
      <c r="AF267" s="9"/>
      <c r="AG267" s="12"/>
      <c r="AH267" s="12"/>
      <c r="AI267" s="12"/>
      <c r="AJ267" s="12"/>
      <c r="AK267" s="9"/>
      <c r="AL267" s="12"/>
      <c r="AM267" s="12"/>
      <c r="AN267" s="12"/>
      <c r="AO267" s="12"/>
      <c r="AP267" s="12"/>
      <c r="AQ267" s="12"/>
      <c r="AR267" s="9"/>
      <c r="AS267" s="12"/>
      <c r="AT267" s="12"/>
      <c r="AU267" s="12"/>
      <c r="AV267" s="12"/>
      <c r="AW267" s="12"/>
      <c r="AX267" s="12"/>
      <c r="AY267" s="9"/>
      <c r="AZ267" s="12"/>
      <c r="BA267" s="12"/>
      <c r="BB267" s="9"/>
      <c r="BC267" s="12"/>
      <c r="BD267" s="12"/>
      <c r="BE267" s="12"/>
    </row>
    <row r="268" spans="1:57" ht="15.75" customHeight="1">
      <c r="A268" s="1"/>
      <c r="B268" s="3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4"/>
      <c r="AB268" s="4"/>
      <c r="AC268" s="4"/>
      <c r="AD268" s="10"/>
      <c r="AE268" s="9"/>
      <c r="AF268" s="9"/>
      <c r="AG268" s="12"/>
      <c r="AH268" s="12"/>
      <c r="AI268" s="12"/>
      <c r="AJ268" s="12"/>
      <c r="AK268" s="9"/>
      <c r="AL268" s="12"/>
      <c r="AM268" s="12"/>
      <c r="AN268" s="12"/>
      <c r="AO268" s="12"/>
      <c r="AP268" s="12"/>
      <c r="AQ268" s="12"/>
      <c r="AR268" s="9"/>
      <c r="AS268" s="12"/>
      <c r="AT268" s="12"/>
      <c r="AU268" s="12"/>
      <c r="AV268" s="12"/>
      <c r="AW268" s="12"/>
      <c r="AX268" s="12"/>
      <c r="AY268" s="9"/>
      <c r="AZ268" s="12"/>
      <c r="BA268" s="12"/>
      <c r="BB268" s="9"/>
      <c r="BC268" s="12"/>
      <c r="BD268" s="12"/>
      <c r="BE268" s="12"/>
    </row>
    <row r="269" spans="1:57" ht="15.75" customHeight="1">
      <c r="A269" s="1"/>
      <c r="B269" s="3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4"/>
      <c r="AB269" s="4"/>
      <c r="AC269" s="4"/>
      <c r="AD269" s="10"/>
      <c r="AE269" s="9"/>
      <c r="AF269" s="9"/>
      <c r="AG269" s="12"/>
      <c r="AH269" s="12"/>
      <c r="AI269" s="12"/>
      <c r="AJ269" s="12"/>
      <c r="AK269" s="9"/>
      <c r="AL269" s="12"/>
      <c r="AM269" s="12"/>
      <c r="AN269" s="12"/>
      <c r="AO269" s="12"/>
      <c r="AP269" s="12"/>
      <c r="AQ269" s="12"/>
      <c r="AR269" s="9"/>
      <c r="AS269" s="12"/>
      <c r="AT269" s="12"/>
      <c r="AU269" s="12"/>
      <c r="AV269" s="12"/>
      <c r="AW269" s="12"/>
      <c r="AX269" s="12"/>
      <c r="AY269" s="9"/>
      <c r="AZ269" s="12"/>
      <c r="BA269" s="12"/>
      <c r="BB269" s="9"/>
      <c r="BC269" s="12"/>
      <c r="BD269" s="12"/>
      <c r="BE269" s="12"/>
    </row>
    <row r="270" spans="1:57" ht="15.75" customHeight="1">
      <c r="A270" s="1"/>
      <c r="B270" s="3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4"/>
      <c r="AB270" s="4"/>
      <c r="AC270" s="4"/>
      <c r="AD270" s="10"/>
      <c r="AE270" s="9"/>
      <c r="AF270" s="9"/>
      <c r="AG270" s="12"/>
      <c r="AH270" s="12"/>
      <c r="AI270" s="12"/>
      <c r="AJ270" s="12"/>
      <c r="AK270" s="9"/>
      <c r="AL270" s="12"/>
      <c r="AM270" s="12"/>
      <c r="AN270" s="12"/>
      <c r="AO270" s="12"/>
      <c r="AP270" s="12"/>
      <c r="AQ270" s="12"/>
      <c r="AR270" s="9"/>
      <c r="AS270" s="12"/>
      <c r="AT270" s="12"/>
      <c r="AU270" s="12"/>
      <c r="AV270" s="12"/>
      <c r="AW270" s="12"/>
      <c r="AX270" s="12"/>
      <c r="AY270" s="9"/>
      <c r="AZ270" s="12"/>
      <c r="BA270" s="12"/>
      <c r="BB270" s="9"/>
      <c r="BC270" s="12"/>
      <c r="BD270" s="12"/>
      <c r="BE270" s="12"/>
    </row>
    <row r="271" spans="1:57" ht="15.75" customHeight="1">
      <c r="A271" s="1"/>
      <c r="B271" s="3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4"/>
      <c r="AB271" s="4"/>
      <c r="AC271" s="4"/>
      <c r="AD271" s="10"/>
      <c r="AE271" s="9"/>
      <c r="AF271" s="9"/>
      <c r="AG271" s="12"/>
      <c r="AH271" s="12"/>
      <c r="AI271" s="12"/>
      <c r="AJ271" s="12"/>
      <c r="AK271" s="9"/>
      <c r="AL271" s="12"/>
      <c r="AM271" s="12"/>
      <c r="AN271" s="12"/>
      <c r="AO271" s="12"/>
      <c r="AP271" s="12"/>
      <c r="AQ271" s="12"/>
      <c r="AR271" s="9"/>
      <c r="AS271" s="12"/>
      <c r="AT271" s="12"/>
      <c r="AU271" s="12"/>
      <c r="AV271" s="12"/>
      <c r="AW271" s="12"/>
      <c r="AX271" s="12"/>
      <c r="AY271" s="9"/>
      <c r="AZ271" s="12"/>
      <c r="BA271" s="12"/>
      <c r="BB271" s="9"/>
      <c r="BC271" s="12"/>
      <c r="BD271" s="12"/>
      <c r="BE271" s="12"/>
    </row>
    <row r="272" spans="1:57" ht="15.75" customHeight="1">
      <c r="A272" s="1"/>
      <c r="B272" s="3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4"/>
      <c r="AB272" s="4"/>
      <c r="AC272" s="4"/>
      <c r="AD272" s="10"/>
      <c r="AE272" s="9"/>
      <c r="AF272" s="9"/>
      <c r="AG272" s="12"/>
      <c r="AH272" s="12"/>
      <c r="AI272" s="12"/>
      <c r="AJ272" s="12"/>
      <c r="AK272" s="9"/>
      <c r="AL272" s="12"/>
      <c r="AM272" s="12"/>
      <c r="AN272" s="12"/>
      <c r="AO272" s="12"/>
      <c r="AP272" s="12"/>
      <c r="AQ272" s="12"/>
      <c r="AR272" s="9"/>
      <c r="AS272" s="12"/>
      <c r="AT272" s="12"/>
      <c r="AU272" s="12"/>
      <c r="AV272" s="12"/>
      <c r="AW272" s="12"/>
      <c r="AX272" s="12"/>
      <c r="AY272" s="9"/>
      <c r="AZ272" s="12"/>
      <c r="BA272" s="12"/>
      <c r="BB272" s="9"/>
      <c r="BC272" s="12"/>
      <c r="BD272" s="12"/>
      <c r="BE272" s="12"/>
    </row>
    <row r="273" spans="1:57" ht="15.75" customHeight="1">
      <c r="A273" s="1"/>
      <c r="B273" s="3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4"/>
      <c r="AB273" s="4"/>
      <c r="AC273" s="4"/>
      <c r="AD273" s="10"/>
      <c r="AE273" s="9"/>
      <c r="AF273" s="9"/>
      <c r="AG273" s="12"/>
      <c r="AH273" s="12"/>
      <c r="AI273" s="12"/>
      <c r="AJ273" s="12"/>
      <c r="AK273" s="9"/>
      <c r="AL273" s="12"/>
      <c r="AM273" s="12"/>
      <c r="AN273" s="12"/>
      <c r="AO273" s="12"/>
      <c r="AP273" s="12"/>
      <c r="AQ273" s="12"/>
      <c r="AR273" s="9"/>
      <c r="AS273" s="12"/>
      <c r="AT273" s="12"/>
      <c r="AU273" s="12"/>
      <c r="AV273" s="12"/>
      <c r="AW273" s="12"/>
      <c r="AX273" s="12"/>
      <c r="AY273" s="9"/>
      <c r="AZ273" s="12"/>
      <c r="BA273" s="12"/>
      <c r="BB273" s="9"/>
      <c r="BC273" s="12"/>
      <c r="BD273" s="12"/>
      <c r="BE273" s="12"/>
    </row>
    <row r="274" spans="1:57" ht="15.75" customHeight="1">
      <c r="A274" s="1"/>
      <c r="B274" s="3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4"/>
      <c r="AB274" s="4"/>
      <c r="AC274" s="4"/>
      <c r="AD274" s="10"/>
      <c r="AE274" s="9"/>
      <c r="AF274" s="9"/>
      <c r="AG274" s="12"/>
      <c r="AH274" s="12"/>
      <c r="AI274" s="12"/>
      <c r="AJ274" s="12"/>
      <c r="AK274" s="9"/>
      <c r="AL274" s="12"/>
      <c r="AM274" s="12"/>
      <c r="AN274" s="12"/>
      <c r="AO274" s="12"/>
      <c r="AP274" s="12"/>
      <c r="AQ274" s="12"/>
      <c r="AR274" s="9"/>
      <c r="AS274" s="12"/>
      <c r="AT274" s="12"/>
      <c r="AU274" s="12"/>
      <c r="AV274" s="12"/>
      <c r="AW274" s="12"/>
      <c r="AX274" s="12"/>
      <c r="AY274" s="9"/>
      <c r="AZ274" s="12"/>
      <c r="BA274" s="12"/>
      <c r="BB274" s="9"/>
      <c r="BC274" s="12"/>
      <c r="BD274" s="12"/>
      <c r="BE274" s="12"/>
    </row>
    <row r="275" spans="1:57" ht="15.75" customHeight="1">
      <c r="A275" s="1"/>
      <c r="B275" s="3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4"/>
      <c r="AB275" s="4"/>
      <c r="AC275" s="4"/>
      <c r="AD275" s="10"/>
      <c r="AE275" s="9"/>
      <c r="AF275" s="9"/>
      <c r="AG275" s="12"/>
      <c r="AH275" s="12"/>
      <c r="AI275" s="12"/>
      <c r="AJ275" s="12"/>
      <c r="AK275" s="9"/>
      <c r="AL275" s="12"/>
      <c r="AM275" s="12"/>
      <c r="AN275" s="12"/>
      <c r="AO275" s="12"/>
      <c r="AP275" s="12"/>
      <c r="AQ275" s="12"/>
      <c r="AR275" s="9"/>
      <c r="AS275" s="12"/>
      <c r="AT275" s="12"/>
      <c r="AU275" s="12"/>
      <c r="AV275" s="12"/>
      <c r="AW275" s="12"/>
      <c r="AX275" s="12"/>
      <c r="AY275" s="9"/>
      <c r="AZ275" s="12"/>
      <c r="BA275" s="12"/>
      <c r="BB275" s="9"/>
      <c r="BC275" s="12"/>
      <c r="BD275" s="12"/>
      <c r="BE275" s="12"/>
    </row>
    <row r="276" spans="1:57" ht="15.75" customHeight="1">
      <c r="A276" s="1"/>
      <c r="B276" s="3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4"/>
      <c r="AB276" s="4"/>
      <c r="AC276" s="4"/>
      <c r="AD276" s="10"/>
      <c r="AE276" s="9"/>
      <c r="AF276" s="9"/>
      <c r="AG276" s="12"/>
      <c r="AH276" s="12"/>
      <c r="AI276" s="12"/>
      <c r="AJ276" s="12"/>
      <c r="AK276" s="9"/>
      <c r="AL276" s="12"/>
      <c r="AM276" s="12"/>
      <c r="AN276" s="12"/>
      <c r="AO276" s="12"/>
      <c r="AP276" s="12"/>
      <c r="AQ276" s="12"/>
      <c r="AR276" s="9"/>
      <c r="AS276" s="12"/>
      <c r="AT276" s="12"/>
      <c r="AU276" s="12"/>
      <c r="AV276" s="12"/>
      <c r="AW276" s="12"/>
      <c r="AX276" s="12"/>
      <c r="AY276" s="9"/>
      <c r="AZ276" s="12"/>
      <c r="BA276" s="12"/>
      <c r="BB276" s="9"/>
      <c r="BC276" s="12"/>
      <c r="BD276" s="12"/>
      <c r="BE276" s="12"/>
    </row>
    <row r="277" spans="1:57" ht="15.75" customHeight="1">
      <c r="A277" s="1"/>
      <c r="B277" s="3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4"/>
      <c r="AB277" s="4"/>
      <c r="AC277" s="4"/>
      <c r="AD277" s="10"/>
      <c r="AE277" s="9"/>
      <c r="AF277" s="9"/>
      <c r="AG277" s="12"/>
      <c r="AH277" s="12"/>
      <c r="AI277" s="12"/>
      <c r="AJ277" s="12"/>
      <c r="AK277" s="9"/>
      <c r="AL277" s="12"/>
      <c r="AM277" s="12"/>
      <c r="AN277" s="12"/>
      <c r="AO277" s="12"/>
      <c r="AP277" s="12"/>
      <c r="AQ277" s="12"/>
      <c r="AR277" s="9"/>
      <c r="AS277" s="12"/>
      <c r="AT277" s="12"/>
      <c r="AU277" s="12"/>
      <c r="AV277" s="12"/>
      <c r="AW277" s="12"/>
      <c r="AX277" s="12"/>
      <c r="AY277" s="9"/>
      <c r="AZ277" s="12"/>
      <c r="BA277" s="12"/>
      <c r="BB277" s="9"/>
      <c r="BC277" s="12"/>
      <c r="BD277" s="12"/>
      <c r="BE277" s="12"/>
    </row>
    <row r="278" spans="1:57" ht="15.75" customHeight="1">
      <c r="A278" s="1"/>
      <c r="B278" s="3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4"/>
      <c r="AB278" s="4"/>
      <c r="AC278" s="4"/>
      <c r="AD278" s="10"/>
      <c r="AE278" s="9"/>
      <c r="AF278" s="9"/>
      <c r="AG278" s="12"/>
      <c r="AH278" s="12"/>
      <c r="AI278" s="12"/>
      <c r="AJ278" s="12"/>
      <c r="AK278" s="9"/>
      <c r="AL278" s="12"/>
      <c r="AM278" s="12"/>
      <c r="AN278" s="12"/>
      <c r="AO278" s="12"/>
      <c r="AP278" s="12"/>
      <c r="AQ278" s="12"/>
      <c r="AR278" s="9"/>
      <c r="AS278" s="12"/>
      <c r="AT278" s="12"/>
      <c r="AU278" s="12"/>
      <c r="AV278" s="12"/>
      <c r="AW278" s="12"/>
      <c r="AX278" s="12"/>
      <c r="AY278" s="9"/>
      <c r="AZ278" s="12"/>
      <c r="BA278" s="12"/>
      <c r="BB278" s="9"/>
      <c r="BC278" s="12"/>
      <c r="BD278" s="12"/>
      <c r="BE278" s="12"/>
    </row>
    <row r="279" spans="1:57" ht="15.75" customHeight="1">
      <c r="A279" s="1"/>
      <c r="B279" s="3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4"/>
      <c r="AB279" s="4"/>
      <c r="AC279" s="4"/>
      <c r="AD279" s="10"/>
      <c r="AE279" s="9"/>
      <c r="AF279" s="9"/>
      <c r="AG279" s="12"/>
      <c r="AH279" s="12"/>
      <c r="AI279" s="12"/>
      <c r="AJ279" s="12"/>
      <c r="AK279" s="9"/>
      <c r="AL279" s="12"/>
      <c r="AM279" s="12"/>
      <c r="AN279" s="12"/>
      <c r="AO279" s="12"/>
      <c r="AP279" s="12"/>
      <c r="AQ279" s="12"/>
      <c r="AR279" s="9"/>
      <c r="AS279" s="12"/>
      <c r="AT279" s="12"/>
      <c r="AU279" s="12"/>
      <c r="AV279" s="12"/>
      <c r="AW279" s="12"/>
      <c r="AX279" s="12"/>
      <c r="AY279" s="9"/>
      <c r="AZ279" s="12"/>
      <c r="BA279" s="12"/>
      <c r="BB279" s="9"/>
      <c r="BC279" s="12"/>
      <c r="BD279" s="12"/>
      <c r="BE279" s="12"/>
    </row>
    <row r="280" spans="1:57" ht="15.75" customHeight="1">
      <c r="A280" s="1"/>
      <c r="B280" s="3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4"/>
      <c r="AB280" s="4"/>
      <c r="AC280" s="4"/>
      <c r="AD280" s="10"/>
      <c r="AE280" s="9"/>
      <c r="AF280" s="9"/>
      <c r="AG280" s="12"/>
      <c r="AH280" s="12"/>
      <c r="AI280" s="12"/>
      <c r="AJ280" s="12"/>
      <c r="AK280" s="9"/>
      <c r="AL280" s="12"/>
      <c r="AM280" s="12"/>
      <c r="AN280" s="12"/>
      <c r="AO280" s="12"/>
      <c r="AP280" s="12"/>
      <c r="AQ280" s="12"/>
      <c r="AR280" s="9"/>
      <c r="AS280" s="12"/>
      <c r="AT280" s="12"/>
      <c r="AU280" s="12"/>
      <c r="AV280" s="12"/>
      <c r="AW280" s="12"/>
      <c r="AX280" s="12"/>
      <c r="AY280" s="9"/>
      <c r="AZ280" s="12"/>
      <c r="BA280" s="12"/>
      <c r="BB280" s="9"/>
      <c r="BC280" s="12"/>
      <c r="BD280" s="12"/>
      <c r="BE280" s="12"/>
    </row>
    <row r="281" spans="1:57" ht="15.75" customHeight="1">
      <c r="A281" s="1"/>
      <c r="B281" s="3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4"/>
      <c r="AB281" s="4"/>
      <c r="AC281" s="4"/>
      <c r="AD281" s="10"/>
      <c r="AE281" s="9"/>
      <c r="AF281" s="9"/>
      <c r="AG281" s="12"/>
      <c r="AH281" s="12"/>
      <c r="AI281" s="12"/>
      <c r="AJ281" s="12"/>
      <c r="AK281" s="9"/>
      <c r="AL281" s="12"/>
      <c r="AM281" s="12"/>
      <c r="AN281" s="12"/>
      <c r="AO281" s="12"/>
      <c r="AP281" s="12"/>
      <c r="AQ281" s="12"/>
      <c r="AR281" s="9"/>
      <c r="AS281" s="12"/>
      <c r="AT281" s="12"/>
      <c r="AU281" s="12"/>
      <c r="AV281" s="12"/>
      <c r="AW281" s="12"/>
      <c r="AX281" s="12"/>
      <c r="AY281" s="9"/>
      <c r="AZ281" s="12"/>
      <c r="BA281" s="12"/>
      <c r="BB281" s="9"/>
      <c r="BC281" s="12"/>
      <c r="BD281" s="12"/>
      <c r="BE281" s="12"/>
    </row>
    <row r="282" spans="1:57" ht="15.75" customHeight="1">
      <c r="A282" s="1"/>
      <c r="B282" s="3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4"/>
      <c r="AB282" s="4"/>
      <c r="AC282" s="4"/>
      <c r="AD282" s="10"/>
      <c r="AE282" s="9"/>
      <c r="AF282" s="9"/>
      <c r="AG282" s="12"/>
      <c r="AH282" s="12"/>
      <c r="AI282" s="12"/>
      <c r="AJ282" s="12"/>
      <c r="AK282" s="9"/>
      <c r="AL282" s="12"/>
      <c r="AM282" s="12"/>
      <c r="AN282" s="12"/>
      <c r="AO282" s="12"/>
      <c r="AP282" s="12"/>
      <c r="AQ282" s="12"/>
      <c r="AR282" s="9"/>
      <c r="AS282" s="12"/>
      <c r="AT282" s="12"/>
      <c r="AU282" s="12"/>
      <c r="AV282" s="12"/>
      <c r="AW282" s="12"/>
      <c r="AX282" s="12"/>
      <c r="AY282" s="9"/>
      <c r="AZ282" s="12"/>
      <c r="BA282" s="12"/>
      <c r="BB282" s="9"/>
      <c r="BC282" s="12"/>
      <c r="BD282" s="12"/>
      <c r="BE282" s="12"/>
    </row>
    <row r="283" spans="1:57" ht="15.75" customHeight="1">
      <c r="A283" s="1"/>
      <c r="B283" s="3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4"/>
      <c r="AB283" s="4"/>
      <c r="AC283" s="4"/>
      <c r="AD283" s="10"/>
      <c r="AE283" s="9"/>
      <c r="AF283" s="9"/>
      <c r="AG283" s="12"/>
      <c r="AH283" s="12"/>
      <c r="AI283" s="12"/>
      <c r="AJ283" s="12"/>
      <c r="AK283" s="9"/>
      <c r="AL283" s="12"/>
      <c r="AM283" s="12"/>
      <c r="AN283" s="12"/>
      <c r="AO283" s="12"/>
      <c r="AP283" s="12"/>
      <c r="AQ283" s="12"/>
      <c r="AR283" s="9"/>
      <c r="AS283" s="12"/>
      <c r="AT283" s="12"/>
      <c r="AU283" s="12"/>
      <c r="AV283" s="12"/>
      <c r="AW283" s="12"/>
      <c r="AX283" s="12"/>
      <c r="AY283" s="9"/>
      <c r="AZ283" s="12"/>
      <c r="BA283" s="12"/>
      <c r="BB283" s="9"/>
      <c r="BC283" s="12"/>
      <c r="BD283" s="12"/>
      <c r="BE283" s="12"/>
    </row>
    <row r="284" spans="1:57" ht="15.75" customHeight="1">
      <c r="A284" s="1"/>
      <c r="B284" s="3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4"/>
      <c r="AB284" s="4"/>
      <c r="AC284" s="4"/>
      <c r="AD284" s="10"/>
      <c r="AE284" s="9"/>
      <c r="AF284" s="9"/>
      <c r="AG284" s="12"/>
      <c r="AH284" s="12"/>
      <c r="AI284" s="12"/>
      <c r="AJ284" s="12"/>
      <c r="AK284" s="9"/>
      <c r="AL284" s="12"/>
      <c r="AM284" s="12"/>
      <c r="AN284" s="12"/>
      <c r="AO284" s="12"/>
      <c r="AP284" s="12"/>
      <c r="AQ284" s="12"/>
      <c r="AR284" s="9"/>
      <c r="AS284" s="12"/>
      <c r="AT284" s="12"/>
      <c r="AU284" s="12"/>
      <c r="AV284" s="12"/>
      <c r="AW284" s="12"/>
      <c r="AX284" s="12"/>
      <c r="AY284" s="9"/>
      <c r="AZ284" s="12"/>
      <c r="BA284" s="12"/>
      <c r="BB284" s="9"/>
      <c r="BC284" s="12"/>
      <c r="BD284" s="12"/>
      <c r="BE284" s="12"/>
    </row>
    <row r="285" spans="1:57" ht="15.75" customHeight="1">
      <c r="A285" s="1"/>
      <c r="B285" s="3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4"/>
      <c r="AB285" s="4"/>
      <c r="AC285" s="4"/>
      <c r="AD285" s="10"/>
      <c r="AE285" s="9"/>
      <c r="AF285" s="9"/>
      <c r="AG285" s="12"/>
      <c r="AH285" s="12"/>
      <c r="AI285" s="12"/>
      <c r="AJ285" s="12"/>
      <c r="AK285" s="9"/>
      <c r="AL285" s="12"/>
      <c r="AM285" s="12"/>
      <c r="AN285" s="12"/>
      <c r="AO285" s="12"/>
      <c r="AP285" s="12"/>
      <c r="AQ285" s="12"/>
      <c r="AR285" s="9"/>
      <c r="AS285" s="12"/>
      <c r="AT285" s="12"/>
      <c r="AU285" s="12"/>
      <c r="AV285" s="12"/>
      <c r="AW285" s="12"/>
      <c r="AX285" s="12"/>
      <c r="AY285" s="9"/>
      <c r="AZ285" s="12"/>
      <c r="BA285" s="12"/>
      <c r="BB285" s="9"/>
      <c r="BC285" s="12"/>
      <c r="BD285" s="12"/>
      <c r="BE285" s="12"/>
    </row>
    <row r="286" spans="1:57" ht="15.75" customHeight="1">
      <c r="A286" s="1"/>
      <c r="B286" s="3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4"/>
      <c r="AB286" s="4"/>
      <c r="AC286" s="4"/>
      <c r="AD286" s="10"/>
      <c r="AE286" s="9"/>
      <c r="AF286" s="9"/>
      <c r="AG286" s="12"/>
      <c r="AH286" s="12"/>
      <c r="AI286" s="12"/>
      <c r="AJ286" s="12"/>
      <c r="AK286" s="9"/>
      <c r="AL286" s="12"/>
      <c r="AM286" s="12"/>
      <c r="AN286" s="12"/>
      <c r="AO286" s="12"/>
      <c r="AP286" s="12"/>
      <c r="AQ286" s="12"/>
      <c r="AR286" s="9"/>
      <c r="AS286" s="12"/>
      <c r="AT286" s="12"/>
      <c r="AU286" s="12"/>
      <c r="AV286" s="12"/>
      <c r="AW286" s="12"/>
      <c r="AX286" s="12"/>
      <c r="AY286" s="9"/>
      <c r="AZ286" s="12"/>
      <c r="BA286" s="12"/>
      <c r="BB286" s="9"/>
      <c r="BC286" s="12"/>
      <c r="BD286" s="12"/>
      <c r="BE286" s="12"/>
    </row>
    <row r="287" spans="1:57" ht="15.75" customHeight="1">
      <c r="A287" s="1"/>
      <c r="B287" s="3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4"/>
      <c r="AB287" s="4"/>
      <c r="AC287" s="4"/>
      <c r="AD287" s="10"/>
      <c r="AE287" s="9"/>
      <c r="AF287" s="9"/>
      <c r="AG287" s="12"/>
      <c r="AH287" s="12"/>
      <c r="AI287" s="12"/>
      <c r="AJ287" s="12"/>
      <c r="AK287" s="9"/>
      <c r="AL287" s="12"/>
      <c r="AM287" s="12"/>
      <c r="AN287" s="12"/>
      <c r="AO287" s="12"/>
      <c r="AP287" s="12"/>
      <c r="AQ287" s="12"/>
      <c r="AR287" s="9"/>
      <c r="AS287" s="12"/>
      <c r="AT287" s="12"/>
      <c r="AU287" s="12"/>
      <c r="AV287" s="12"/>
      <c r="AW287" s="12"/>
      <c r="AX287" s="12"/>
      <c r="AY287" s="9"/>
      <c r="AZ287" s="12"/>
      <c r="BA287" s="12"/>
      <c r="BB287" s="9"/>
      <c r="BC287" s="12"/>
      <c r="BD287" s="12"/>
      <c r="BE287" s="12"/>
    </row>
    <row r="288" spans="1:57" ht="15.75" customHeight="1">
      <c r="A288" s="1"/>
      <c r="B288" s="3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4"/>
      <c r="AB288" s="4"/>
      <c r="AC288" s="4"/>
      <c r="AD288" s="10"/>
      <c r="AE288" s="9"/>
      <c r="AF288" s="9"/>
      <c r="AG288" s="12"/>
      <c r="AH288" s="12"/>
      <c r="AI288" s="12"/>
      <c r="AJ288" s="12"/>
      <c r="AK288" s="9"/>
      <c r="AL288" s="12"/>
      <c r="AM288" s="12"/>
      <c r="AN288" s="12"/>
      <c r="AO288" s="12"/>
      <c r="AP288" s="12"/>
      <c r="AQ288" s="12"/>
      <c r="AR288" s="9"/>
      <c r="AS288" s="12"/>
      <c r="AT288" s="12"/>
      <c r="AU288" s="12"/>
      <c r="AV288" s="12"/>
      <c r="AW288" s="12"/>
      <c r="AX288" s="12"/>
      <c r="AY288" s="9"/>
      <c r="AZ288" s="12"/>
      <c r="BA288" s="12"/>
      <c r="BB288" s="9"/>
      <c r="BC288" s="12"/>
      <c r="BD288" s="12"/>
      <c r="BE288" s="12"/>
    </row>
    <row r="289" spans="1:57" ht="15.75" customHeight="1">
      <c r="A289" s="1"/>
      <c r="B289" s="3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4"/>
      <c r="AB289" s="4"/>
      <c r="AC289" s="4"/>
      <c r="AD289" s="10"/>
      <c r="AE289" s="9"/>
      <c r="AF289" s="9"/>
      <c r="AG289" s="12"/>
      <c r="AH289" s="12"/>
      <c r="AI289" s="12"/>
      <c r="AJ289" s="12"/>
      <c r="AK289" s="9"/>
      <c r="AL289" s="12"/>
      <c r="AM289" s="12"/>
      <c r="AN289" s="12"/>
      <c r="AO289" s="12"/>
      <c r="AP289" s="12"/>
      <c r="AQ289" s="12"/>
      <c r="AR289" s="9"/>
      <c r="AS289" s="12"/>
      <c r="AT289" s="12"/>
      <c r="AU289" s="12"/>
      <c r="AV289" s="12"/>
      <c r="AW289" s="12"/>
      <c r="AX289" s="12"/>
      <c r="AY289" s="9"/>
      <c r="AZ289" s="12"/>
      <c r="BA289" s="12"/>
      <c r="BB289" s="9"/>
      <c r="BC289" s="12"/>
      <c r="BD289" s="12"/>
      <c r="BE289" s="12"/>
    </row>
    <row r="290" spans="1:57" ht="15.75" customHeight="1">
      <c r="A290" s="1"/>
      <c r="B290" s="3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4"/>
      <c r="AB290" s="4"/>
      <c r="AC290" s="4"/>
      <c r="AD290" s="10"/>
      <c r="AE290" s="9"/>
      <c r="AF290" s="9"/>
      <c r="AG290" s="12"/>
      <c r="AH290" s="12"/>
      <c r="AI290" s="12"/>
      <c r="AJ290" s="12"/>
      <c r="AK290" s="9"/>
      <c r="AL290" s="12"/>
      <c r="AM290" s="12"/>
      <c r="AN290" s="12"/>
      <c r="AO290" s="12"/>
      <c r="AP290" s="12"/>
      <c r="AQ290" s="12"/>
      <c r="AR290" s="9"/>
      <c r="AS290" s="12"/>
      <c r="AT290" s="12"/>
      <c r="AU290" s="12"/>
      <c r="AV290" s="12"/>
      <c r="AW290" s="12"/>
      <c r="AX290" s="12"/>
      <c r="AY290" s="9"/>
      <c r="AZ290" s="12"/>
      <c r="BA290" s="12"/>
      <c r="BB290" s="9"/>
      <c r="BC290" s="12"/>
      <c r="BD290" s="12"/>
      <c r="BE290" s="12"/>
    </row>
    <row r="291" spans="1:57" ht="15.75" customHeight="1">
      <c r="A291" s="1"/>
      <c r="B291" s="3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4"/>
      <c r="AB291" s="4"/>
      <c r="AC291" s="4"/>
      <c r="AD291" s="10"/>
      <c r="AE291" s="9"/>
      <c r="AF291" s="9"/>
      <c r="AG291" s="12"/>
      <c r="AH291" s="12"/>
      <c r="AI291" s="12"/>
      <c r="AJ291" s="12"/>
      <c r="AK291" s="9"/>
      <c r="AL291" s="12"/>
      <c r="AM291" s="12"/>
      <c r="AN291" s="12"/>
      <c r="AO291" s="12"/>
      <c r="AP291" s="12"/>
      <c r="AQ291" s="12"/>
      <c r="AR291" s="9"/>
      <c r="AS291" s="12"/>
      <c r="AT291" s="12"/>
      <c r="AU291" s="12"/>
      <c r="AV291" s="12"/>
      <c r="AW291" s="12"/>
      <c r="AX291" s="12"/>
      <c r="AY291" s="9"/>
      <c r="AZ291" s="12"/>
      <c r="BA291" s="12"/>
      <c r="BB291" s="9"/>
      <c r="BC291" s="12"/>
      <c r="BD291" s="12"/>
      <c r="BE291" s="12"/>
    </row>
    <row r="292" spans="1:57" ht="15.75" customHeight="1">
      <c r="A292" s="1"/>
      <c r="B292" s="3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4"/>
      <c r="AB292" s="4"/>
      <c r="AC292" s="4"/>
      <c r="AD292" s="10"/>
      <c r="AE292" s="9"/>
      <c r="AF292" s="9"/>
      <c r="AG292" s="12"/>
      <c r="AH292" s="12"/>
      <c r="AI292" s="12"/>
      <c r="AJ292" s="12"/>
      <c r="AK292" s="9"/>
      <c r="AL292" s="12"/>
      <c r="AM292" s="12"/>
      <c r="AN292" s="12"/>
      <c r="AO292" s="12"/>
      <c r="AP292" s="12"/>
      <c r="AQ292" s="12"/>
      <c r="AR292" s="9"/>
      <c r="AS292" s="12"/>
      <c r="AT292" s="12"/>
      <c r="AU292" s="12"/>
      <c r="AV292" s="12"/>
      <c r="AW292" s="12"/>
      <c r="AX292" s="12"/>
      <c r="AY292" s="9"/>
      <c r="AZ292" s="12"/>
      <c r="BA292" s="12"/>
      <c r="BB292" s="9"/>
      <c r="BC292" s="12"/>
      <c r="BD292" s="12"/>
      <c r="BE292" s="12"/>
    </row>
    <row r="293" spans="1:57" ht="15.75" customHeight="1">
      <c r="A293" s="1"/>
      <c r="B293" s="3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4"/>
      <c r="AB293" s="4"/>
      <c r="AC293" s="4"/>
      <c r="AD293" s="10"/>
      <c r="AE293" s="9"/>
      <c r="AF293" s="9"/>
      <c r="AG293" s="12"/>
      <c r="AH293" s="12"/>
      <c r="AI293" s="12"/>
      <c r="AJ293" s="12"/>
      <c r="AK293" s="9"/>
      <c r="AL293" s="12"/>
      <c r="AM293" s="12"/>
      <c r="AN293" s="12"/>
      <c r="AO293" s="12"/>
      <c r="AP293" s="12"/>
      <c r="AQ293" s="12"/>
      <c r="AR293" s="9"/>
      <c r="AS293" s="12"/>
      <c r="AT293" s="12"/>
      <c r="AU293" s="12"/>
      <c r="AV293" s="12"/>
      <c r="AW293" s="12"/>
      <c r="AX293" s="12"/>
      <c r="AY293" s="9"/>
      <c r="AZ293" s="12"/>
      <c r="BA293" s="12"/>
      <c r="BB293" s="9"/>
      <c r="BC293" s="12"/>
      <c r="BD293" s="12"/>
      <c r="BE293" s="12"/>
    </row>
    <row r="294" spans="1:57" ht="15.75" customHeight="1">
      <c r="A294" s="1"/>
      <c r="B294" s="3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4"/>
      <c r="AB294" s="4"/>
      <c r="AC294" s="4"/>
      <c r="AD294" s="10"/>
      <c r="AE294" s="9"/>
      <c r="AF294" s="9"/>
      <c r="AG294" s="12"/>
      <c r="AH294" s="12"/>
      <c r="AI294" s="12"/>
      <c r="AJ294" s="12"/>
      <c r="AK294" s="9"/>
      <c r="AL294" s="12"/>
      <c r="AM294" s="12"/>
      <c r="AN294" s="12"/>
      <c r="AO294" s="12"/>
      <c r="AP294" s="12"/>
      <c r="AQ294" s="12"/>
      <c r="AR294" s="9"/>
      <c r="AS294" s="12"/>
      <c r="AT294" s="12"/>
      <c r="AU294" s="12"/>
      <c r="AV294" s="12"/>
      <c r="AW294" s="12"/>
      <c r="AX294" s="12"/>
      <c r="AY294" s="9"/>
      <c r="AZ294" s="12"/>
      <c r="BA294" s="12"/>
      <c r="BB294" s="9"/>
      <c r="BC294" s="12"/>
      <c r="BD294" s="12"/>
      <c r="BE294" s="12"/>
    </row>
    <row r="295" spans="1:57" ht="15.75" customHeight="1">
      <c r="A295" s="1"/>
      <c r="B295" s="3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4"/>
      <c r="AB295" s="4"/>
      <c r="AC295" s="4"/>
      <c r="AD295" s="10"/>
      <c r="AE295" s="9"/>
      <c r="AF295" s="9"/>
      <c r="AG295" s="12"/>
      <c r="AH295" s="12"/>
      <c r="AI295" s="12"/>
      <c r="AJ295" s="12"/>
      <c r="AK295" s="9"/>
      <c r="AL295" s="12"/>
      <c r="AM295" s="12"/>
      <c r="AN295" s="12"/>
      <c r="AO295" s="12"/>
      <c r="AP295" s="12"/>
      <c r="AQ295" s="12"/>
      <c r="AR295" s="9"/>
      <c r="AS295" s="12"/>
      <c r="AT295" s="12"/>
      <c r="AU295" s="12"/>
      <c r="AV295" s="12"/>
      <c r="AW295" s="12"/>
      <c r="AX295" s="12"/>
      <c r="AY295" s="9"/>
      <c r="AZ295" s="12"/>
      <c r="BA295" s="12"/>
      <c r="BB295" s="9"/>
      <c r="BC295" s="12"/>
      <c r="BD295" s="12"/>
      <c r="BE295" s="12"/>
    </row>
    <row r="296" spans="1:57" ht="15.75" customHeight="1">
      <c r="A296" s="1"/>
      <c r="B296" s="3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4"/>
      <c r="AB296" s="4"/>
      <c r="AC296" s="4"/>
      <c r="AD296" s="10"/>
      <c r="AE296" s="9"/>
      <c r="AF296" s="9"/>
      <c r="AG296" s="12"/>
      <c r="AH296" s="12"/>
      <c r="AI296" s="12"/>
      <c r="AJ296" s="12"/>
      <c r="AK296" s="9"/>
      <c r="AL296" s="12"/>
      <c r="AM296" s="12"/>
      <c r="AN296" s="12"/>
      <c r="AO296" s="12"/>
      <c r="AP296" s="12"/>
      <c r="AQ296" s="12"/>
      <c r="AR296" s="9"/>
      <c r="AS296" s="12"/>
      <c r="AT296" s="12"/>
      <c r="AU296" s="12"/>
      <c r="AV296" s="12"/>
      <c r="AW296" s="12"/>
      <c r="AX296" s="12"/>
      <c r="AY296" s="9"/>
      <c r="AZ296" s="12"/>
      <c r="BA296" s="12"/>
      <c r="BB296" s="9"/>
      <c r="BC296" s="12"/>
      <c r="BD296" s="12"/>
      <c r="BE296" s="12"/>
    </row>
    <row r="297" spans="1:57" ht="15.75" customHeight="1">
      <c r="A297" s="1"/>
      <c r="B297" s="3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4"/>
      <c r="AB297" s="4"/>
      <c r="AC297" s="4"/>
      <c r="AD297" s="10"/>
      <c r="AE297" s="9"/>
      <c r="AF297" s="9"/>
      <c r="AG297" s="12"/>
      <c r="AH297" s="12"/>
      <c r="AI297" s="12"/>
      <c r="AJ297" s="12"/>
      <c r="AK297" s="9"/>
      <c r="AL297" s="12"/>
      <c r="AM297" s="12"/>
      <c r="AN297" s="12"/>
      <c r="AO297" s="12"/>
      <c r="AP297" s="12"/>
      <c r="AQ297" s="12"/>
      <c r="AR297" s="9"/>
      <c r="AS297" s="12"/>
      <c r="AT297" s="12"/>
      <c r="AU297" s="12"/>
      <c r="AV297" s="12"/>
      <c r="AW297" s="12"/>
      <c r="AX297" s="12"/>
      <c r="AY297" s="9"/>
      <c r="AZ297" s="12"/>
      <c r="BA297" s="12"/>
      <c r="BB297" s="9"/>
      <c r="BC297" s="12"/>
      <c r="BD297" s="12"/>
      <c r="BE297" s="12"/>
    </row>
    <row r="298" spans="1:57" ht="15.75" customHeight="1">
      <c r="A298" s="1"/>
      <c r="B298" s="3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4"/>
      <c r="AB298" s="4"/>
      <c r="AC298" s="4"/>
      <c r="AD298" s="10"/>
      <c r="AE298" s="9"/>
      <c r="AF298" s="9"/>
      <c r="AG298" s="12"/>
      <c r="AH298" s="12"/>
      <c r="AI298" s="12"/>
      <c r="AJ298" s="12"/>
      <c r="AK298" s="9"/>
      <c r="AL298" s="12"/>
      <c r="AM298" s="12"/>
      <c r="AN298" s="12"/>
      <c r="AO298" s="12"/>
      <c r="AP298" s="12"/>
      <c r="AQ298" s="12"/>
      <c r="AR298" s="9"/>
      <c r="AS298" s="12"/>
      <c r="AT298" s="12"/>
      <c r="AU298" s="12"/>
      <c r="AV298" s="12"/>
      <c r="AW298" s="12"/>
      <c r="AX298" s="12"/>
      <c r="AY298" s="9"/>
      <c r="AZ298" s="12"/>
      <c r="BA298" s="12"/>
      <c r="BB298" s="9"/>
      <c r="BC298" s="12"/>
      <c r="BD298" s="12"/>
      <c r="BE298" s="12"/>
    </row>
    <row r="299" spans="1:57" ht="15.75" customHeight="1"/>
    <row r="300" spans="1:57" ht="15.75" customHeight="1">
      <c r="A300" s="1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5"/>
      <c r="AB300" s="5"/>
      <c r="AC300" s="5"/>
      <c r="AD300" s="5"/>
    </row>
    <row r="301" spans="1:57" ht="15.75" customHeight="1">
      <c r="A301" s="1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5"/>
      <c r="AB301" s="5"/>
      <c r="AC301" s="5"/>
      <c r="AD301" s="5"/>
    </row>
    <row r="302" spans="1:57" ht="15.75" customHeight="1">
      <c r="A302" s="1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5"/>
      <c r="AB302" s="5"/>
      <c r="AC302" s="5"/>
      <c r="AD302" s="5"/>
    </row>
    <row r="303" spans="1:57" ht="15.75" customHeight="1"/>
    <row r="304" spans="1:57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  <row r="1128" ht="15.75" customHeight="1"/>
    <row r="1129" ht="15.75" customHeight="1"/>
    <row r="1130" ht="15.75" customHeight="1"/>
    <row r="1131" ht="15.75" customHeight="1"/>
    <row r="1132" ht="15.75" customHeight="1"/>
    <row r="1133" ht="15.75" customHeight="1"/>
    <row r="1134" ht="15.75" customHeight="1"/>
    <row r="1135" ht="15.75" customHeight="1"/>
    <row r="1136" ht="15.75" customHeight="1"/>
    <row r="1137" ht="15.75" customHeight="1"/>
    <row r="1138" ht="15.75" customHeight="1"/>
  </sheetData>
  <autoFilter ref="A3:AD3"/>
  <mergeCells count="12">
    <mergeCell ref="AL2:AQ2"/>
    <mergeCell ref="AS2:AX2"/>
    <mergeCell ref="AZ2:BA2"/>
    <mergeCell ref="BC2:BD2"/>
    <mergeCell ref="A1:AD1"/>
    <mergeCell ref="AG2:AJ2"/>
    <mergeCell ref="AG1:BE1"/>
    <mergeCell ref="R2:W2"/>
    <mergeCell ref="Y2:Z2"/>
    <mergeCell ref="AB2:AC2"/>
    <mergeCell ref="A2:I2"/>
    <mergeCell ref="K2:P2"/>
  </mergeCells>
  <conditionalFormatting sqref="D4:D298">
    <cfRule type="colorScale" priority="2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E4:E298">
    <cfRule type="colorScale" priority="2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H4:H298">
    <cfRule type="colorScale" priority="2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I4:I298">
    <cfRule type="colorScale" priority="26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K4:K298">
    <cfRule type="colorScale" priority="2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L4:L298">
    <cfRule type="colorScale" priority="2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M4:M298">
    <cfRule type="colorScale" priority="29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N4:N298">
    <cfRule type="colorScale" priority="30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O4:O298">
    <cfRule type="colorScale" priority="3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P4:P298">
    <cfRule type="colorScale" priority="3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R4:R298">
    <cfRule type="colorScale" priority="33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S4:S298">
    <cfRule type="colorScale" priority="34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T4:T298">
    <cfRule type="colorScale" priority="35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U4:U298">
    <cfRule type="colorScale" priority="36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V4:V298">
    <cfRule type="colorScale" priority="37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W4:W298">
    <cfRule type="colorScale" priority="38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Y4:Y298">
    <cfRule type="colorScale" priority="39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Z4:Z298">
    <cfRule type="colorScale" priority="40">
      <colorScale>
        <cfvo type="min" val="0"/>
        <cfvo type="percentile" val="50"/>
        <cfvo type="max" val="0"/>
        <color rgb="FF63BE7B"/>
        <color rgb="FFFCFCFF"/>
        <color rgb="FFF8696B"/>
      </colorScale>
    </cfRule>
  </conditionalFormatting>
  <conditionalFormatting sqref="AB4:AB298">
    <cfRule type="colorScale" priority="41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C4:AC298">
    <cfRule type="colorScale" priority="42">
      <colorScale>
        <cfvo type="min" val="0"/>
        <cfvo type="percentile" val="50"/>
        <cfvo type="max" val="0"/>
        <color rgb="FFF8696B"/>
        <color rgb="FFFCFCFF"/>
        <color rgb="FF63BE7B"/>
      </colorScale>
    </cfRule>
  </conditionalFormatting>
  <conditionalFormatting sqref="AD4:AD298">
    <cfRule type="colorScale" priority="22">
      <colorScale>
        <cfvo type="min" val="0"/>
        <cfvo type="percentile" val="50"/>
        <cfvo type="max" val="0"/>
        <color rgb="FF63BE7B"/>
        <color theme="0"/>
        <color rgb="FFF8696B"/>
      </colorScale>
    </cfRule>
  </conditionalFormatting>
  <conditionalFormatting sqref="AH4:AH298">
    <cfRule type="colorScale" priority="2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H4:AX4 AG4:AG298 AH5:AJ298 AG177:AJ185 AL5:AQ298 AS5:AX298">
    <cfRule type="colorScale" priority="2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I4:AI298">
    <cfRule type="colorScale" priority="1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J4:AJ298">
    <cfRule type="colorScale" priority="1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L4:AL298">
    <cfRule type="colorScale" priority="1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M4:AM298">
    <cfRule type="colorScale" priority="1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N4:AN298">
    <cfRule type="colorScale" priority="1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O4:AO298">
    <cfRule type="colorScale" priority="1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P4:AP298">
    <cfRule type="colorScale" priority="1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Q4:AQ298">
    <cfRule type="colorScale" priority="1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S4:AS298">
    <cfRule type="colorScale" priority="1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T4:AT298">
    <cfRule type="colorScale" priority="10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U4:AU298">
    <cfRule type="colorScale" priority="9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V4:AV298">
    <cfRule type="colorScale" priority="8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W4:AW298">
    <cfRule type="colorScale" priority="7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X4:AX298">
    <cfRule type="colorScale" priority="6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AZ4:AZ298">
    <cfRule type="colorScale" priority="5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A4:BA298">
    <cfRule type="colorScale" priority="4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C4:BC298">
    <cfRule type="colorScale" priority="3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D4:BD298">
    <cfRule type="colorScale" priority="2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conditionalFormatting sqref="BE4:BE298">
    <cfRule type="colorScale" priority="1">
      <colorScale>
        <cfvo type="min" val="0"/>
        <cfvo type="percentile" val="50"/>
        <cfvo type="max" val="0"/>
        <color rgb="FFF8696B"/>
        <color theme="0"/>
        <color rgb="FF63BE7B"/>
      </colorScale>
    </cfRule>
  </conditionalFormatting>
  <pageMargins left="0.7" right="0.7" top="0.75" bottom="0.75" header="0" footer="0"/>
  <pageSetup orientation="landscape" r:id="rId1"/>
  <ignoredErrors>
    <ignoredError sqref="U3 N3 AO3 AV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EXP</vt:lpstr>
      <vt:lpstr>TOTAL_BASIC</vt:lpstr>
      <vt:lpstr>PER_GAME_BASIC</vt:lpstr>
      <vt:lpstr>ADVANCED</vt:lpstr>
      <vt:lpstr>SHOOTING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2026-09-19T10:38:33Z</dcterms:modified>
</cp:coreProperties>
</file>